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425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HUB\Neerslagstatistiek\Excel\"/>
    </mc:Choice>
  </mc:AlternateContent>
  <xr:revisionPtr revIDLastSave="0" documentId="13_ncr:1_{558D05C5-2FAF-4268-B855-28C855EB4315}" xr6:coauthVersionLast="47" xr6:coauthVersionMax="47" xr10:uidLastSave="{00000000-0000-0000-0000-000000000000}"/>
  <bookViews>
    <workbookView xWindow="28680" yWindow="-120" windowWidth="29040" windowHeight="15720" activeTab="11" xr2:uid="{00000000-000D-0000-FFFF-FFFF00000000}"/>
  </bookViews>
  <sheets>
    <sheet name="KVD" sheetId="30" r:id="rId1"/>
    <sheet name="Naar_Stochastentool" sheetId="49" r:id="rId2"/>
    <sheet name="STOWA2015_HUIDIG_Z" sheetId="50" r:id="rId3"/>
    <sheet name="STOWA2015_HUIDIG_W" sheetId="51" r:id="rId4"/>
    <sheet name="STOWA2015_2030_Z" sheetId="31" r:id="rId5"/>
    <sheet name="STOWA2015_2030_W" sheetId="32" r:id="rId6"/>
    <sheet name="STOWA2015_2050GL_W" sheetId="34" r:id="rId7"/>
    <sheet name="STOWA2015_2050GH_Z" sheetId="35" r:id="rId8"/>
    <sheet name="STOWA2015_2050GH_W" sheetId="36" r:id="rId9"/>
    <sheet name="STOWA2015_2050WL_Z" sheetId="37" r:id="rId10"/>
    <sheet name="STOWA2015_2050GL_Z" sheetId="33" r:id="rId11"/>
    <sheet name="STOWA2019_HUIDIG_Z" sheetId="17" r:id="rId12"/>
    <sheet name="STOWA2019_HUIDIG_W" sheetId="24" r:id="rId13"/>
    <sheet name="2050WL_W" sheetId="38" r:id="rId14"/>
    <sheet name="2050WH_Z" sheetId="39" r:id="rId15"/>
    <sheet name="2050WH_W" sheetId="40" r:id="rId16"/>
    <sheet name="2085GL_Z" sheetId="41" r:id="rId17"/>
    <sheet name="2085GL_W" sheetId="42" r:id="rId18"/>
    <sheet name="2085GH_Z" sheetId="43" r:id="rId19"/>
    <sheet name="2085GH_W" sheetId="44" r:id="rId20"/>
    <sheet name="2085WL_Z" sheetId="45" r:id="rId21"/>
    <sheet name="2085WL_W" sheetId="46" r:id="rId22"/>
    <sheet name="2085WH_Z" sheetId="47" r:id="rId23"/>
    <sheet name="2085WH_W" sheetId="48" r:id="rId2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6" i="51" l="1"/>
  <c r="A7" i="51" s="1"/>
  <c r="A5" i="51"/>
  <c r="B5" i="51" s="1"/>
  <c r="B4" i="51"/>
  <c r="V2" i="51"/>
  <c r="R2" i="51"/>
  <c r="N2" i="51"/>
  <c r="J2" i="51"/>
  <c r="F2" i="51"/>
  <c r="A5" i="50"/>
  <c r="B4" i="50"/>
  <c r="V2" i="50"/>
  <c r="R2" i="50"/>
  <c r="N2" i="50"/>
  <c r="J2" i="50"/>
  <c r="F2" i="50"/>
  <c r="I12" i="30"/>
  <c r="I11" i="30"/>
  <c r="I10" i="30"/>
  <c r="I9" i="30"/>
  <c r="I8" i="30"/>
  <c r="I7" i="30"/>
  <c r="I6" i="30"/>
  <c r="I5" i="30"/>
  <c r="I4" i="30"/>
  <c r="I3" i="30"/>
  <c r="J3" i="30"/>
  <c r="J4" i="30"/>
  <c r="J5" i="30"/>
  <c r="J6" i="30"/>
  <c r="J7" i="30"/>
  <c r="G12" i="30"/>
  <c r="H12" i="30" s="1"/>
  <c r="G11" i="30"/>
  <c r="H11" i="30" s="1"/>
  <c r="G10" i="30"/>
  <c r="H10" i="30" s="1"/>
  <c r="G9" i="30"/>
  <c r="H9" i="30" s="1"/>
  <c r="G8" i="30"/>
  <c r="H8" i="30" s="1"/>
  <c r="G7" i="30"/>
  <c r="G6" i="30"/>
  <c r="G5" i="30"/>
  <c r="H5" i="30" s="1"/>
  <c r="G4" i="30"/>
  <c r="G3" i="30"/>
  <c r="S33" i="51"/>
  <c r="S13" i="51"/>
  <c r="S32" i="51"/>
  <c r="S12" i="51"/>
  <c r="S31" i="51"/>
  <c r="S11" i="51"/>
  <c r="S30" i="51"/>
  <c r="S10" i="51"/>
  <c r="S29" i="51"/>
  <c r="S9" i="51"/>
  <c r="S28" i="51"/>
  <c r="S8" i="51"/>
  <c r="S27" i="51"/>
  <c r="S7" i="51"/>
  <c r="S26" i="51"/>
  <c r="S25" i="51"/>
  <c r="S24" i="51"/>
  <c r="S23" i="51"/>
  <c r="S22" i="51"/>
  <c r="S21" i="51"/>
  <c r="S20" i="51"/>
  <c r="S19" i="51"/>
  <c r="S18" i="51"/>
  <c r="S17" i="51"/>
  <c r="S16" i="51"/>
  <c r="S15" i="51"/>
  <c r="S14" i="51"/>
  <c r="S6" i="51"/>
  <c r="O31" i="51"/>
  <c r="O11" i="51"/>
  <c r="O30" i="51"/>
  <c r="O10" i="51"/>
  <c r="O29" i="51"/>
  <c r="O9" i="51"/>
  <c r="O28" i="51"/>
  <c r="O8" i="51"/>
  <c r="O27" i="51"/>
  <c r="O7" i="51"/>
  <c r="O26" i="51"/>
  <c r="O25" i="51"/>
  <c r="O24" i="51"/>
  <c r="O23" i="51"/>
  <c r="O22" i="51"/>
  <c r="O21" i="51"/>
  <c r="O20" i="51"/>
  <c r="O19" i="51"/>
  <c r="O18" i="51"/>
  <c r="O17" i="51"/>
  <c r="O16" i="51"/>
  <c r="O15" i="51"/>
  <c r="O14" i="51"/>
  <c r="O13" i="51"/>
  <c r="O32" i="51"/>
  <c r="O12" i="51"/>
  <c r="O6" i="51"/>
  <c r="K25" i="51"/>
  <c r="K22" i="51"/>
  <c r="K20" i="51"/>
  <c r="K19" i="51"/>
  <c r="K16" i="51"/>
  <c r="K14" i="51"/>
  <c r="K11" i="51"/>
  <c r="K9" i="51"/>
  <c r="K6" i="51"/>
  <c r="K24" i="51"/>
  <c r="K23" i="51"/>
  <c r="K21" i="51"/>
  <c r="K18" i="51"/>
  <c r="K17" i="51"/>
  <c r="K15" i="51"/>
  <c r="K13" i="51"/>
  <c r="K10" i="51"/>
  <c r="K8" i="51"/>
  <c r="K7" i="51"/>
  <c r="K12" i="51"/>
  <c r="K5" i="51"/>
  <c r="G22" i="51"/>
  <c r="G21" i="51"/>
  <c r="G20" i="51"/>
  <c r="G19" i="51"/>
  <c r="G18" i="51"/>
  <c r="G17" i="51"/>
  <c r="G16" i="51"/>
  <c r="G14" i="51"/>
  <c r="G13" i="51"/>
  <c r="G12" i="51"/>
  <c r="G11" i="51"/>
  <c r="G10" i="51"/>
  <c r="G9" i="51"/>
  <c r="G8" i="51"/>
  <c r="G7" i="51"/>
  <c r="G6" i="51"/>
  <c r="G5" i="51"/>
  <c r="G15" i="51"/>
  <c r="G4" i="51"/>
  <c r="C20" i="51"/>
  <c r="C18" i="51"/>
  <c r="C17" i="51"/>
  <c r="C16" i="51"/>
  <c r="C15" i="51"/>
  <c r="C14" i="51"/>
  <c r="C13" i="51"/>
  <c r="C12" i="51"/>
  <c r="C11" i="51"/>
  <c r="C10" i="51"/>
  <c r="C9" i="51"/>
  <c r="C8" i="51"/>
  <c r="C7" i="51"/>
  <c r="C6" i="51"/>
  <c r="C5" i="51"/>
  <c r="C19" i="51"/>
  <c r="C4" i="51"/>
  <c r="S32" i="50"/>
  <c r="S12" i="50"/>
  <c r="S31" i="50"/>
  <c r="S11" i="50"/>
  <c r="S30" i="50"/>
  <c r="S10" i="50"/>
  <c r="S29" i="50"/>
  <c r="S9" i="50"/>
  <c r="S28" i="50"/>
  <c r="S8" i="50"/>
  <c r="S27" i="50"/>
  <c r="S7" i="50"/>
  <c r="S26" i="50"/>
  <c r="S6" i="50"/>
  <c r="S25" i="50"/>
  <c r="S24" i="50"/>
  <c r="S23" i="50"/>
  <c r="S22" i="50"/>
  <c r="S21" i="50"/>
  <c r="S20" i="50"/>
  <c r="S19" i="50"/>
  <c r="S18" i="50"/>
  <c r="S17" i="50"/>
  <c r="S16" i="50"/>
  <c r="S15" i="50"/>
  <c r="S14" i="50"/>
  <c r="S13" i="50"/>
  <c r="S5" i="50"/>
  <c r="O31" i="50"/>
  <c r="O11" i="50"/>
  <c r="O30" i="50"/>
  <c r="O10" i="50"/>
  <c r="O29" i="50"/>
  <c r="O9" i="50"/>
  <c r="O28" i="50"/>
  <c r="O8" i="50"/>
  <c r="O27" i="50"/>
  <c r="O7" i="50"/>
  <c r="O26" i="50"/>
  <c r="O6" i="50"/>
  <c r="O25" i="50"/>
  <c r="O24" i="50"/>
  <c r="O23" i="50"/>
  <c r="O21" i="50"/>
  <c r="O20" i="50"/>
  <c r="O19" i="50"/>
  <c r="O18" i="50"/>
  <c r="O17" i="50"/>
  <c r="O16" i="50"/>
  <c r="O15" i="50"/>
  <c r="O14" i="50"/>
  <c r="O13" i="50"/>
  <c r="O12" i="50"/>
  <c r="O22" i="50"/>
  <c r="O5" i="50"/>
  <c r="K25" i="50"/>
  <c r="K21" i="50"/>
  <c r="K7" i="50"/>
  <c r="K24" i="50"/>
  <c r="K23" i="50"/>
  <c r="K22" i="50"/>
  <c r="K20" i="50"/>
  <c r="K19" i="50"/>
  <c r="K18" i="50"/>
  <c r="K17" i="50"/>
  <c r="K16" i="50"/>
  <c r="K15" i="50"/>
  <c r="K14" i="50"/>
  <c r="K13" i="50"/>
  <c r="K12" i="50"/>
  <c r="K11" i="50"/>
  <c r="K10" i="50"/>
  <c r="K9" i="50"/>
  <c r="K8" i="50"/>
  <c r="K6" i="50"/>
  <c r="K5" i="50"/>
  <c r="G23" i="50"/>
  <c r="G22" i="50"/>
  <c r="G19" i="50"/>
  <c r="G18" i="50"/>
  <c r="G17" i="50"/>
  <c r="G16" i="50"/>
  <c r="G15" i="50"/>
  <c r="G11" i="50"/>
  <c r="G10" i="50"/>
  <c r="G7" i="50"/>
  <c r="G5" i="50"/>
  <c r="G21" i="50"/>
  <c r="G14" i="50"/>
  <c r="G9" i="50"/>
  <c r="G6" i="50"/>
  <c r="G20" i="50"/>
  <c r="G12" i="50"/>
  <c r="G8" i="50"/>
  <c r="G13" i="50"/>
  <c r="G4" i="50"/>
  <c r="C22" i="50"/>
  <c r="C19" i="50"/>
  <c r="C17" i="50"/>
  <c r="C15" i="50"/>
  <c r="C13" i="50"/>
  <c r="C12" i="50"/>
  <c r="C10" i="50"/>
  <c r="C8" i="50"/>
  <c r="C6" i="50"/>
  <c r="C21" i="50"/>
  <c r="C20" i="50"/>
  <c r="C18" i="50"/>
  <c r="C16" i="50"/>
  <c r="C14" i="50"/>
  <c r="C11" i="50"/>
  <c r="C9" i="50"/>
  <c r="C7" i="50"/>
  <c r="C5" i="50"/>
  <c r="C4" i="50"/>
  <c r="S33" i="24"/>
  <c r="S14" i="24"/>
  <c r="O30" i="24"/>
  <c r="K13" i="24"/>
  <c r="G21" i="24"/>
  <c r="C10" i="24"/>
  <c r="S22" i="17"/>
  <c r="O31" i="17"/>
  <c r="O18" i="17"/>
  <c r="K22" i="17"/>
  <c r="G11" i="17"/>
  <c r="C10" i="17"/>
  <c r="S21" i="24"/>
  <c r="O14" i="24"/>
  <c r="K17" i="24"/>
  <c r="G5" i="24"/>
  <c r="C9" i="24"/>
  <c r="S6" i="17"/>
  <c r="O15" i="17"/>
  <c r="K13" i="17"/>
  <c r="G9" i="17"/>
  <c r="C8" i="17"/>
  <c r="O22" i="17"/>
  <c r="O9" i="17"/>
  <c r="K18" i="17"/>
  <c r="G7" i="17"/>
  <c r="C6" i="17"/>
  <c r="S26" i="24"/>
  <c r="G12" i="24"/>
  <c r="C15" i="24"/>
  <c r="S11" i="17"/>
  <c r="C5" i="17"/>
  <c r="O10" i="24"/>
  <c r="G4" i="24"/>
  <c r="S18" i="17"/>
  <c r="G17" i="17"/>
  <c r="S7" i="24"/>
  <c r="K24" i="24"/>
  <c r="C20" i="24"/>
  <c r="S10" i="17"/>
  <c r="G22" i="24"/>
  <c r="S31" i="17"/>
  <c r="G15" i="17"/>
  <c r="C14" i="17"/>
  <c r="O7" i="24"/>
  <c r="G14" i="24"/>
  <c r="C19" i="24"/>
  <c r="S17" i="17"/>
  <c r="S30" i="24"/>
  <c r="O27" i="17"/>
  <c r="O17" i="24"/>
  <c r="S5" i="17"/>
  <c r="S25" i="24"/>
  <c r="S29" i="24"/>
  <c r="O22" i="24"/>
  <c r="K10" i="24"/>
  <c r="G13" i="24"/>
  <c r="C17" i="24"/>
  <c r="S14" i="17"/>
  <c r="O23" i="17"/>
  <c r="O16" i="17"/>
  <c r="K21" i="17"/>
  <c r="G10" i="17"/>
  <c r="C9" i="17"/>
  <c r="K7" i="24"/>
  <c r="G21" i="17"/>
  <c r="O12" i="17"/>
  <c r="K14" i="17"/>
  <c r="C16" i="17"/>
  <c r="O23" i="24"/>
  <c r="S8" i="17"/>
  <c r="K6" i="17"/>
  <c r="C15" i="17"/>
  <c r="K16" i="24"/>
  <c r="S23" i="17"/>
  <c r="K22" i="24"/>
  <c r="K14" i="24"/>
  <c r="C18" i="24"/>
  <c r="S7" i="17"/>
  <c r="G12" i="17"/>
  <c r="S17" i="24"/>
  <c r="O25" i="17"/>
  <c r="G6" i="17"/>
  <c r="K16" i="17"/>
  <c r="O25" i="24"/>
  <c r="S9" i="24"/>
  <c r="S12" i="24"/>
  <c r="O28" i="24"/>
  <c r="K23" i="24"/>
  <c r="G8" i="24"/>
  <c r="C16" i="24"/>
  <c r="S28" i="17"/>
  <c r="O7" i="17"/>
  <c r="O17" i="17"/>
  <c r="K12" i="17"/>
  <c r="G8" i="17"/>
  <c r="C7" i="17"/>
  <c r="S27" i="24"/>
  <c r="O11" i="24"/>
  <c r="K15" i="24"/>
  <c r="G20" i="24"/>
  <c r="C8" i="24"/>
  <c r="S12" i="17"/>
  <c r="O29" i="24"/>
  <c r="O8" i="17"/>
  <c r="C20" i="17"/>
  <c r="G16" i="24"/>
  <c r="G6" i="24"/>
  <c r="S15" i="17"/>
  <c r="K23" i="17"/>
  <c r="C11" i="17"/>
  <c r="S28" i="24"/>
  <c r="K19" i="17"/>
  <c r="S19" i="24"/>
  <c r="S11" i="24"/>
  <c r="O30" i="17"/>
  <c r="O6" i="24"/>
  <c r="K5" i="24"/>
  <c r="G16" i="17"/>
  <c r="C12" i="24"/>
  <c r="S32" i="24"/>
  <c r="S18" i="24"/>
  <c r="O21" i="24"/>
  <c r="K6" i="24"/>
  <c r="G10" i="24"/>
  <c r="C7" i="24"/>
  <c r="S30" i="17"/>
  <c r="O29" i="17"/>
  <c r="O5" i="17"/>
  <c r="K9" i="17"/>
  <c r="G5" i="17"/>
  <c r="O32" i="24"/>
  <c r="S29" i="17"/>
  <c r="K25" i="24"/>
  <c r="G9" i="24"/>
  <c r="O26" i="17"/>
  <c r="S24" i="24"/>
  <c r="S6" i="24"/>
  <c r="O13" i="24"/>
  <c r="K18" i="24"/>
  <c r="G15" i="24"/>
  <c r="C5" i="24"/>
  <c r="S19" i="17"/>
  <c r="O21" i="17"/>
  <c r="K25" i="17"/>
  <c r="K5" i="17"/>
  <c r="G4" i="17"/>
  <c r="S16" i="24"/>
  <c r="O20" i="24"/>
  <c r="K21" i="24"/>
  <c r="G19" i="24"/>
  <c r="C14" i="24"/>
  <c r="O13" i="17"/>
  <c r="K17" i="17"/>
  <c r="G23" i="17"/>
  <c r="C22" i="17"/>
  <c r="S8" i="24"/>
  <c r="O24" i="24"/>
  <c r="O12" i="24"/>
  <c r="K20" i="24"/>
  <c r="G11" i="24"/>
  <c r="C6" i="24"/>
  <c r="S21" i="17"/>
  <c r="O11" i="17"/>
  <c r="K24" i="17"/>
  <c r="G22" i="17"/>
  <c r="C21" i="17"/>
  <c r="O16" i="24"/>
  <c r="C13" i="24"/>
  <c r="O24" i="17"/>
  <c r="S24" i="17"/>
  <c r="S26" i="17"/>
  <c r="O20" i="17"/>
  <c r="K7" i="17"/>
  <c r="G18" i="17"/>
  <c r="C17" i="17"/>
  <c r="S15" i="24"/>
  <c r="O19" i="17"/>
  <c r="O15" i="24"/>
  <c r="K20" i="17"/>
  <c r="S20" i="24"/>
  <c r="O18" i="24"/>
  <c r="K12" i="24"/>
  <c r="G18" i="24"/>
  <c r="S13" i="17"/>
  <c r="O31" i="24"/>
  <c r="G14" i="17"/>
  <c r="C11" i="24"/>
  <c r="G13" i="17"/>
  <c r="S10" i="24"/>
  <c r="O8" i="24"/>
  <c r="O9" i="24"/>
  <c r="K19" i="24"/>
  <c r="G17" i="24"/>
  <c r="C4" i="24"/>
  <c r="S20" i="17"/>
  <c r="O6" i="17"/>
  <c r="K8" i="17"/>
  <c r="G20" i="17"/>
  <c r="C19" i="17"/>
  <c r="C4" i="17"/>
  <c r="S31" i="24"/>
  <c r="O27" i="24"/>
  <c r="O26" i="24"/>
  <c r="K11" i="24"/>
  <c r="G7" i="24"/>
  <c r="S32" i="17"/>
  <c r="S27" i="17"/>
  <c r="O28" i="17"/>
  <c r="K15" i="17"/>
  <c r="G19" i="17"/>
  <c r="C18" i="17"/>
  <c r="S23" i="24"/>
  <c r="K9" i="24"/>
  <c r="S16" i="17"/>
  <c r="S13" i="24"/>
  <c r="S25" i="17"/>
  <c r="K8" i="24"/>
  <c r="K10" i="17"/>
  <c r="O10" i="17"/>
  <c r="O14" i="17"/>
  <c r="K11" i="17"/>
  <c r="C13" i="17"/>
  <c r="O19" i="24"/>
  <c r="S9" i="17"/>
  <c r="C12" i="17"/>
  <c r="S22" i="24"/>
  <c r="H5" i="51" l="1"/>
  <c r="I5" i="51" s="1"/>
  <c r="L7" i="51"/>
  <c r="M7" i="51" s="1"/>
  <c r="D7" i="51"/>
  <c r="E7" i="51" s="1"/>
  <c r="P7" i="51"/>
  <c r="Q7" i="51" s="1"/>
  <c r="H4" i="51"/>
  <c r="I4" i="51" s="1"/>
  <c r="D4" i="51"/>
  <c r="E4" i="51" s="1"/>
  <c r="T7" i="51"/>
  <c r="U7" i="51" s="1"/>
  <c r="L5" i="51"/>
  <c r="M5" i="51" s="1"/>
  <c r="H6" i="51"/>
  <c r="I6" i="51" s="1"/>
  <c r="H7" i="51"/>
  <c r="I7" i="51" s="1"/>
  <c r="L6" i="51"/>
  <c r="M6" i="51" s="1"/>
  <c r="P6" i="51"/>
  <c r="Q6" i="51" s="1"/>
  <c r="T6" i="51"/>
  <c r="U6" i="51" s="1"/>
  <c r="D6" i="51"/>
  <c r="E6" i="51" s="1"/>
  <c r="D5" i="51"/>
  <c r="E5" i="51" s="1"/>
  <c r="A8" i="51"/>
  <c r="B7" i="51"/>
  <c r="B6" i="51"/>
  <c r="H5" i="50"/>
  <c r="I5" i="50" s="1"/>
  <c r="P5" i="50"/>
  <c r="Q5" i="50" s="1"/>
  <c r="D4" i="50"/>
  <c r="E4" i="50" s="1"/>
  <c r="L5" i="50"/>
  <c r="M5" i="50" s="1"/>
  <c r="H4" i="50"/>
  <c r="I4" i="50" s="1"/>
  <c r="T5" i="50"/>
  <c r="U5" i="50" s="1"/>
  <c r="D5" i="50"/>
  <c r="E5" i="50" s="1"/>
  <c r="B5" i="50"/>
  <c r="A6" i="50"/>
  <c r="H3" i="30"/>
  <c r="H6" i="30"/>
  <c r="H4" i="30"/>
  <c r="H7" i="30"/>
  <c r="A2271" i="49"/>
  <c r="A2270" i="49"/>
  <c r="A2269" i="49"/>
  <c r="A2268" i="49"/>
  <c r="A2267" i="49"/>
  <c r="A2266" i="49"/>
  <c r="A2265" i="49"/>
  <c r="A2264" i="49"/>
  <c r="A2263" i="49"/>
  <c r="A2262" i="49"/>
  <c r="A2261" i="49"/>
  <c r="A2260" i="49"/>
  <c r="A2259" i="49"/>
  <c r="A2258" i="49"/>
  <c r="A2257" i="49"/>
  <c r="A2256" i="49"/>
  <c r="A2255" i="49"/>
  <c r="A2254" i="49"/>
  <c r="A2253" i="49"/>
  <c r="A2252" i="49"/>
  <c r="A2251" i="49"/>
  <c r="A2250" i="49"/>
  <c r="A2249" i="49"/>
  <c r="A2248" i="49"/>
  <c r="A2247" i="49"/>
  <c r="A2246" i="49"/>
  <c r="A2245" i="49"/>
  <c r="A2244" i="49"/>
  <c r="A2243" i="49"/>
  <c r="A2242" i="49"/>
  <c r="A2241" i="49"/>
  <c r="A2240" i="49"/>
  <c r="A2239" i="49"/>
  <c r="A2238" i="49"/>
  <c r="A2237" i="49"/>
  <c r="A2236" i="49"/>
  <c r="A2235" i="49"/>
  <c r="A2234" i="49"/>
  <c r="A2233" i="49"/>
  <c r="A2232" i="49"/>
  <c r="A2231" i="49"/>
  <c r="A2230" i="49"/>
  <c r="A2229" i="49"/>
  <c r="A2228" i="49"/>
  <c r="A2227" i="49"/>
  <c r="A2226" i="49"/>
  <c r="A2225" i="49"/>
  <c r="A2224" i="49"/>
  <c r="A2223" i="49"/>
  <c r="A2222" i="49"/>
  <c r="A2221" i="49"/>
  <c r="A2220" i="49"/>
  <c r="A2219" i="49"/>
  <c r="A2218" i="49"/>
  <c r="A2217" i="49"/>
  <c r="A2216" i="49"/>
  <c r="A2215" i="49"/>
  <c r="A2214" i="49"/>
  <c r="A2213" i="49"/>
  <c r="A2212" i="49"/>
  <c r="A2211" i="49"/>
  <c r="A2210" i="49"/>
  <c r="A2209" i="49"/>
  <c r="A2208" i="49"/>
  <c r="A2207" i="49"/>
  <c r="A2206" i="49"/>
  <c r="A2205" i="49"/>
  <c r="A2204" i="49"/>
  <c r="A2203" i="49"/>
  <c r="A2202" i="49"/>
  <c r="A2201" i="49"/>
  <c r="A2200" i="49"/>
  <c r="A2199" i="49"/>
  <c r="A2198" i="49"/>
  <c r="A2197" i="49"/>
  <c r="A2196" i="49"/>
  <c r="A2195" i="49"/>
  <c r="A2194" i="49"/>
  <c r="A2193" i="49"/>
  <c r="A2192" i="49"/>
  <c r="A2191" i="49"/>
  <c r="A2190" i="49"/>
  <c r="A2189" i="49"/>
  <c r="A2188" i="49"/>
  <c r="A2187" i="49"/>
  <c r="A2186" i="49"/>
  <c r="A2185" i="49"/>
  <c r="A2184" i="49"/>
  <c r="A2183" i="49"/>
  <c r="A2182" i="49"/>
  <c r="A2181" i="49"/>
  <c r="A2180" i="49"/>
  <c r="A2179" i="49"/>
  <c r="A2178" i="49"/>
  <c r="A2177" i="49"/>
  <c r="A2176" i="49"/>
  <c r="A2175" i="49"/>
  <c r="A2174" i="49"/>
  <c r="A2173" i="49"/>
  <c r="A2172" i="49"/>
  <c r="A2171" i="49"/>
  <c r="A2170" i="49"/>
  <c r="A2169" i="49"/>
  <c r="A2168" i="49"/>
  <c r="A2167" i="49"/>
  <c r="A2166" i="49"/>
  <c r="A2165" i="49"/>
  <c r="A2164" i="49"/>
  <c r="A2163" i="49"/>
  <c r="A2162" i="49"/>
  <c r="A2161" i="49"/>
  <c r="A2160" i="49"/>
  <c r="A2159" i="49"/>
  <c r="A2158" i="49"/>
  <c r="A2157" i="49"/>
  <c r="A2156" i="49"/>
  <c r="A2155" i="49"/>
  <c r="A2154" i="49"/>
  <c r="A2153" i="49"/>
  <c r="A2152" i="49"/>
  <c r="A2151" i="49"/>
  <c r="A2150" i="49"/>
  <c r="A2149" i="49"/>
  <c r="A2148" i="49"/>
  <c r="A2147" i="49"/>
  <c r="A2146" i="49"/>
  <c r="A2145" i="49"/>
  <c r="A2144" i="49"/>
  <c r="A2143" i="49"/>
  <c r="A2142" i="49"/>
  <c r="A2141" i="49"/>
  <c r="A2140" i="49"/>
  <c r="A2139" i="49"/>
  <c r="A2138" i="49"/>
  <c r="A2137" i="49"/>
  <c r="A2136" i="49"/>
  <c r="A2135" i="49"/>
  <c r="A2134" i="49"/>
  <c r="A2133" i="49"/>
  <c r="A2132" i="49"/>
  <c r="A2131" i="49"/>
  <c r="A2130" i="49"/>
  <c r="A2129" i="49"/>
  <c r="A2128" i="49"/>
  <c r="A2127" i="49"/>
  <c r="A2126" i="49"/>
  <c r="A2125" i="49"/>
  <c r="A2124" i="49"/>
  <c r="A2123" i="49"/>
  <c r="A2122" i="49"/>
  <c r="A2121" i="49"/>
  <c r="A2120" i="49"/>
  <c r="A2119" i="49"/>
  <c r="A2118" i="49"/>
  <c r="A2117" i="49"/>
  <c r="A2116" i="49"/>
  <c r="A2115" i="49"/>
  <c r="A2114" i="49"/>
  <c r="A2113" i="49"/>
  <c r="A2112" i="49"/>
  <c r="A2111" i="49"/>
  <c r="A2110" i="49"/>
  <c r="A2109" i="49"/>
  <c r="A2108" i="49"/>
  <c r="A2107" i="49"/>
  <c r="A2106" i="49"/>
  <c r="A2105" i="49"/>
  <c r="A2104" i="49"/>
  <c r="A2103" i="49"/>
  <c r="A2102" i="49"/>
  <c r="A2101" i="49"/>
  <c r="A2100" i="49"/>
  <c r="A2099" i="49"/>
  <c r="A2098" i="49"/>
  <c r="A2097" i="49"/>
  <c r="A2096" i="49"/>
  <c r="A2095" i="49"/>
  <c r="A2094" i="49"/>
  <c r="A2093" i="49"/>
  <c r="A2092" i="49"/>
  <c r="A2091" i="49"/>
  <c r="A2090" i="49"/>
  <c r="A2089" i="49"/>
  <c r="A2088" i="49"/>
  <c r="A2087" i="49"/>
  <c r="A2086" i="49"/>
  <c r="A2085" i="49"/>
  <c r="A2084" i="49"/>
  <c r="A2083" i="49"/>
  <c r="A2082" i="49"/>
  <c r="A2081" i="49"/>
  <c r="A2080" i="49"/>
  <c r="A2079" i="49"/>
  <c r="A2078" i="49"/>
  <c r="A2077" i="49"/>
  <c r="A2076" i="49"/>
  <c r="A2075" i="49"/>
  <c r="A2074" i="49"/>
  <c r="A2073" i="49"/>
  <c r="A2072" i="49"/>
  <c r="A2071" i="49"/>
  <c r="A2070" i="49"/>
  <c r="A2069" i="49"/>
  <c r="A2068" i="49"/>
  <c r="A2067" i="49"/>
  <c r="A2066" i="49"/>
  <c r="A2065" i="49"/>
  <c r="A2064" i="49"/>
  <c r="A2063" i="49"/>
  <c r="A2062" i="49"/>
  <c r="A2061" i="49"/>
  <c r="A2060" i="49"/>
  <c r="A2059" i="49"/>
  <c r="A2058" i="49"/>
  <c r="A2057" i="49"/>
  <c r="A2056" i="49"/>
  <c r="A2055" i="49"/>
  <c r="A2054" i="49"/>
  <c r="A2053" i="49"/>
  <c r="A2052" i="49"/>
  <c r="A2051" i="49"/>
  <c r="A2050" i="49"/>
  <c r="A2049" i="49"/>
  <c r="A2048" i="49"/>
  <c r="A2047" i="49"/>
  <c r="A2046" i="49"/>
  <c r="A2045" i="49"/>
  <c r="A2044" i="49"/>
  <c r="A2043" i="49"/>
  <c r="A2042" i="49"/>
  <c r="A2041" i="49"/>
  <c r="A2040" i="49"/>
  <c r="A2039" i="49"/>
  <c r="A2038" i="49"/>
  <c r="A2037" i="49"/>
  <c r="A2036" i="49"/>
  <c r="A2035" i="49"/>
  <c r="A2034" i="49"/>
  <c r="A2033" i="49"/>
  <c r="A2032" i="49"/>
  <c r="A2031" i="49"/>
  <c r="A2030" i="49"/>
  <c r="A2029" i="49"/>
  <c r="A2028" i="49"/>
  <c r="A2027" i="49"/>
  <c r="A2026" i="49"/>
  <c r="A2025" i="49"/>
  <c r="A2024" i="49"/>
  <c r="A2023" i="49"/>
  <c r="A2022" i="49"/>
  <c r="A2021" i="49"/>
  <c r="A2020" i="49"/>
  <c r="A2019" i="49"/>
  <c r="A2018" i="49"/>
  <c r="A2017" i="49"/>
  <c r="A2016" i="49"/>
  <c r="A2015" i="49"/>
  <c r="A2014" i="49"/>
  <c r="A2013" i="49"/>
  <c r="A2012" i="49"/>
  <c r="A2011" i="49"/>
  <c r="A2010" i="49"/>
  <c r="A2009" i="49"/>
  <c r="A2008" i="49"/>
  <c r="A2007" i="49"/>
  <c r="A2006" i="49"/>
  <c r="A2005" i="49"/>
  <c r="A2004" i="49"/>
  <c r="A2003" i="49"/>
  <c r="A2002" i="49"/>
  <c r="A2001" i="49"/>
  <c r="A2000" i="49"/>
  <c r="A1999" i="49"/>
  <c r="A1998" i="49"/>
  <c r="A1997" i="49"/>
  <c r="A1996" i="49"/>
  <c r="A1995" i="49"/>
  <c r="A1994" i="49"/>
  <c r="A1993" i="49"/>
  <c r="A1992" i="49"/>
  <c r="A1991" i="49"/>
  <c r="A1990" i="49"/>
  <c r="A1989" i="49"/>
  <c r="A1988" i="49"/>
  <c r="A1987" i="49"/>
  <c r="A1986" i="49"/>
  <c r="A1985" i="49"/>
  <c r="A1984" i="49"/>
  <c r="A1983" i="49"/>
  <c r="A1982" i="49"/>
  <c r="A1981" i="49"/>
  <c r="A1980" i="49"/>
  <c r="A1979" i="49"/>
  <c r="A1978" i="49"/>
  <c r="A1977" i="49"/>
  <c r="A1976" i="49"/>
  <c r="A1975" i="49"/>
  <c r="A1974" i="49"/>
  <c r="A1973" i="49"/>
  <c r="A1972" i="49"/>
  <c r="A1971" i="49"/>
  <c r="A1970" i="49"/>
  <c r="A1969" i="49"/>
  <c r="A1968" i="49"/>
  <c r="A1967" i="49"/>
  <c r="A1966" i="49"/>
  <c r="A1965" i="49"/>
  <c r="A1964" i="49"/>
  <c r="A1963" i="49"/>
  <c r="A1962" i="49"/>
  <c r="A1961" i="49"/>
  <c r="A1960" i="49"/>
  <c r="A1959" i="49"/>
  <c r="A1958" i="49"/>
  <c r="A1957" i="49"/>
  <c r="A1956" i="49"/>
  <c r="A1955" i="49"/>
  <c r="A1954" i="49"/>
  <c r="A1953" i="49"/>
  <c r="A1952" i="49"/>
  <c r="A1951" i="49"/>
  <c r="A1950" i="49"/>
  <c r="A1949" i="49"/>
  <c r="A1948" i="49"/>
  <c r="A1947" i="49"/>
  <c r="A1946" i="49"/>
  <c r="A1945" i="49"/>
  <c r="A1944" i="49"/>
  <c r="A1943" i="49"/>
  <c r="A1942" i="49"/>
  <c r="A1941" i="49"/>
  <c r="A1940" i="49"/>
  <c r="A1939" i="49"/>
  <c r="A1938" i="49"/>
  <c r="A1937" i="49"/>
  <c r="A1936" i="49"/>
  <c r="A1935" i="49"/>
  <c r="A1934" i="49"/>
  <c r="A1933" i="49"/>
  <c r="A1932" i="49"/>
  <c r="A1931" i="49"/>
  <c r="A1930" i="49"/>
  <c r="A1929" i="49"/>
  <c r="A1928" i="49"/>
  <c r="A1927" i="49"/>
  <c r="A1926" i="49"/>
  <c r="A1925" i="49"/>
  <c r="A1924" i="49"/>
  <c r="A1923" i="49"/>
  <c r="A1922" i="49"/>
  <c r="A1921" i="49"/>
  <c r="A1920" i="49"/>
  <c r="A1919" i="49"/>
  <c r="A1918" i="49"/>
  <c r="A1917" i="49"/>
  <c r="A1916" i="49"/>
  <c r="A1915" i="49"/>
  <c r="A1914" i="49"/>
  <c r="A1913" i="49"/>
  <c r="A1912" i="49"/>
  <c r="A1911" i="49"/>
  <c r="A1910" i="49"/>
  <c r="A1909" i="49"/>
  <c r="A1908" i="49"/>
  <c r="A1907" i="49"/>
  <c r="A1906" i="49"/>
  <c r="A1905" i="49"/>
  <c r="A1904" i="49"/>
  <c r="A1903" i="49"/>
  <c r="A1902" i="49"/>
  <c r="A1901" i="49"/>
  <c r="A1900" i="49"/>
  <c r="A1899" i="49"/>
  <c r="A1898" i="49"/>
  <c r="A1897" i="49"/>
  <c r="A1896" i="49"/>
  <c r="A1895" i="49"/>
  <c r="A1894" i="49"/>
  <c r="A1893" i="49"/>
  <c r="A1892" i="49"/>
  <c r="A1891" i="49"/>
  <c r="A1890" i="49"/>
  <c r="A1889" i="49"/>
  <c r="A1888" i="49"/>
  <c r="A1887" i="49"/>
  <c r="A1886" i="49"/>
  <c r="A1885" i="49"/>
  <c r="A1884" i="49"/>
  <c r="A1883" i="49"/>
  <c r="A1882" i="49"/>
  <c r="A1881" i="49"/>
  <c r="A1880" i="49"/>
  <c r="A1879" i="49"/>
  <c r="A1878" i="49"/>
  <c r="A1877" i="49"/>
  <c r="A1876" i="49"/>
  <c r="A1875" i="49"/>
  <c r="A1874" i="49"/>
  <c r="A1873" i="49"/>
  <c r="A1872" i="49"/>
  <c r="A1871" i="49"/>
  <c r="A1870" i="49"/>
  <c r="A1869" i="49"/>
  <c r="A1868" i="49"/>
  <c r="A1867" i="49"/>
  <c r="A1866" i="49"/>
  <c r="A1865" i="49"/>
  <c r="A1864" i="49"/>
  <c r="A1863" i="49"/>
  <c r="A1862" i="49"/>
  <c r="A1861" i="49"/>
  <c r="A1860" i="49"/>
  <c r="A1859" i="49"/>
  <c r="A1858" i="49"/>
  <c r="A1857" i="49"/>
  <c r="A1856" i="49"/>
  <c r="A1855" i="49"/>
  <c r="A1854" i="49"/>
  <c r="A1853" i="49"/>
  <c r="A1852" i="49"/>
  <c r="A1851" i="49"/>
  <c r="A1850" i="49"/>
  <c r="A1849" i="49"/>
  <c r="A1848" i="49"/>
  <c r="A1847" i="49"/>
  <c r="A1846" i="49"/>
  <c r="A1845" i="49"/>
  <c r="A1844" i="49"/>
  <c r="A1843" i="49"/>
  <c r="A1842" i="49"/>
  <c r="A1841" i="49"/>
  <c r="A1840" i="49"/>
  <c r="A1839" i="49"/>
  <c r="A1838" i="49"/>
  <c r="A1837" i="49"/>
  <c r="A1836" i="49"/>
  <c r="A1835" i="49"/>
  <c r="A1834" i="49"/>
  <c r="A1833" i="49"/>
  <c r="A1832" i="49"/>
  <c r="A1831" i="49"/>
  <c r="A1830" i="49"/>
  <c r="A1829" i="49"/>
  <c r="A1828" i="49"/>
  <c r="A1827" i="49"/>
  <c r="A1826" i="49"/>
  <c r="A1825" i="49"/>
  <c r="A1824" i="49"/>
  <c r="A1823" i="49"/>
  <c r="A1822" i="49"/>
  <c r="A1821" i="49"/>
  <c r="A1820" i="49"/>
  <c r="A1819" i="49"/>
  <c r="A1818" i="49"/>
  <c r="A1817" i="49"/>
  <c r="A1816" i="49"/>
  <c r="A1815" i="49"/>
  <c r="A1814" i="49"/>
  <c r="A1813" i="49"/>
  <c r="A1812" i="49"/>
  <c r="A1811" i="49"/>
  <c r="A1810" i="49"/>
  <c r="A1809" i="49"/>
  <c r="A1808" i="49"/>
  <c r="A1807" i="49"/>
  <c r="A1806" i="49"/>
  <c r="A1805" i="49"/>
  <c r="A1804" i="49"/>
  <c r="A1803" i="49"/>
  <c r="A1802" i="49"/>
  <c r="A1801" i="49"/>
  <c r="A1800" i="49"/>
  <c r="A1799" i="49"/>
  <c r="A1798" i="49"/>
  <c r="A1797" i="49"/>
  <c r="A1796" i="49"/>
  <c r="A1795" i="49"/>
  <c r="A1794" i="49"/>
  <c r="A1793" i="49"/>
  <c r="A1792" i="49"/>
  <c r="A1791" i="49"/>
  <c r="A1790" i="49"/>
  <c r="A1789" i="49"/>
  <c r="A1788" i="49"/>
  <c r="A1787" i="49"/>
  <c r="A1786" i="49"/>
  <c r="A1785" i="49"/>
  <c r="A1784" i="49"/>
  <c r="A1783" i="49"/>
  <c r="A1782" i="49"/>
  <c r="A1781" i="49"/>
  <c r="A1780" i="49"/>
  <c r="A1779" i="49"/>
  <c r="A1778" i="49"/>
  <c r="A1777" i="49"/>
  <c r="A1776" i="49"/>
  <c r="A1775" i="49"/>
  <c r="A1774" i="49"/>
  <c r="A1773" i="49"/>
  <c r="A1772" i="49"/>
  <c r="A1771" i="49"/>
  <c r="A1770" i="49"/>
  <c r="A1769" i="49"/>
  <c r="A1768" i="49"/>
  <c r="A1767" i="49"/>
  <c r="A1766" i="49"/>
  <c r="A1765" i="49"/>
  <c r="A1764" i="49"/>
  <c r="A1763" i="49"/>
  <c r="A1762" i="49"/>
  <c r="A1761" i="49"/>
  <c r="A1760" i="49"/>
  <c r="A1759" i="49"/>
  <c r="A1758" i="49"/>
  <c r="A1757" i="49"/>
  <c r="A1756" i="49"/>
  <c r="A1755" i="49"/>
  <c r="A1754" i="49"/>
  <c r="A1753" i="49"/>
  <c r="A1752" i="49"/>
  <c r="A1751" i="49"/>
  <c r="A1750" i="49"/>
  <c r="A1749" i="49"/>
  <c r="A1748" i="49"/>
  <c r="A1747" i="49"/>
  <c r="A1746" i="49"/>
  <c r="A1745" i="49"/>
  <c r="A1744" i="49"/>
  <c r="A1743" i="49"/>
  <c r="A1742" i="49"/>
  <c r="A1741" i="49"/>
  <c r="A1740" i="49"/>
  <c r="A1739" i="49"/>
  <c r="A1738" i="49"/>
  <c r="A1737" i="49"/>
  <c r="A1736" i="49"/>
  <c r="A1735" i="49"/>
  <c r="A1734" i="49"/>
  <c r="A1733" i="49"/>
  <c r="A1732" i="49"/>
  <c r="A1731" i="49"/>
  <c r="A1730" i="49"/>
  <c r="A1729" i="49"/>
  <c r="A1728" i="49"/>
  <c r="A1727" i="49"/>
  <c r="A1726" i="49"/>
  <c r="A1725" i="49"/>
  <c r="A1724" i="49"/>
  <c r="A1723" i="49"/>
  <c r="A1722" i="49"/>
  <c r="A1721" i="49"/>
  <c r="A1720" i="49"/>
  <c r="A1719" i="49"/>
  <c r="A1718" i="49"/>
  <c r="A1717" i="49"/>
  <c r="A1716" i="49"/>
  <c r="A1715" i="49"/>
  <c r="A1714" i="49"/>
  <c r="A1713" i="49"/>
  <c r="A1712" i="49"/>
  <c r="A1711" i="49"/>
  <c r="A1710" i="49"/>
  <c r="A1709" i="49"/>
  <c r="A1708" i="49"/>
  <c r="A1707" i="49"/>
  <c r="A1706" i="49"/>
  <c r="A1705" i="49"/>
  <c r="A1704" i="49"/>
  <c r="A1703" i="49"/>
  <c r="A1702" i="49"/>
  <c r="A1701" i="49"/>
  <c r="A1700" i="49"/>
  <c r="A1699" i="49"/>
  <c r="A1698" i="49"/>
  <c r="A1697" i="49"/>
  <c r="A1696" i="49"/>
  <c r="A1695" i="49"/>
  <c r="A1694" i="49"/>
  <c r="A1693" i="49"/>
  <c r="A1692" i="49"/>
  <c r="A1691" i="49"/>
  <c r="A1690" i="49"/>
  <c r="A1689" i="49"/>
  <c r="A1688" i="49"/>
  <c r="A1687" i="49"/>
  <c r="A1686" i="49"/>
  <c r="A1685" i="49"/>
  <c r="A1684" i="49"/>
  <c r="A1683" i="49"/>
  <c r="A1682" i="49"/>
  <c r="A1681" i="49"/>
  <c r="A1680" i="49"/>
  <c r="A1679" i="49"/>
  <c r="A1678" i="49"/>
  <c r="A1677" i="49"/>
  <c r="A1676" i="49"/>
  <c r="A1675" i="49"/>
  <c r="A1674" i="49"/>
  <c r="A1673" i="49"/>
  <c r="A1672" i="49"/>
  <c r="A1671" i="49"/>
  <c r="A1670" i="49"/>
  <c r="A1669" i="49"/>
  <c r="A1668" i="49"/>
  <c r="A1667" i="49"/>
  <c r="A1666" i="49"/>
  <c r="A1665" i="49"/>
  <c r="A1664" i="49"/>
  <c r="A1663" i="49"/>
  <c r="A1662" i="49"/>
  <c r="A1661" i="49"/>
  <c r="A1660" i="49"/>
  <c r="A1659" i="49"/>
  <c r="A1658" i="49"/>
  <c r="A1657" i="49"/>
  <c r="A1656" i="49"/>
  <c r="A1655" i="49"/>
  <c r="A1654" i="49"/>
  <c r="A1653" i="49"/>
  <c r="A1652" i="49"/>
  <c r="A1651" i="49"/>
  <c r="A1650" i="49"/>
  <c r="A1649" i="49"/>
  <c r="A1648" i="49"/>
  <c r="A1647" i="49"/>
  <c r="A1646" i="49"/>
  <c r="A1645" i="49"/>
  <c r="A1644" i="49"/>
  <c r="A1643" i="49"/>
  <c r="A1642" i="49"/>
  <c r="A1641" i="49"/>
  <c r="A1640" i="49"/>
  <c r="A1639" i="49"/>
  <c r="A1638" i="49"/>
  <c r="A1637" i="49"/>
  <c r="A1636" i="49"/>
  <c r="A1635" i="49"/>
  <c r="A1634" i="49"/>
  <c r="A1633" i="49"/>
  <c r="A1632" i="49"/>
  <c r="A1631" i="49"/>
  <c r="A1630" i="49"/>
  <c r="A1629" i="49"/>
  <c r="A1628" i="49"/>
  <c r="A1627" i="49"/>
  <c r="A1626" i="49"/>
  <c r="A1625" i="49"/>
  <c r="A1624" i="49"/>
  <c r="A1623" i="49"/>
  <c r="A1622" i="49"/>
  <c r="A1621" i="49"/>
  <c r="A1620" i="49"/>
  <c r="A1619" i="49"/>
  <c r="A1618" i="49"/>
  <c r="A1617" i="49"/>
  <c r="A1616" i="49"/>
  <c r="A1615" i="49"/>
  <c r="A1614" i="49"/>
  <c r="A1613" i="49"/>
  <c r="A1612" i="49"/>
  <c r="A1611" i="49"/>
  <c r="A1610" i="49"/>
  <c r="A1609" i="49"/>
  <c r="A1608" i="49"/>
  <c r="A1607" i="49"/>
  <c r="A1606" i="49"/>
  <c r="A1605" i="49"/>
  <c r="A1604" i="49"/>
  <c r="A1603" i="49"/>
  <c r="A1602" i="49"/>
  <c r="A1601" i="49"/>
  <c r="A1600" i="49"/>
  <c r="A1599" i="49"/>
  <c r="A1598" i="49"/>
  <c r="A1597" i="49"/>
  <c r="A1596" i="49"/>
  <c r="A1595" i="49"/>
  <c r="A1594" i="49"/>
  <c r="A1593" i="49"/>
  <c r="A1592" i="49"/>
  <c r="A1591" i="49"/>
  <c r="A1590" i="49"/>
  <c r="A1589" i="49"/>
  <c r="A1588" i="49"/>
  <c r="A1587" i="49"/>
  <c r="A1586" i="49"/>
  <c r="A1585" i="49"/>
  <c r="A1584" i="49"/>
  <c r="A1583" i="49"/>
  <c r="A1582" i="49"/>
  <c r="A1581" i="49"/>
  <c r="A1580" i="49"/>
  <c r="A1579" i="49"/>
  <c r="A1578" i="49"/>
  <c r="A1577" i="49"/>
  <c r="A1576" i="49"/>
  <c r="A1575" i="49"/>
  <c r="A1574" i="49"/>
  <c r="A1573" i="49"/>
  <c r="A1572" i="49"/>
  <c r="A1571" i="49"/>
  <c r="A1570" i="49"/>
  <c r="A1569" i="49"/>
  <c r="A1568" i="49"/>
  <c r="A1567" i="49"/>
  <c r="A1566" i="49"/>
  <c r="A1565" i="49"/>
  <c r="A1564" i="49"/>
  <c r="A1563" i="49"/>
  <c r="A1562" i="49"/>
  <c r="A1561" i="49"/>
  <c r="A1560" i="49"/>
  <c r="A1559" i="49"/>
  <c r="A1558" i="49"/>
  <c r="A1557" i="49"/>
  <c r="A1556" i="49"/>
  <c r="A1555" i="49"/>
  <c r="A1554" i="49"/>
  <c r="A1553" i="49"/>
  <c r="A1552" i="49"/>
  <c r="A1551" i="49"/>
  <c r="A1550" i="49"/>
  <c r="A1549" i="49"/>
  <c r="A1548" i="49"/>
  <c r="A1547" i="49"/>
  <c r="A1546" i="49"/>
  <c r="A1545" i="49"/>
  <c r="A1544" i="49"/>
  <c r="A1543" i="49"/>
  <c r="A1542" i="49"/>
  <c r="A1541" i="49"/>
  <c r="A1540" i="49"/>
  <c r="A1539" i="49"/>
  <c r="A1538" i="49"/>
  <c r="A1537" i="49"/>
  <c r="A1536" i="49"/>
  <c r="A1535" i="49"/>
  <c r="A1534" i="49"/>
  <c r="A1533" i="49"/>
  <c r="A1532" i="49"/>
  <c r="A1531" i="49"/>
  <c r="A1530" i="49"/>
  <c r="A1529" i="49"/>
  <c r="A1528" i="49"/>
  <c r="A1527" i="49"/>
  <c r="A1526" i="49"/>
  <c r="A1525" i="49"/>
  <c r="A1524" i="49"/>
  <c r="A1523" i="49"/>
  <c r="A1522" i="49"/>
  <c r="A1521" i="49"/>
  <c r="A1520" i="49"/>
  <c r="A1519" i="49"/>
  <c r="A1518" i="49"/>
  <c r="A1517" i="49"/>
  <c r="A1516" i="49"/>
  <c r="A1515" i="49"/>
  <c r="A1514" i="49"/>
  <c r="A1513" i="49"/>
  <c r="A1512" i="49"/>
  <c r="A1511" i="49"/>
  <c r="A1510" i="49"/>
  <c r="A1509" i="49"/>
  <c r="A1508" i="49"/>
  <c r="A1507" i="49"/>
  <c r="A1506" i="49"/>
  <c r="A1505" i="49"/>
  <c r="A1504" i="49"/>
  <c r="A1503" i="49"/>
  <c r="A1502" i="49"/>
  <c r="A1501" i="49"/>
  <c r="A1500" i="49"/>
  <c r="A1499" i="49"/>
  <c r="A1498" i="49"/>
  <c r="A1497" i="49"/>
  <c r="A1496" i="49"/>
  <c r="A1495" i="49"/>
  <c r="A1494" i="49"/>
  <c r="A1493" i="49"/>
  <c r="A1492" i="49"/>
  <c r="A1491" i="49"/>
  <c r="A1490" i="49"/>
  <c r="A1489" i="49"/>
  <c r="A1488" i="49"/>
  <c r="A1487" i="49"/>
  <c r="A1486" i="49"/>
  <c r="A1485" i="49"/>
  <c r="A1484" i="49"/>
  <c r="A1483" i="49"/>
  <c r="A1482" i="49"/>
  <c r="A1481" i="49"/>
  <c r="A1480" i="49"/>
  <c r="A1479" i="49"/>
  <c r="A1478" i="49"/>
  <c r="A1477" i="49"/>
  <c r="A1476" i="49"/>
  <c r="A1475" i="49"/>
  <c r="A1474" i="49"/>
  <c r="A1473" i="49"/>
  <c r="A1472" i="49"/>
  <c r="A1471" i="49"/>
  <c r="A1470" i="49"/>
  <c r="A1469" i="49"/>
  <c r="A1468" i="49"/>
  <c r="A1467" i="49"/>
  <c r="A1466" i="49"/>
  <c r="A1465" i="49"/>
  <c r="A1464" i="49"/>
  <c r="A1463" i="49"/>
  <c r="A1462" i="49"/>
  <c r="A1461" i="49"/>
  <c r="A1460" i="49"/>
  <c r="A1459" i="49"/>
  <c r="A1458" i="49"/>
  <c r="A1457" i="49"/>
  <c r="A1456" i="49"/>
  <c r="A1455" i="49"/>
  <c r="A1454" i="49"/>
  <c r="A1453" i="49"/>
  <c r="A1452" i="49"/>
  <c r="A1451" i="49"/>
  <c r="A1450" i="49"/>
  <c r="A1449" i="49"/>
  <c r="A1448" i="49"/>
  <c r="A1447" i="49"/>
  <c r="A1446" i="49"/>
  <c r="A1445" i="49"/>
  <c r="A1444" i="49"/>
  <c r="A1443" i="49"/>
  <c r="A1442" i="49"/>
  <c r="A1441" i="49"/>
  <c r="A1440" i="49"/>
  <c r="A1439" i="49"/>
  <c r="A1438" i="49"/>
  <c r="A1437" i="49"/>
  <c r="A1436" i="49"/>
  <c r="A1435" i="49"/>
  <c r="A1434" i="49"/>
  <c r="A1433" i="49"/>
  <c r="A1432" i="49"/>
  <c r="A1431" i="49"/>
  <c r="A1430" i="49"/>
  <c r="A1429" i="49"/>
  <c r="A1428" i="49"/>
  <c r="A1427" i="49"/>
  <c r="A1426" i="49"/>
  <c r="A1425" i="49"/>
  <c r="A1424" i="49"/>
  <c r="A1423" i="49"/>
  <c r="A1422" i="49"/>
  <c r="A1421" i="49"/>
  <c r="A1420" i="49"/>
  <c r="A1419" i="49"/>
  <c r="A1418" i="49"/>
  <c r="A1417" i="49"/>
  <c r="A1416" i="49"/>
  <c r="A1415" i="49"/>
  <c r="A1414" i="49"/>
  <c r="A1413" i="49"/>
  <c r="A1412" i="49"/>
  <c r="A1411" i="49"/>
  <c r="A1410" i="49"/>
  <c r="A1409" i="49"/>
  <c r="A1408" i="49"/>
  <c r="A1407" i="49"/>
  <c r="A1406" i="49"/>
  <c r="A1405" i="49"/>
  <c r="A1404" i="49"/>
  <c r="A1403" i="49"/>
  <c r="A1402" i="49"/>
  <c r="A1401" i="49"/>
  <c r="A1400" i="49"/>
  <c r="A1399" i="49"/>
  <c r="A1398" i="49"/>
  <c r="A1397" i="49"/>
  <c r="A1396" i="49"/>
  <c r="A1395" i="49"/>
  <c r="A1394" i="49"/>
  <c r="A1393" i="49"/>
  <c r="A1392" i="49"/>
  <c r="A1391" i="49"/>
  <c r="A1390" i="49"/>
  <c r="A1389" i="49"/>
  <c r="A1388" i="49"/>
  <c r="A1387" i="49"/>
  <c r="A1386" i="49"/>
  <c r="A1385" i="49"/>
  <c r="A1384" i="49"/>
  <c r="A1383" i="49"/>
  <c r="A1382" i="49"/>
  <c r="A1381" i="49"/>
  <c r="A1380" i="49"/>
  <c r="A1379" i="49"/>
  <c r="A1378" i="49"/>
  <c r="A1377" i="49"/>
  <c r="A1376" i="49"/>
  <c r="A1375" i="49"/>
  <c r="A1374" i="49"/>
  <c r="A1373" i="49"/>
  <c r="A1372" i="49"/>
  <c r="A1371" i="49"/>
  <c r="A1370" i="49"/>
  <c r="A1369" i="49"/>
  <c r="A1368" i="49"/>
  <c r="A1367" i="49"/>
  <c r="A1366" i="49"/>
  <c r="A1365" i="49"/>
  <c r="A1364" i="49"/>
  <c r="A1363" i="49"/>
  <c r="A1362" i="49"/>
  <c r="A1361" i="49"/>
  <c r="A1360" i="49"/>
  <c r="A1359" i="49"/>
  <c r="A1358" i="49"/>
  <c r="A1357" i="49"/>
  <c r="A1356" i="49"/>
  <c r="A1355" i="49"/>
  <c r="A1354" i="49"/>
  <c r="A1353" i="49"/>
  <c r="A1352" i="49"/>
  <c r="A1351" i="49"/>
  <c r="A1350" i="49"/>
  <c r="A1349" i="49"/>
  <c r="A1348" i="49"/>
  <c r="A1347" i="49"/>
  <c r="A1346" i="49"/>
  <c r="A1345" i="49"/>
  <c r="A1344" i="49"/>
  <c r="A1343" i="49"/>
  <c r="A1342" i="49"/>
  <c r="A1341" i="49"/>
  <c r="A1340" i="49"/>
  <c r="A1339" i="49"/>
  <c r="A1338" i="49"/>
  <c r="A1337" i="49"/>
  <c r="A1336" i="49"/>
  <c r="A1335" i="49"/>
  <c r="A1334" i="49"/>
  <c r="A1333" i="49"/>
  <c r="A1332" i="49"/>
  <c r="A1331" i="49"/>
  <c r="A1330" i="49"/>
  <c r="A1329" i="49"/>
  <c r="A1328" i="49"/>
  <c r="A1327" i="49"/>
  <c r="A1326" i="49"/>
  <c r="A1325" i="49"/>
  <c r="A1324" i="49"/>
  <c r="A1323" i="49"/>
  <c r="A1322" i="49"/>
  <c r="A1321" i="49"/>
  <c r="A1320" i="49"/>
  <c r="A1319" i="49"/>
  <c r="A1318" i="49"/>
  <c r="A1317" i="49"/>
  <c r="A1316" i="49"/>
  <c r="A1315" i="49"/>
  <c r="A1314" i="49"/>
  <c r="A1313" i="49"/>
  <c r="A1312" i="49"/>
  <c r="A1311" i="49"/>
  <c r="A1310" i="49"/>
  <c r="A1309" i="49"/>
  <c r="A1308" i="49"/>
  <c r="A1307" i="49"/>
  <c r="A1306" i="49"/>
  <c r="A1305" i="49"/>
  <c r="A1304" i="49"/>
  <c r="A1303" i="49"/>
  <c r="A1302" i="49"/>
  <c r="A1301" i="49"/>
  <c r="A1300" i="49"/>
  <c r="A1299" i="49"/>
  <c r="A1298" i="49"/>
  <c r="A1297" i="49"/>
  <c r="A1296" i="49"/>
  <c r="A1295" i="49"/>
  <c r="A1294" i="49"/>
  <c r="A1293" i="49"/>
  <c r="A1292" i="49"/>
  <c r="A1291" i="49"/>
  <c r="A1290" i="49"/>
  <c r="A1289" i="49"/>
  <c r="A1288" i="49"/>
  <c r="A1287" i="49"/>
  <c r="A1286" i="49"/>
  <c r="A1285" i="49"/>
  <c r="A1284" i="49"/>
  <c r="A1283" i="49"/>
  <c r="A1282" i="49"/>
  <c r="A1281" i="49"/>
  <c r="A1280" i="49"/>
  <c r="A1279" i="49"/>
  <c r="A1278" i="49"/>
  <c r="A1277" i="49"/>
  <c r="A1276" i="49"/>
  <c r="A1275" i="49"/>
  <c r="A1274" i="49"/>
  <c r="A1273" i="49"/>
  <c r="A1272" i="49"/>
  <c r="A1271" i="49"/>
  <c r="A1270" i="49"/>
  <c r="A1269" i="49"/>
  <c r="A1268" i="49"/>
  <c r="A1267" i="49"/>
  <c r="A1266" i="49"/>
  <c r="A1265" i="49"/>
  <c r="A1264" i="49"/>
  <c r="A1263" i="49"/>
  <c r="A1262" i="49"/>
  <c r="A1261" i="49"/>
  <c r="A1260" i="49"/>
  <c r="A1259" i="49"/>
  <c r="A1258" i="49"/>
  <c r="A1257" i="49"/>
  <c r="A1256" i="49"/>
  <c r="A1255" i="49"/>
  <c r="A1254" i="49"/>
  <c r="A1253" i="49"/>
  <c r="A1252" i="49"/>
  <c r="A1251" i="49"/>
  <c r="A1250" i="49"/>
  <c r="A1249" i="49"/>
  <c r="A1248" i="49"/>
  <c r="A1247" i="49"/>
  <c r="A1246" i="49"/>
  <c r="A1245" i="49"/>
  <c r="A1244" i="49"/>
  <c r="A1243" i="49"/>
  <c r="A1242" i="49"/>
  <c r="A1241" i="49"/>
  <c r="A1240" i="49"/>
  <c r="A1239" i="49"/>
  <c r="A1238" i="49"/>
  <c r="A1237" i="49"/>
  <c r="A1236" i="49"/>
  <c r="A1235" i="49"/>
  <c r="A1234" i="49"/>
  <c r="A1233" i="49"/>
  <c r="A1232" i="49"/>
  <c r="A1231" i="49"/>
  <c r="A1230" i="49"/>
  <c r="A1229" i="49"/>
  <c r="A1228" i="49"/>
  <c r="A1227" i="49"/>
  <c r="A1226" i="49"/>
  <c r="A1225" i="49"/>
  <c r="A1224" i="49"/>
  <c r="A1223" i="49"/>
  <c r="A1222" i="49"/>
  <c r="A1221" i="49"/>
  <c r="A1220" i="49"/>
  <c r="A1219" i="49"/>
  <c r="A1218" i="49"/>
  <c r="A1217" i="49"/>
  <c r="A1216" i="49"/>
  <c r="A1215" i="49"/>
  <c r="A1214" i="49"/>
  <c r="A1213" i="49"/>
  <c r="A1212" i="49"/>
  <c r="A1211" i="49"/>
  <c r="A1210" i="49"/>
  <c r="A1209" i="49"/>
  <c r="A1208" i="49"/>
  <c r="A1207" i="49"/>
  <c r="A1206" i="49"/>
  <c r="A1205" i="49"/>
  <c r="A1204" i="49"/>
  <c r="A1203" i="49"/>
  <c r="A1202" i="49"/>
  <c r="A1201" i="49"/>
  <c r="A1200" i="49"/>
  <c r="A1199" i="49"/>
  <c r="A1198" i="49"/>
  <c r="A1197" i="49"/>
  <c r="A1196" i="49"/>
  <c r="A1195" i="49"/>
  <c r="A1194" i="49"/>
  <c r="A1193" i="49"/>
  <c r="A1192" i="49"/>
  <c r="A1191" i="49"/>
  <c r="A1190" i="49"/>
  <c r="A1189" i="49"/>
  <c r="A1188" i="49"/>
  <c r="A1187" i="49"/>
  <c r="A1186" i="49"/>
  <c r="A1185" i="49"/>
  <c r="A1184" i="49"/>
  <c r="A1183" i="49"/>
  <c r="A1182" i="49"/>
  <c r="A1181" i="49"/>
  <c r="A1180" i="49"/>
  <c r="A1179" i="49"/>
  <c r="A1178" i="49"/>
  <c r="A1177" i="49"/>
  <c r="A1176" i="49"/>
  <c r="A1175" i="49"/>
  <c r="A1174" i="49"/>
  <c r="A1173" i="49"/>
  <c r="A1172" i="49"/>
  <c r="A1171" i="49"/>
  <c r="A1170" i="49"/>
  <c r="A1169" i="49"/>
  <c r="A1168" i="49"/>
  <c r="A1167" i="49"/>
  <c r="A1166" i="49"/>
  <c r="A1165" i="49"/>
  <c r="A1164" i="49"/>
  <c r="A1163" i="49"/>
  <c r="A1162" i="49"/>
  <c r="A1161" i="49"/>
  <c r="A1160" i="49"/>
  <c r="A1159" i="49"/>
  <c r="A1158" i="49"/>
  <c r="A1157" i="49"/>
  <c r="A1156" i="49"/>
  <c r="A1155" i="49"/>
  <c r="A1154" i="49"/>
  <c r="A1153" i="49"/>
  <c r="A1152" i="49"/>
  <c r="A1151" i="49"/>
  <c r="A1150" i="49"/>
  <c r="A1149" i="49"/>
  <c r="A1148" i="49"/>
  <c r="A1147" i="49"/>
  <c r="A1146" i="49"/>
  <c r="A1145" i="49"/>
  <c r="A1144" i="49"/>
  <c r="A1143" i="49"/>
  <c r="A1142" i="49"/>
  <c r="A1141" i="49"/>
  <c r="A1140" i="49"/>
  <c r="A1139" i="49"/>
  <c r="A1138" i="49"/>
  <c r="A1137" i="49"/>
  <c r="A1136" i="49"/>
  <c r="A1135" i="49"/>
  <c r="A1134" i="49"/>
  <c r="A1133" i="49"/>
  <c r="A1132" i="49"/>
  <c r="A1131" i="49"/>
  <c r="A1130" i="49"/>
  <c r="A1129" i="49"/>
  <c r="A1128" i="49"/>
  <c r="A1127" i="49"/>
  <c r="A1126" i="49"/>
  <c r="A1125" i="49"/>
  <c r="A1124" i="49"/>
  <c r="A1123" i="49"/>
  <c r="A1122" i="49"/>
  <c r="A1121" i="49"/>
  <c r="A1120" i="49"/>
  <c r="A1119" i="49"/>
  <c r="A1118" i="49"/>
  <c r="A1117" i="49"/>
  <c r="A1116" i="49"/>
  <c r="A1115" i="49"/>
  <c r="A1114" i="49"/>
  <c r="A1113" i="49"/>
  <c r="A1112" i="49"/>
  <c r="A1111" i="49"/>
  <c r="A1110" i="49"/>
  <c r="A1109" i="49"/>
  <c r="A1108" i="49"/>
  <c r="A1107" i="49"/>
  <c r="A1106" i="49"/>
  <c r="A1105" i="49"/>
  <c r="A1104" i="49"/>
  <c r="A1103" i="49"/>
  <c r="A1102" i="49"/>
  <c r="A1101" i="49"/>
  <c r="A1100" i="49"/>
  <c r="A1099" i="49"/>
  <c r="A1098" i="49"/>
  <c r="A1097" i="49"/>
  <c r="A1096" i="49"/>
  <c r="A1095" i="49"/>
  <c r="A1094" i="49"/>
  <c r="A1093" i="49"/>
  <c r="A1092" i="49"/>
  <c r="A1091" i="49"/>
  <c r="A1090" i="49"/>
  <c r="A1089" i="49"/>
  <c r="A1088" i="49"/>
  <c r="A1087" i="49"/>
  <c r="A1086" i="49"/>
  <c r="A1085" i="49"/>
  <c r="A1084" i="49"/>
  <c r="A1083" i="49"/>
  <c r="A1082" i="49"/>
  <c r="A1081" i="49"/>
  <c r="A1080" i="49"/>
  <c r="A1079" i="49"/>
  <c r="A1078" i="49"/>
  <c r="A1077" i="49"/>
  <c r="A1076" i="49"/>
  <c r="A1075" i="49"/>
  <c r="A1074" i="49"/>
  <c r="A1073" i="49"/>
  <c r="A1072" i="49"/>
  <c r="A1071" i="49"/>
  <c r="A1070" i="49"/>
  <c r="A1069" i="49"/>
  <c r="A1068" i="49"/>
  <c r="A1067" i="49"/>
  <c r="A1066" i="49"/>
  <c r="A1065" i="49"/>
  <c r="A1064" i="49"/>
  <c r="A1063" i="49"/>
  <c r="A1062" i="49"/>
  <c r="A1061" i="49"/>
  <c r="A1060" i="49"/>
  <c r="A1059" i="49"/>
  <c r="A1058" i="49"/>
  <c r="A1057" i="49"/>
  <c r="A1056" i="49"/>
  <c r="A1055" i="49"/>
  <c r="A1054" i="49"/>
  <c r="A1053" i="49"/>
  <c r="A1052" i="49"/>
  <c r="A1051" i="49"/>
  <c r="A1050" i="49"/>
  <c r="A1049" i="49"/>
  <c r="A1048" i="49"/>
  <c r="A1047" i="49"/>
  <c r="A1046" i="49"/>
  <c r="A1045" i="49"/>
  <c r="A1044" i="49"/>
  <c r="A1043" i="49"/>
  <c r="A1042" i="49"/>
  <c r="A1041" i="49"/>
  <c r="A1040" i="49"/>
  <c r="A1039" i="49"/>
  <c r="A1038" i="49"/>
  <c r="A1037" i="49"/>
  <c r="A1036" i="49"/>
  <c r="A1035" i="49"/>
  <c r="A1034" i="49"/>
  <c r="A1033" i="49"/>
  <c r="A1032" i="49"/>
  <c r="A1031" i="49"/>
  <c r="A1030" i="49"/>
  <c r="A1029" i="49"/>
  <c r="A1028" i="49"/>
  <c r="A1027" i="49"/>
  <c r="A1026" i="49"/>
  <c r="A1025" i="49"/>
  <c r="A1024" i="49"/>
  <c r="A1023" i="49"/>
  <c r="A1022" i="49"/>
  <c r="A1021" i="49"/>
  <c r="A1020" i="49"/>
  <c r="A1019" i="49"/>
  <c r="A1018" i="49"/>
  <c r="A1017" i="49"/>
  <c r="A1016" i="49"/>
  <c r="A1015" i="49"/>
  <c r="A1014" i="49"/>
  <c r="A1013" i="49"/>
  <c r="A1012" i="49"/>
  <c r="A1011" i="49"/>
  <c r="A1010" i="49"/>
  <c r="A1009" i="49"/>
  <c r="A1008" i="49"/>
  <c r="A1007" i="49"/>
  <c r="A1006" i="49"/>
  <c r="A1005" i="49"/>
  <c r="A1004" i="49"/>
  <c r="A1003" i="49"/>
  <c r="A1002" i="49"/>
  <c r="A1001" i="49"/>
  <c r="A1000" i="49"/>
  <c r="A999" i="49"/>
  <c r="A998" i="49"/>
  <c r="A997" i="49"/>
  <c r="A996" i="49"/>
  <c r="A995" i="49"/>
  <c r="A994" i="49"/>
  <c r="A993" i="49"/>
  <c r="A992" i="49"/>
  <c r="A991" i="49"/>
  <c r="A990" i="49"/>
  <c r="A989" i="49"/>
  <c r="A988" i="49"/>
  <c r="A987" i="49"/>
  <c r="A986" i="49"/>
  <c r="A985" i="49"/>
  <c r="A984" i="49"/>
  <c r="A983" i="49"/>
  <c r="A982" i="49"/>
  <c r="A981" i="49"/>
  <c r="A980" i="49"/>
  <c r="A979" i="49"/>
  <c r="A978" i="49"/>
  <c r="A977" i="49"/>
  <c r="A976" i="49"/>
  <c r="A975" i="49"/>
  <c r="A974" i="49"/>
  <c r="A973" i="49"/>
  <c r="A972" i="49"/>
  <c r="A971" i="49"/>
  <c r="A970" i="49"/>
  <c r="A969" i="49"/>
  <c r="A968" i="49"/>
  <c r="A967" i="49"/>
  <c r="A966" i="49"/>
  <c r="A965" i="49"/>
  <c r="A964" i="49"/>
  <c r="A963" i="49"/>
  <c r="A962" i="49"/>
  <c r="A961" i="49"/>
  <c r="A960" i="49"/>
  <c r="A959" i="49"/>
  <c r="A958" i="49"/>
  <c r="A957" i="49"/>
  <c r="A956" i="49"/>
  <c r="A955" i="49"/>
  <c r="A954" i="49"/>
  <c r="A953" i="49"/>
  <c r="A952" i="49"/>
  <c r="A951" i="49"/>
  <c r="A950" i="49"/>
  <c r="A949" i="49"/>
  <c r="A948" i="49"/>
  <c r="A947" i="49"/>
  <c r="A946" i="49"/>
  <c r="A945" i="49"/>
  <c r="A944" i="49"/>
  <c r="A943" i="49"/>
  <c r="A942" i="49"/>
  <c r="A941" i="49"/>
  <c r="A940" i="49"/>
  <c r="A939" i="49"/>
  <c r="A938" i="49"/>
  <c r="A937" i="49"/>
  <c r="A936" i="49"/>
  <c r="A935" i="49"/>
  <c r="A934" i="49"/>
  <c r="A933" i="49"/>
  <c r="A932" i="49"/>
  <c r="A931" i="49"/>
  <c r="A930" i="49"/>
  <c r="A929" i="49"/>
  <c r="A928" i="49"/>
  <c r="A927" i="49"/>
  <c r="A926" i="49"/>
  <c r="A925" i="49"/>
  <c r="A924" i="49"/>
  <c r="A923" i="49"/>
  <c r="A922" i="49"/>
  <c r="A921" i="49"/>
  <c r="A920" i="49"/>
  <c r="A919" i="49"/>
  <c r="A918" i="49"/>
  <c r="A917" i="49"/>
  <c r="A916" i="49"/>
  <c r="A915" i="49"/>
  <c r="A914" i="49"/>
  <c r="A913" i="49"/>
  <c r="A912" i="49"/>
  <c r="A911" i="49"/>
  <c r="A910" i="49"/>
  <c r="A909" i="49"/>
  <c r="A908" i="49"/>
  <c r="A907" i="49"/>
  <c r="A906" i="49"/>
  <c r="A905" i="49"/>
  <c r="A904" i="49"/>
  <c r="A903" i="49"/>
  <c r="A902" i="49"/>
  <c r="A901" i="49"/>
  <c r="A900" i="49"/>
  <c r="A899" i="49"/>
  <c r="A898" i="49"/>
  <c r="A897" i="49"/>
  <c r="A896" i="49"/>
  <c r="A895" i="49"/>
  <c r="A894" i="49"/>
  <c r="A893" i="49"/>
  <c r="A892" i="49"/>
  <c r="A891" i="49"/>
  <c r="A890" i="49"/>
  <c r="A889" i="49"/>
  <c r="A888" i="49"/>
  <c r="A887" i="49"/>
  <c r="A886" i="49"/>
  <c r="A885" i="49"/>
  <c r="A884" i="49"/>
  <c r="A883" i="49"/>
  <c r="A882" i="49"/>
  <c r="A881" i="49"/>
  <c r="A880" i="49"/>
  <c r="A879" i="49"/>
  <c r="A878" i="49"/>
  <c r="A877" i="49"/>
  <c r="A876" i="49"/>
  <c r="A875" i="49"/>
  <c r="A874" i="49"/>
  <c r="A873" i="49"/>
  <c r="A872" i="49"/>
  <c r="A871" i="49"/>
  <c r="A870" i="49"/>
  <c r="A869" i="49"/>
  <c r="A868" i="49"/>
  <c r="A867" i="49"/>
  <c r="A866" i="49"/>
  <c r="A865" i="49"/>
  <c r="A864" i="49"/>
  <c r="A863" i="49"/>
  <c r="A862" i="49"/>
  <c r="A861" i="49"/>
  <c r="A860" i="49"/>
  <c r="A859" i="49"/>
  <c r="A858" i="49"/>
  <c r="A857" i="49"/>
  <c r="A856" i="49"/>
  <c r="A855" i="49"/>
  <c r="A854" i="49"/>
  <c r="A853" i="49"/>
  <c r="A852" i="49"/>
  <c r="A851" i="49"/>
  <c r="A850" i="49"/>
  <c r="A849" i="49"/>
  <c r="A848" i="49"/>
  <c r="A847" i="49"/>
  <c r="A846" i="49"/>
  <c r="A845" i="49"/>
  <c r="A844" i="49"/>
  <c r="A843" i="49"/>
  <c r="A842" i="49"/>
  <c r="A841" i="49"/>
  <c r="A840" i="49"/>
  <c r="A839" i="49"/>
  <c r="A838" i="49"/>
  <c r="A837" i="49"/>
  <c r="A836" i="49"/>
  <c r="A835" i="49"/>
  <c r="A834" i="49"/>
  <c r="A833" i="49"/>
  <c r="A832" i="49"/>
  <c r="A831" i="49"/>
  <c r="A830" i="49"/>
  <c r="A829" i="49"/>
  <c r="A828" i="49"/>
  <c r="A827" i="49"/>
  <c r="A826" i="49"/>
  <c r="A825" i="49"/>
  <c r="A824" i="49"/>
  <c r="A823" i="49"/>
  <c r="A822" i="49"/>
  <c r="A821" i="49"/>
  <c r="A820" i="49"/>
  <c r="A819" i="49"/>
  <c r="A818" i="49"/>
  <c r="A817" i="49"/>
  <c r="A816" i="49"/>
  <c r="A815" i="49"/>
  <c r="A814" i="49"/>
  <c r="A813" i="49"/>
  <c r="A812" i="49"/>
  <c r="A811" i="49"/>
  <c r="A810" i="49"/>
  <c r="A809" i="49"/>
  <c r="A808" i="49"/>
  <c r="A807" i="49"/>
  <c r="A806" i="49"/>
  <c r="A805" i="49"/>
  <c r="A804" i="49"/>
  <c r="A803" i="49"/>
  <c r="A802" i="49"/>
  <c r="A801" i="49"/>
  <c r="A800" i="49"/>
  <c r="A799" i="49"/>
  <c r="A798" i="49"/>
  <c r="A797" i="49"/>
  <c r="A796" i="49"/>
  <c r="A795" i="49"/>
  <c r="A794" i="49"/>
  <c r="A793" i="49"/>
  <c r="A792" i="49"/>
  <c r="A791" i="49"/>
  <c r="A790" i="49"/>
  <c r="A789" i="49"/>
  <c r="A788" i="49"/>
  <c r="A787" i="49"/>
  <c r="A786" i="49"/>
  <c r="A785" i="49"/>
  <c r="A784" i="49"/>
  <c r="A783" i="49"/>
  <c r="A782" i="49"/>
  <c r="A781" i="49"/>
  <c r="A780" i="49"/>
  <c r="A779" i="49"/>
  <c r="A778" i="49"/>
  <c r="A777" i="49"/>
  <c r="A776" i="49"/>
  <c r="A775" i="49"/>
  <c r="A774" i="49"/>
  <c r="A773" i="49"/>
  <c r="A772" i="49"/>
  <c r="A771" i="49"/>
  <c r="A770" i="49"/>
  <c r="A769" i="49"/>
  <c r="A768" i="49"/>
  <c r="A767" i="49"/>
  <c r="A766" i="49"/>
  <c r="A765" i="49"/>
  <c r="A764" i="49"/>
  <c r="A763" i="49"/>
  <c r="A762" i="49"/>
  <c r="A761" i="49"/>
  <c r="A760" i="49"/>
  <c r="A759" i="49"/>
  <c r="A758" i="49"/>
  <c r="A757" i="49"/>
  <c r="A756" i="49"/>
  <c r="A755" i="49"/>
  <c r="A754" i="49"/>
  <c r="A753" i="49"/>
  <c r="A752" i="49"/>
  <c r="A751" i="49"/>
  <c r="A750" i="49"/>
  <c r="A749" i="49"/>
  <c r="A748" i="49"/>
  <c r="A747" i="49"/>
  <c r="A746" i="49"/>
  <c r="A745" i="49"/>
  <c r="A744" i="49"/>
  <c r="A743" i="49"/>
  <c r="A742" i="49"/>
  <c r="A741" i="49"/>
  <c r="A740" i="49"/>
  <c r="A739" i="49"/>
  <c r="A738" i="49"/>
  <c r="A737" i="49"/>
  <c r="A736" i="49"/>
  <c r="A735" i="49"/>
  <c r="A734" i="49"/>
  <c r="A733" i="49"/>
  <c r="A732" i="49"/>
  <c r="A731" i="49"/>
  <c r="A730" i="49"/>
  <c r="A729" i="49"/>
  <c r="A728" i="49"/>
  <c r="A727" i="49"/>
  <c r="A726" i="49"/>
  <c r="A725" i="49"/>
  <c r="A724" i="49"/>
  <c r="A723" i="49"/>
  <c r="A722" i="49"/>
  <c r="A721" i="49"/>
  <c r="A720" i="49"/>
  <c r="A719" i="49"/>
  <c r="A718" i="49"/>
  <c r="A717" i="49"/>
  <c r="A716" i="49"/>
  <c r="A715" i="49"/>
  <c r="A714" i="49"/>
  <c r="A713" i="49"/>
  <c r="A712" i="49"/>
  <c r="A711" i="49"/>
  <c r="A710" i="49"/>
  <c r="A709" i="49"/>
  <c r="A708" i="49"/>
  <c r="A707" i="49"/>
  <c r="A706" i="49"/>
  <c r="A705" i="49"/>
  <c r="A704" i="49"/>
  <c r="A703" i="49"/>
  <c r="A702" i="49"/>
  <c r="A701" i="49"/>
  <c r="A700" i="49"/>
  <c r="A699" i="49"/>
  <c r="A698" i="49"/>
  <c r="A697" i="49"/>
  <c r="A696" i="49"/>
  <c r="A695" i="49"/>
  <c r="A694" i="49"/>
  <c r="A693" i="49"/>
  <c r="A692" i="49"/>
  <c r="A691" i="49"/>
  <c r="A690" i="49"/>
  <c r="A689" i="49"/>
  <c r="A688" i="49"/>
  <c r="A687" i="49"/>
  <c r="A686" i="49"/>
  <c r="A685" i="49"/>
  <c r="A684" i="49"/>
  <c r="A683" i="49"/>
  <c r="A682" i="49"/>
  <c r="A681" i="49"/>
  <c r="A680" i="49"/>
  <c r="A679" i="49"/>
  <c r="A678" i="49"/>
  <c r="A677" i="49"/>
  <c r="A676" i="49"/>
  <c r="A675" i="49"/>
  <c r="A674" i="49"/>
  <c r="A673" i="49"/>
  <c r="A672" i="49"/>
  <c r="A671" i="49"/>
  <c r="A670" i="49"/>
  <c r="A669" i="49"/>
  <c r="A668" i="49"/>
  <c r="A667" i="49"/>
  <c r="A666" i="49"/>
  <c r="A665" i="49"/>
  <c r="A664" i="49"/>
  <c r="A663" i="49"/>
  <c r="A662" i="49"/>
  <c r="A661" i="49"/>
  <c r="A660" i="49"/>
  <c r="A659" i="49"/>
  <c r="A658" i="49"/>
  <c r="A657" i="49"/>
  <c r="A656" i="49"/>
  <c r="A655" i="49"/>
  <c r="A654" i="49"/>
  <c r="A653" i="49"/>
  <c r="A652" i="49"/>
  <c r="A651" i="49"/>
  <c r="A650" i="49"/>
  <c r="A649" i="49"/>
  <c r="A648" i="49"/>
  <c r="A647" i="49"/>
  <c r="A646" i="49"/>
  <c r="A645" i="49"/>
  <c r="A644" i="49"/>
  <c r="A643" i="49"/>
  <c r="A642" i="49"/>
  <c r="A641" i="49"/>
  <c r="A640" i="49"/>
  <c r="A639" i="49"/>
  <c r="A638" i="49"/>
  <c r="A637" i="49"/>
  <c r="A636" i="49"/>
  <c r="A635" i="49"/>
  <c r="A634" i="49"/>
  <c r="A633" i="49"/>
  <c r="A632" i="49"/>
  <c r="A631" i="49"/>
  <c r="A630" i="49"/>
  <c r="A629" i="49"/>
  <c r="A628" i="49"/>
  <c r="A627" i="49"/>
  <c r="A626" i="49"/>
  <c r="A625" i="49"/>
  <c r="A624" i="49"/>
  <c r="A623" i="49"/>
  <c r="A622" i="49"/>
  <c r="A621" i="49"/>
  <c r="A620" i="49"/>
  <c r="A619" i="49"/>
  <c r="A618" i="49"/>
  <c r="A617" i="49"/>
  <c r="A616" i="49"/>
  <c r="A615" i="49"/>
  <c r="A614" i="49"/>
  <c r="A613" i="49"/>
  <c r="A612" i="49"/>
  <c r="A611" i="49"/>
  <c r="A610" i="49"/>
  <c r="A609" i="49"/>
  <c r="A608" i="49"/>
  <c r="A607" i="49"/>
  <c r="A606" i="49"/>
  <c r="A605" i="49"/>
  <c r="A604" i="49"/>
  <c r="A603" i="49"/>
  <c r="A602" i="49"/>
  <c r="A601" i="49"/>
  <c r="A600" i="49"/>
  <c r="A599" i="49"/>
  <c r="A598" i="49"/>
  <c r="A597" i="49"/>
  <c r="A596" i="49"/>
  <c r="A595" i="49"/>
  <c r="A594" i="49"/>
  <c r="A593" i="49"/>
  <c r="A592" i="49"/>
  <c r="A591" i="49"/>
  <c r="A590" i="49"/>
  <c r="A589" i="49"/>
  <c r="A588" i="49"/>
  <c r="A587" i="49"/>
  <c r="A586" i="49"/>
  <c r="A585" i="49"/>
  <c r="A584" i="49"/>
  <c r="A583" i="49"/>
  <c r="A582" i="49"/>
  <c r="A581" i="49"/>
  <c r="A580" i="49"/>
  <c r="A579" i="49"/>
  <c r="A578" i="49"/>
  <c r="A577" i="49"/>
  <c r="A576" i="49"/>
  <c r="A575" i="49"/>
  <c r="A574" i="49"/>
  <c r="A573" i="49"/>
  <c r="A572" i="49"/>
  <c r="A571" i="49"/>
  <c r="A570" i="49"/>
  <c r="A569" i="49"/>
  <c r="A568" i="49"/>
  <c r="A567" i="49"/>
  <c r="A566" i="49"/>
  <c r="A565" i="49"/>
  <c r="A564" i="49"/>
  <c r="A563" i="49"/>
  <c r="A562" i="49"/>
  <c r="A561" i="49"/>
  <c r="A560" i="49"/>
  <c r="A559" i="49"/>
  <c r="A558" i="49"/>
  <c r="A557" i="49"/>
  <c r="A556" i="49"/>
  <c r="A555" i="49"/>
  <c r="A554" i="49"/>
  <c r="A553" i="49"/>
  <c r="A552" i="49"/>
  <c r="A551" i="49"/>
  <c r="A550" i="49"/>
  <c r="A549" i="49"/>
  <c r="A548" i="49"/>
  <c r="A547" i="49"/>
  <c r="A546" i="49"/>
  <c r="A545" i="49"/>
  <c r="A544" i="49"/>
  <c r="A543" i="49"/>
  <c r="A542" i="49"/>
  <c r="A541" i="49"/>
  <c r="A540" i="49"/>
  <c r="A539" i="49"/>
  <c r="A538" i="49"/>
  <c r="A537" i="49"/>
  <c r="A536" i="49"/>
  <c r="A535" i="49"/>
  <c r="A534" i="49"/>
  <c r="A533" i="49"/>
  <c r="A532" i="49"/>
  <c r="A531" i="49"/>
  <c r="A530" i="49"/>
  <c r="A529" i="49"/>
  <c r="A528" i="49"/>
  <c r="A527" i="49"/>
  <c r="A526" i="49"/>
  <c r="A525" i="49"/>
  <c r="A524" i="49"/>
  <c r="A523" i="49"/>
  <c r="A522" i="49"/>
  <c r="A521" i="49"/>
  <c r="A520" i="49"/>
  <c r="A519" i="49"/>
  <c r="A518" i="49"/>
  <c r="A517" i="49"/>
  <c r="A516" i="49"/>
  <c r="A515" i="49"/>
  <c r="A514" i="49"/>
  <c r="A513" i="49"/>
  <c r="A512" i="49"/>
  <c r="A511" i="49"/>
  <c r="A510" i="49"/>
  <c r="A509" i="49"/>
  <c r="A508" i="49"/>
  <c r="A507" i="49"/>
  <c r="A506" i="49"/>
  <c r="A505" i="49"/>
  <c r="A504" i="49"/>
  <c r="A503" i="49"/>
  <c r="A502" i="49"/>
  <c r="A501" i="49"/>
  <c r="A500" i="49"/>
  <c r="A499" i="49"/>
  <c r="A498" i="49"/>
  <c r="A497" i="49"/>
  <c r="A496" i="49"/>
  <c r="A495" i="49"/>
  <c r="A494" i="49"/>
  <c r="A493" i="49"/>
  <c r="A492" i="49"/>
  <c r="A491" i="49"/>
  <c r="A490" i="49"/>
  <c r="A489" i="49"/>
  <c r="A488" i="49"/>
  <c r="A487" i="49"/>
  <c r="A486" i="49"/>
  <c r="A485" i="49"/>
  <c r="A484" i="49"/>
  <c r="A483" i="49"/>
  <c r="A482" i="49"/>
  <c r="A481" i="49"/>
  <c r="A480" i="49"/>
  <c r="A479" i="49"/>
  <c r="A478" i="49"/>
  <c r="A477" i="49"/>
  <c r="A476" i="49"/>
  <c r="A475" i="49"/>
  <c r="A474" i="49"/>
  <c r="A473" i="49"/>
  <c r="A472" i="49"/>
  <c r="A471" i="49"/>
  <c r="A470" i="49"/>
  <c r="A469" i="49"/>
  <c r="A468" i="49"/>
  <c r="A467" i="49"/>
  <c r="A466" i="49"/>
  <c r="A465" i="49"/>
  <c r="A464" i="49"/>
  <c r="A463" i="49"/>
  <c r="A462" i="49"/>
  <c r="A461" i="49"/>
  <c r="A460" i="49"/>
  <c r="A459" i="49"/>
  <c r="A458" i="49"/>
  <c r="A457" i="49"/>
  <c r="A456" i="49"/>
  <c r="A455" i="49"/>
  <c r="A454" i="49"/>
  <c r="A453" i="49"/>
  <c r="A452" i="49"/>
  <c r="A451" i="49"/>
  <c r="A450" i="49"/>
  <c r="A449" i="49"/>
  <c r="A448" i="49"/>
  <c r="A447" i="49"/>
  <c r="A446" i="49"/>
  <c r="A445" i="49"/>
  <c r="A444" i="49"/>
  <c r="A443" i="49"/>
  <c r="A442" i="49"/>
  <c r="A441" i="49"/>
  <c r="A440" i="49"/>
  <c r="A439" i="49"/>
  <c r="A438" i="49"/>
  <c r="A437" i="49"/>
  <c r="A436" i="49"/>
  <c r="A435" i="49"/>
  <c r="A434" i="49"/>
  <c r="A433" i="49"/>
  <c r="A432" i="49"/>
  <c r="A431" i="49"/>
  <c r="A430" i="49"/>
  <c r="A429" i="49"/>
  <c r="A428" i="49"/>
  <c r="A427" i="49"/>
  <c r="A426" i="49"/>
  <c r="A425" i="49"/>
  <c r="A424" i="49"/>
  <c r="A423" i="49"/>
  <c r="A422" i="49"/>
  <c r="A421" i="49"/>
  <c r="A420" i="49"/>
  <c r="A419" i="49"/>
  <c r="A418" i="49"/>
  <c r="A417" i="49"/>
  <c r="A416" i="49"/>
  <c r="A415" i="49"/>
  <c r="A414" i="49"/>
  <c r="A413" i="49"/>
  <c r="A412" i="49"/>
  <c r="A411" i="49"/>
  <c r="A410" i="49"/>
  <c r="A409" i="49"/>
  <c r="A408" i="49"/>
  <c r="A407" i="49"/>
  <c r="A406" i="49"/>
  <c r="A405" i="49"/>
  <c r="A404" i="49"/>
  <c r="A403" i="49"/>
  <c r="A402" i="49"/>
  <c r="A401" i="49"/>
  <c r="A400" i="49"/>
  <c r="A399" i="49"/>
  <c r="A398" i="49"/>
  <c r="A397" i="49"/>
  <c r="A396" i="49"/>
  <c r="A395" i="49"/>
  <c r="A394" i="49"/>
  <c r="A393" i="49"/>
  <c r="A392" i="49"/>
  <c r="A391" i="49"/>
  <c r="A390" i="49"/>
  <c r="A389" i="49"/>
  <c r="A388" i="49"/>
  <c r="A387" i="49"/>
  <c r="A386" i="49"/>
  <c r="A385" i="49"/>
  <c r="A384" i="49"/>
  <c r="A383" i="49"/>
  <c r="A382" i="49"/>
  <c r="A381" i="49"/>
  <c r="A380" i="49"/>
  <c r="A379" i="49"/>
  <c r="A378" i="49"/>
  <c r="A377" i="49"/>
  <c r="A376" i="49"/>
  <c r="A375" i="49"/>
  <c r="A374" i="49"/>
  <c r="A373" i="49"/>
  <c r="A372" i="49"/>
  <c r="A371" i="49"/>
  <c r="A370" i="49"/>
  <c r="A369" i="49"/>
  <c r="A368" i="49"/>
  <c r="A367" i="49"/>
  <c r="A366" i="49"/>
  <c r="A365" i="49"/>
  <c r="A364" i="49"/>
  <c r="A363" i="49"/>
  <c r="A362" i="49"/>
  <c r="A361" i="49"/>
  <c r="A360" i="49"/>
  <c r="A359" i="49"/>
  <c r="A358" i="49"/>
  <c r="A357" i="49"/>
  <c r="A356" i="49"/>
  <c r="A355" i="49"/>
  <c r="A354" i="49"/>
  <c r="A353" i="49"/>
  <c r="A352" i="49"/>
  <c r="A351" i="49"/>
  <c r="A350" i="49"/>
  <c r="A349" i="49"/>
  <c r="A348" i="49"/>
  <c r="A347" i="49"/>
  <c r="A346" i="49"/>
  <c r="A345" i="49"/>
  <c r="A344" i="49"/>
  <c r="A343" i="49"/>
  <c r="A342" i="49"/>
  <c r="A341" i="49"/>
  <c r="A340" i="49"/>
  <c r="A339" i="49"/>
  <c r="A338" i="49"/>
  <c r="A337" i="49"/>
  <c r="A336" i="49"/>
  <c r="A335" i="49"/>
  <c r="A334" i="49"/>
  <c r="A333" i="49"/>
  <c r="A332" i="49"/>
  <c r="A331" i="49"/>
  <c r="A330" i="49"/>
  <c r="A329" i="49"/>
  <c r="A328" i="49"/>
  <c r="A327" i="49"/>
  <c r="A326" i="49"/>
  <c r="A325" i="49"/>
  <c r="A324" i="49"/>
  <c r="A323" i="49"/>
  <c r="A322" i="49"/>
  <c r="A321" i="49"/>
  <c r="A320" i="49"/>
  <c r="A319" i="49"/>
  <c r="A318" i="49"/>
  <c r="A317" i="49"/>
  <c r="A316" i="49"/>
  <c r="A315" i="49"/>
  <c r="A314" i="49"/>
  <c r="A313" i="49"/>
  <c r="A312" i="49"/>
  <c r="A311" i="49"/>
  <c r="A310" i="49"/>
  <c r="A309" i="49"/>
  <c r="A308" i="49"/>
  <c r="A307" i="49"/>
  <c r="A306" i="49"/>
  <c r="A305" i="49"/>
  <c r="A304" i="49"/>
  <c r="A303" i="49"/>
  <c r="A302" i="49"/>
  <c r="A301" i="49"/>
  <c r="A300" i="49"/>
  <c r="A299" i="49"/>
  <c r="A298" i="49"/>
  <c r="A297" i="49"/>
  <c r="A296" i="49"/>
  <c r="A295" i="49"/>
  <c r="A294" i="49"/>
  <c r="A293" i="49"/>
  <c r="A292" i="49"/>
  <c r="A291" i="49"/>
  <c r="A290" i="49"/>
  <c r="A289" i="49"/>
  <c r="A288" i="49"/>
  <c r="A287" i="49"/>
  <c r="A286" i="49"/>
  <c r="A285" i="49"/>
  <c r="A284" i="49"/>
  <c r="A283" i="49"/>
  <c r="A282" i="49"/>
  <c r="A281" i="49"/>
  <c r="A280" i="49"/>
  <c r="A279" i="49"/>
  <c r="A278" i="49"/>
  <c r="A277" i="49"/>
  <c r="A276" i="49"/>
  <c r="A275" i="49"/>
  <c r="A274" i="49"/>
  <c r="A273" i="49"/>
  <c r="A272" i="49"/>
  <c r="A271" i="49"/>
  <c r="A270" i="49"/>
  <c r="A269" i="49"/>
  <c r="A268" i="49"/>
  <c r="A267" i="49"/>
  <c r="A266" i="49"/>
  <c r="A265" i="49"/>
  <c r="A264" i="49"/>
  <c r="A263" i="49"/>
  <c r="A262" i="49"/>
  <c r="A261" i="49"/>
  <c r="A260" i="49"/>
  <c r="A259" i="49"/>
  <c r="A258" i="49"/>
  <c r="A257" i="49"/>
  <c r="A256" i="49"/>
  <c r="A255" i="49"/>
  <c r="A254" i="49"/>
  <c r="A253" i="49"/>
  <c r="A252" i="49"/>
  <c r="A251" i="49"/>
  <c r="A250" i="49"/>
  <c r="A249" i="49"/>
  <c r="A248" i="49"/>
  <c r="A247" i="49"/>
  <c r="A246" i="49"/>
  <c r="A245" i="49"/>
  <c r="A244" i="49"/>
  <c r="A243" i="49"/>
  <c r="A242" i="49"/>
  <c r="A241" i="49"/>
  <c r="A240" i="49"/>
  <c r="A239" i="49"/>
  <c r="A238" i="49"/>
  <c r="A237" i="49"/>
  <c r="A236" i="49"/>
  <c r="A235" i="49"/>
  <c r="A234" i="49"/>
  <c r="A233" i="49"/>
  <c r="A232" i="49"/>
  <c r="A231" i="49"/>
  <c r="A230" i="49"/>
  <c r="A229" i="49"/>
  <c r="E2245" i="49"/>
  <c r="E2246" i="49" s="1"/>
  <c r="E2247" i="49" s="1"/>
  <c r="E2248" i="49" s="1"/>
  <c r="E2249" i="49" s="1"/>
  <c r="E2250" i="49" s="1"/>
  <c r="E2251" i="49" s="1"/>
  <c r="E2252" i="49" s="1"/>
  <c r="E2253" i="49" s="1"/>
  <c r="E2254" i="49" s="1"/>
  <c r="E2255" i="49" s="1"/>
  <c r="E2256" i="49" s="1"/>
  <c r="E2257" i="49" s="1"/>
  <c r="E2258" i="49" s="1"/>
  <c r="E2259" i="49" s="1"/>
  <c r="E2260" i="49" s="1"/>
  <c r="E2261" i="49" s="1"/>
  <c r="E2262" i="49" s="1"/>
  <c r="E2263" i="49" s="1"/>
  <c r="E2264" i="49" s="1"/>
  <c r="E2265" i="49" s="1"/>
  <c r="E2266" i="49" s="1"/>
  <c r="E2267" i="49" s="1"/>
  <c r="E2268" i="49" s="1"/>
  <c r="E2269" i="49" s="1"/>
  <c r="E2270" i="49" s="1"/>
  <c r="E2271" i="49" s="1"/>
  <c r="E2218" i="49"/>
  <c r="E2219" i="49" s="1"/>
  <c r="E2220" i="49" s="1"/>
  <c r="E2221" i="49" s="1"/>
  <c r="E2222" i="49" s="1"/>
  <c r="E2223" i="49" s="1"/>
  <c r="E2224" i="49" s="1"/>
  <c r="E2225" i="49" s="1"/>
  <c r="E2226" i="49" s="1"/>
  <c r="E2227" i="49" s="1"/>
  <c r="E2228" i="49" s="1"/>
  <c r="E2229" i="49" s="1"/>
  <c r="E2230" i="49" s="1"/>
  <c r="E2231" i="49" s="1"/>
  <c r="E2232" i="49" s="1"/>
  <c r="E2233" i="49" s="1"/>
  <c r="E2234" i="49" s="1"/>
  <c r="E2235" i="49" s="1"/>
  <c r="E2236" i="49" s="1"/>
  <c r="E2237" i="49" s="1"/>
  <c r="E2238" i="49" s="1"/>
  <c r="E2239" i="49" s="1"/>
  <c r="E2240" i="49" s="1"/>
  <c r="E2241" i="49" s="1"/>
  <c r="E2242" i="49" s="1"/>
  <c r="E2243" i="49" s="1"/>
  <c r="E2198" i="49"/>
  <c r="E2199" i="49" s="1"/>
  <c r="E2200" i="49" s="1"/>
  <c r="E2201" i="49" s="1"/>
  <c r="E2202" i="49" s="1"/>
  <c r="E2203" i="49" s="1"/>
  <c r="E2204" i="49" s="1"/>
  <c r="E2205" i="49" s="1"/>
  <c r="E2206" i="49" s="1"/>
  <c r="E2207" i="49" s="1"/>
  <c r="E2208" i="49" s="1"/>
  <c r="E2209" i="49" s="1"/>
  <c r="E2210" i="49" s="1"/>
  <c r="E2211" i="49" s="1"/>
  <c r="E2212" i="49" s="1"/>
  <c r="E2213" i="49" s="1"/>
  <c r="E2214" i="49" s="1"/>
  <c r="E2215" i="49" s="1"/>
  <c r="E2216" i="49" s="1"/>
  <c r="E2197" i="49"/>
  <c r="E2178" i="49"/>
  <c r="E2179" i="49" s="1"/>
  <c r="E2180" i="49" s="1"/>
  <c r="E2181" i="49" s="1"/>
  <c r="E2182" i="49" s="1"/>
  <c r="E2183" i="49" s="1"/>
  <c r="E2184" i="49" s="1"/>
  <c r="E2185" i="49" s="1"/>
  <c r="E2186" i="49" s="1"/>
  <c r="E2187" i="49" s="1"/>
  <c r="E2188" i="49" s="1"/>
  <c r="E2189" i="49" s="1"/>
  <c r="E2190" i="49" s="1"/>
  <c r="E2191" i="49" s="1"/>
  <c r="E2192" i="49" s="1"/>
  <c r="E2193" i="49" s="1"/>
  <c r="E2194" i="49" s="1"/>
  <c r="E2195" i="49" s="1"/>
  <c r="E2161" i="49"/>
  <c r="E2162" i="49" s="1"/>
  <c r="E2163" i="49" s="1"/>
  <c r="E2164" i="49" s="1"/>
  <c r="E2165" i="49" s="1"/>
  <c r="E2166" i="49" s="1"/>
  <c r="E2167" i="49" s="1"/>
  <c r="E2168" i="49" s="1"/>
  <c r="E2169" i="49" s="1"/>
  <c r="E2170" i="49" s="1"/>
  <c r="E2171" i="49" s="1"/>
  <c r="E2172" i="49" s="1"/>
  <c r="E2173" i="49" s="1"/>
  <c r="E2174" i="49" s="1"/>
  <c r="E2175" i="49" s="1"/>
  <c r="E2176" i="49" s="1"/>
  <c r="E2133" i="49"/>
  <c r="E2134" i="49" s="1"/>
  <c r="E2135" i="49" s="1"/>
  <c r="E2136" i="49" s="1"/>
  <c r="E2137" i="49" s="1"/>
  <c r="E2138" i="49" s="1"/>
  <c r="E2139" i="49" s="1"/>
  <c r="E2140" i="49" s="1"/>
  <c r="E2141" i="49" s="1"/>
  <c r="E2142" i="49" s="1"/>
  <c r="E2143" i="49" s="1"/>
  <c r="E2144" i="49" s="1"/>
  <c r="E2145" i="49" s="1"/>
  <c r="E2146" i="49" s="1"/>
  <c r="E2147" i="49" s="1"/>
  <c r="E2148" i="49" s="1"/>
  <c r="E2149" i="49" s="1"/>
  <c r="E2150" i="49" s="1"/>
  <c r="E2151" i="49" s="1"/>
  <c r="E2152" i="49" s="1"/>
  <c r="E2153" i="49" s="1"/>
  <c r="E2154" i="49" s="1"/>
  <c r="E2155" i="49" s="1"/>
  <c r="E2156" i="49" s="1"/>
  <c r="E2157" i="49" s="1"/>
  <c r="E2158" i="49" s="1"/>
  <c r="E2159" i="49" s="1"/>
  <c r="E2106" i="49"/>
  <c r="E2107" i="49" s="1"/>
  <c r="E2108" i="49" s="1"/>
  <c r="E2109" i="49" s="1"/>
  <c r="E2110" i="49" s="1"/>
  <c r="E2111" i="49" s="1"/>
  <c r="E2112" i="49" s="1"/>
  <c r="E2113" i="49" s="1"/>
  <c r="E2114" i="49" s="1"/>
  <c r="E2115" i="49" s="1"/>
  <c r="E2116" i="49" s="1"/>
  <c r="E2117" i="49" s="1"/>
  <c r="E2118" i="49" s="1"/>
  <c r="E2119" i="49" s="1"/>
  <c r="E2120" i="49" s="1"/>
  <c r="E2121" i="49" s="1"/>
  <c r="E2122" i="49" s="1"/>
  <c r="E2123" i="49" s="1"/>
  <c r="E2124" i="49" s="1"/>
  <c r="E2125" i="49" s="1"/>
  <c r="E2126" i="49" s="1"/>
  <c r="E2127" i="49" s="1"/>
  <c r="E2128" i="49" s="1"/>
  <c r="E2129" i="49" s="1"/>
  <c r="E2130" i="49" s="1"/>
  <c r="E2131" i="49" s="1"/>
  <c r="E2085" i="49"/>
  <c r="E2086" i="49" s="1"/>
  <c r="E2087" i="49" s="1"/>
  <c r="E2088" i="49" s="1"/>
  <c r="E2089" i="49" s="1"/>
  <c r="E2090" i="49" s="1"/>
  <c r="E2091" i="49" s="1"/>
  <c r="E2092" i="49" s="1"/>
  <c r="E2093" i="49" s="1"/>
  <c r="E2094" i="49" s="1"/>
  <c r="E2095" i="49" s="1"/>
  <c r="E2096" i="49" s="1"/>
  <c r="E2097" i="49" s="1"/>
  <c r="E2098" i="49" s="1"/>
  <c r="E2099" i="49" s="1"/>
  <c r="E2100" i="49" s="1"/>
  <c r="E2101" i="49" s="1"/>
  <c r="E2102" i="49" s="1"/>
  <c r="E2103" i="49" s="1"/>
  <c r="E2104" i="49" s="1"/>
  <c r="E2065" i="49"/>
  <c r="E2066" i="49" s="1"/>
  <c r="E2067" i="49" s="1"/>
  <c r="E2068" i="49" s="1"/>
  <c r="E2069" i="49" s="1"/>
  <c r="E2070" i="49" s="1"/>
  <c r="E2071" i="49" s="1"/>
  <c r="E2072" i="49" s="1"/>
  <c r="E2073" i="49" s="1"/>
  <c r="E2074" i="49" s="1"/>
  <c r="E2075" i="49" s="1"/>
  <c r="E2076" i="49" s="1"/>
  <c r="E2077" i="49" s="1"/>
  <c r="E2078" i="49" s="1"/>
  <c r="E2079" i="49" s="1"/>
  <c r="E2080" i="49" s="1"/>
  <c r="E2081" i="49" s="1"/>
  <c r="E2082" i="49" s="1"/>
  <c r="E2083" i="49" s="1"/>
  <c r="E2046" i="49"/>
  <c r="E2047" i="49" s="1"/>
  <c r="E2048" i="49" s="1"/>
  <c r="E2049" i="49" s="1"/>
  <c r="E2050" i="49" s="1"/>
  <c r="E2051" i="49" s="1"/>
  <c r="E2052" i="49" s="1"/>
  <c r="E2053" i="49" s="1"/>
  <c r="E2054" i="49" s="1"/>
  <c r="E2055" i="49" s="1"/>
  <c r="E2056" i="49" s="1"/>
  <c r="E2057" i="49" s="1"/>
  <c r="E2058" i="49" s="1"/>
  <c r="E2059" i="49" s="1"/>
  <c r="E2060" i="49" s="1"/>
  <c r="E2061" i="49" s="1"/>
  <c r="E2062" i="49" s="1"/>
  <c r="E2063" i="49" s="1"/>
  <c r="E2018" i="49"/>
  <c r="E2019" i="49" s="1"/>
  <c r="E2020" i="49" s="1"/>
  <c r="E2021" i="49" s="1"/>
  <c r="E2022" i="49" s="1"/>
  <c r="E2023" i="49" s="1"/>
  <c r="E2024" i="49" s="1"/>
  <c r="E2025" i="49" s="1"/>
  <c r="E2026" i="49" s="1"/>
  <c r="E2027" i="49" s="1"/>
  <c r="E2028" i="49" s="1"/>
  <c r="E2029" i="49" s="1"/>
  <c r="E2030" i="49" s="1"/>
  <c r="E2031" i="49" s="1"/>
  <c r="E2032" i="49" s="1"/>
  <c r="E2033" i="49" s="1"/>
  <c r="E2034" i="49" s="1"/>
  <c r="E2035" i="49" s="1"/>
  <c r="E2036" i="49" s="1"/>
  <c r="E2037" i="49" s="1"/>
  <c r="E2038" i="49" s="1"/>
  <c r="E2039" i="49" s="1"/>
  <c r="E2040" i="49" s="1"/>
  <c r="E2041" i="49" s="1"/>
  <c r="E2042" i="49" s="1"/>
  <c r="E2043" i="49" s="1"/>
  <c r="E2044" i="49" s="1"/>
  <c r="E1991" i="49"/>
  <c r="E1992" i="49" s="1"/>
  <c r="E1993" i="49" s="1"/>
  <c r="E1994" i="49" s="1"/>
  <c r="E1995" i="49" s="1"/>
  <c r="E1996" i="49" s="1"/>
  <c r="E1997" i="49" s="1"/>
  <c r="E1998" i="49" s="1"/>
  <c r="E1999" i="49" s="1"/>
  <c r="E2000" i="49" s="1"/>
  <c r="E2001" i="49" s="1"/>
  <c r="E2002" i="49" s="1"/>
  <c r="E2003" i="49" s="1"/>
  <c r="E2004" i="49" s="1"/>
  <c r="E2005" i="49" s="1"/>
  <c r="E2006" i="49" s="1"/>
  <c r="E2007" i="49" s="1"/>
  <c r="E2008" i="49" s="1"/>
  <c r="E2009" i="49" s="1"/>
  <c r="E2010" i="49" s="1"/>
  <c r="E2011" i="49" s="1"/>
  <c r="E2012" i="49" s="1"/>
  <c r="E2013" i="49" s="1"/>
  <c r="E2014" i="49" s="1"/>
  <c r="E2015" i="49" s="1"/>
  <c r="E2016" i="49" s="1"/>
  <c r="E1970" i="49"/>
  <c r="E1971" i="49" s="1"/>
  <c r="E1972" i="49" s="1"/>
  <c r="E1973" i="49" s="1"/>
  <c r="E1974" i="49" s="1"/>
  <c r="E1975" i="49" s="1"/>
  <c r="E1976" i="49" s="1"/>
  <c r="E1977" i="49" s="1"/>
  <c r="E1978" i="49" s="1"/>
  <c r="E1979" i="49" s="1"/>
  <c r="E1980" i="49" s="1"/>
  <c r="E1981" i="49" s="1"/>
  <c r="E1982" i="49" s="1"/>
  <c r="E1983" i="49" s="1"/>
  <c r="E1984" i="49" s="1"/>
  <c r="E1985" i="49" s="1"/>
  <c r="E1986" i="49" s="1"/>
  <c r="E1987" i="49" s="1"/>
  <c r="E1988" i="49" s="1"/>
  <c r="E1989" i="49" s="1"/>
  <c r="E1951" i="49"/>
  <c r="E1952" i="49" s="1"/>
  <c r="E1953" i="49" s="1"/>
  <c r="E1954" i="49" s="1"/>
  <c r="E1955" i="49" s="1"/>
  <c r="E1956" i="49" s="1"/>
  <c r="E1957" i="49" s="1"/>
  <c r="E1958" i="49" s="1"/>
  <c r="E1959" i="49" s="1"/>
  <c r="E1960" i="49" s="1"/>
  <c r="E1961" i="49" s="1"/>
  <c r="E1962" i="49" s="1"/>
  <c r="E1963" i="49" s="1"/>
  <c r="E1964" i="49" s="1"/>
  <c r="E1965" i="49" s="1"/>
  <c r="E1966" i="49" s="1"/>
  <c r="E1967" i="49" s="1"/>
  <c r="E1968" i="49" s="1"/>
  <c r="E1934" i="49"/>
  <c r="E1935" i="49" s="1"/>
  <c r="E1936" i="49" s="1"/>
  <c r="E1937" i="49" s="1"/>
  <c r="E1938" i="49" s="1"/>
  <c r="E1939" i="49" s="1"/>
  <c r="E1940" i="49" s="1"/>
  <c r="E1941" i="49" s="1"/>
  <c r="E1942" i="49" s="1"/>
  <c r="E1943" i="49" s="1"/>
  <c r="E1944" i="49" s="1"/>
  <c r="E1945" i="49" s="1"/>
  <c r="E1946" i="49" s="1"/>
  <c r="E1947" i="49" s="1"/>
  <c r="E1948" i="49" s="1"/>
  <c r="E1949" i="49" s="1"/>
  <c r="E1906" i="49"/>
  <c r="E1907" i="49" s="1"/>
  <c r="E1908" i="49" s="1"/>
  <c r="E1909" i="49" s="1"/>
  <c r="E1910" i="49" s="1"/>
  <c r="E1911" i="49" s="1"/>
  <c r="E1912" i="49" s="1"/>
  <c r="E1913" i="49" s="1"/>
  <c r="E1914" i="49" s="1"/>
  <c r="E1915" i="49" s="1"/>
  <c r="E1916" i="49" s="1"/>
  <c r="E1917" i="49" s="1"/>
  <c r="E1918" i="49" s="1"/>
  <c r="E1919" i="49" s="1"/>
  <c r="E1920" i="49" s="1"/>
  <c r="E1921" i="49" s="1"/>
  <c r="E1922" i="49" s="1"/>
  <c r="E1923" i="49" s="1"/>
  <c r="E1924" i="49" s="1"/>
  <c r="E1925" i="49" s="1"/>
  <c r="E1926" i="49" s="1"/>
  <c r="E1927" i="49" s="1"/>
  <c r="E1928" i="49" s="1"/>
  <c r="E1929" i="49" s="1"/>
  <c r="E1930" i="49" s="1"/>
  <c r="E1931" i="49" s="1"/>
  <c r="E1932" i="49" s="1"/>
  <c r="E1879" i="49"/>
  <c r="E1880" i="49" s="1"/>
  <c r="E1881" i="49" s="1"/>
  <c r="E1882" i="49" s="1"/>
  <c r="E1883" i="49" s="1"/>
  <c r="E1884" i="49" s="1"/>
  <c r="E1885" i="49" s="1"/>
  <c r="E1886" i="49" s="1"/>
  <c r="E1887" i="49" s="1"/>
  <c r="E1888" i="49" s="1"/>
  <c r="E1889" i="49" s="1"/>
  <c r="E1890" i="49" s="1"/>
  <c r="E1891" i="49" s="1"/>
  <c r="E1892" i="49" s="1"/>
  <c r="E1893" i="49" s="1"/>
  <c r="E1894" i="49" s="1"/>
  <c r="E1895" i="49" s="1"/>
  <c r="E1896" i="49" s="1"/>
  <c r="E1897" i="49" s="1"/>
  <c r="E1898" i="49" s="1"/>
  <c r="E1899" i="49" s="1"/>
  <c r="E1900" i="49" s="1"/>
  <c r="E1901" i="49" s="1"/>
  <c r="E1902" i="49" s="1"/>
  <c r="E1903" i="49" s="1"/>
  <c r="E1904" i="49" s="1"/>
  <c r="E1858" i="49"/>
  <c r="E1859" i="49" s="1"/>
  <c r="E1860" i="49" s="1"/>
  <c r="E1861" i="49" s="1"/>
  <c r="E1862" i="49" s="1"/>
  <c r="E1863" i="49" s="1"/>
  <c r="E1864" i="49" s="1"/>
  <c r="E1865" i="49" s="1"/>
  <c r="E1866" i="49" s="1"/>
  <c r="E1867" i="49" s="1"/>
  <c r="E1868" i="49" s="1"/>
  <c r="E1869" i="49" s="1"/>
  <c r="E1870" i="49" s="1"/>
  <c r="E1871" i="49" s="1"/>
  <c r="E1872" i="49" s="1"/>
  <c r="E1873" i="49" s="1"/>
  <c r="E1874" i="49" s="1"/>
  <c r="E1875" i="49" s="1"/>
  <c r="E1876" i="49" s="1"/>
  <c r="E1877" i="49" s="1"/>
  <c r="E1838" i="49"/>
  <c r="E1839" i="49" s="1"/>
  <c r="E1840" i="49" s="1"/>
  <c r="E1841" i="49" s="1"/>
  <c r="E1842" i="49" s="1"/>
  <c r="E1843" i="49" s="1"/>
  <c r="E1844" i="49" s="1"/>
  <c r="E1845" i="49" s="1"/>
  <c r="E1846" i="49" s="1"/>
  <c r="E1847" i="49" s="1"/>
  <c r="E1848" i="49" s="1"/>
  <c r="E1849" i="49" s="1"/>
  <c r="E1850" i="49" s="1"/>
  <c r="E1851" i="49" s="1"/>
  <c r="E1852" i="49" s="1"/>
  <c r="E1853" i="49" s="1"/>
  <c r="E1854" i="49" s="1"/>
  <c r="E1855" i="49" s="1"/>
  <c r="E1856" i="49" s="1"/>
  <c r="E1819" i="49"/>
  <c r="E1820" i="49" s="1"/>
  <c r="E1821" i="49" s="1"/>
  <c r="E1822" i="49" s="1"/>
  <c r="E1823" i="49" s="1"/>
  <c r="E1824" i="49" s="1"/>
  <c r="E1825" i="49" s="1"/>
  <c r="E1826" i="49" s="1"/>
  <c r="E1827" i="49" s="1"/>
  <c r="E1828" i="49" s="1"/>
  <c r="E1829" i="49" s="1"/>
  <c r="E1830" i="49" s="1"/>
  <c r="E1831" i="49" s="1"/>
  <c r="E1832" i="49" s="1"/>
  <c r="E1833" i="49" s="1"/>
  <c r="E1834" i="49" s="1"/>
  <c r="E1835" i="49" s="1"/>
  <c r="E1836" i="49" s="1"/>
  <c r="E1791" i="49"/>
  <c r="E1792" i="49" s="1"/>
  <c r="E1793" i="49" s="1"/>
  <c r="E1794" i="49" s="1"/>
  <c r="E1795" i="49" s="1"/>
  <c r="E1796" i="49" s="1"/>
  <c r="E1797" i="49" s="1"/>
  <c r="E1798" i="49" s="1"/>
  <c r="E1799" i="49" s="1"/>
  <c r="E1800" i="49" s="1"/>
  <c r="E1801" i="49" s="1"/>
  <c r="E1802" i="49" s="1"/>
  <c r="E1803" i="49" s="1"/>
  <c r="E1804" i="49" s="1"/>
  <c r="E1805" i="49" s="1"/>
  <c r="E1806" i="49" s="1"/>
  <c r="E1807" i="49" s="1"/>
  <c r="E1808" i="49" s="1"/>
  <c r="E1809" i="49" s="1"/>
  <c r="E1810" i="49" s="1"/>
  <c r="E1811" i="49" s="1"/>
  <c r="E1812" i="49" s="1"/>
  <c r="E1813" i="49" s="1"/>
  <c r="E1814" i="49" s="1"/>
  <c r="E1815" i="49" s="1"/>
  <c r="E1816" i="49" s="1"/>
  <c r="E1817" i="49" s="1"/>
  <c r="E1764" i="49"/>
  <c r="E1765" i="49" s="1"/>
  <c r="E1766" i="49" s="1"/>
  <c r="E1767" i="49" s="1"/>
  <c r="E1768" i="49" s="1"/>
  <c r="E1769" i="49" s="1"/>
  <c r="E1770" i="49" s="1"/>
  <c r="E1771" i="49" s="1"/>
  <c r="E1772" i="49" s="1"/>
  <c r="E1773" i="49" s="1"/>
  <c r="E1774" i="49" s="1"/>
  <c r="E1775" i="49" s="1"/>
  <c r="E1776" i="49" s="1"/>
  <c r="E1777" i="49" s="1"/>
  <c r="E1778" i="49" s="1"/>
  <c r="E1779" i="49" s="1"/>
  <c r="E1780" i="49" s="1"/>
  <c r="E1781" i="49" s="1"/>
  <c r="E1782" i="49" s="1"/>
  <c r="E1783" i="49" s="1"/>
  <c r="E1784" i="49" s="1"/>
  <c r="E1785" i="49" s="1"/>
  <c r="E1786" i="49" s="1"/>
  <c r="E1787" i="49" s="1"/>
  <c r="E1788" i="49" s="1"/>
  <c r="E1789" i="49" s="1"/>
  <c r="E1743" i="49"/>
  <c r="E1744" i="49" s="1"/>
  <c r="E1745" i="49" s="1"/>
  <c r="E1746" i="49" s="1"/>
  <c r="E1747" i="49" s="1"/>
  <c r="E1748" i="49" s="1"/>
  <c r="E1749" i="49" s="1"/>
  <c r="E1750" i="49" s="1"/>
  <c r="E1751" i="49" s="1"/>
  <c r="E1752" i="49" s="1"/>
  <c r="E1753" i="49" s="1"/>
  <c r="E1754" i="49" s="1"/>
  <c r="E1755" i="49" s="1"/>
  <c r="E1756" i="49" s="1"/>
  <c r="E1757" i="49" s="1"/>
  <c r="E1758" i="49" s="1"/>
  <c r="E1759" i="49" s="1"/>
  <c r="E1760" i="49" s="1"/>
  <c r="E1761" i="49" s="1"/>
  <c r="E1762" i="49" s="1"/>
  <c r="E1724" i="49"/>
  <c r="E1725" i="49" s="1"/>
  <c r="E1726" i="49" s="1"/>
  <c r="E1727" i="49" s="1"/>
  <c r="E1728" i="49" s="1"/>
  <c r="E1729" i="49" s="1"/>
  <c r="E1730" i="49" s="1"/>
  <c r="E1731" i="49" s="1"/>
  <c r="E1732" i="49" s="1"/>
  <c r="E1733" i="49" s="1"/>
  <c r="E1734" i="49" s="1"/>
  <c r="E1735" i="49" s="1"/>
  <c r="E1736" i="49" s="1"/>
  <c r="E1737" i="49" s="1"/>
  <c r="E1738" i="49" s="1"/>
  <c r="E1739" i="49" s="1"/>
  <c r="E1740" i="49" s="1"/>
  <c r="E1741" i="49" s="1"/>
  <c r="E1707" i="49"/>
  <c r="E1708" i="49" s="1"/>
  <c r="E1709" i="49" s="1"/>
  <c r="E1710" i="49" s="1"/>
  <c r="E1711" i="49" s="1"/>
  <c r="E1712" i="49" s="1"/>
  <c r="E1713" i="49" s="1"/>
  <c r="E1714" i="49" s="1"/>
  <c r="E1715" i="49" s="1"/>
  <c r="E1716" i="49" s="1"/>
  <c r="E1717" i="49" s="1"/>
  <c r="E1718" i="49" s="1"/>
  <c r="E1719" i="49" s="1"/>
  <c r="E1720" i="49" s="1"/>
  <c r="E1721" i="49" s="1"/>
  <c r="E1722" i="49" s="1"/>
  <c r="E1679" i="49"/>
  <c r="E1680" i="49" s="1"/>
  <c r="E1681" i="49" s="1"/>
  <c r="E1682" i="49" s="1"/>
  <c r="E1683" i="49" s="1"/>
  <c r="E1684" i="49" s="1"/>
  <c r="E1685" i="49" s="1"/>
  <c r="E1686" i="49" s="1"/>
  <c r="E1687" i="49" s="1"/>
  <c r="E1688" i="49" s="1"/>
  <c r="E1689" i="49" s="1"/>
  <c r="E1690" i="49" s="1"/>
  <c r="E1691" i="49" s="1"/>
  <c r="E1692" i="49" s="1"/>
  <c r="E1693" i="49" s="1"/>
  <c r="E1694" i="49" s="1"/>
  <c r="E1695" i="49" s="1"/>
  <c r="E1696" i="49" s="1"/>
  <c r="E1697" i="49" s="1"/>
  <c r="E1698" i="49" s="1"/>
  <c r="E1699" i="49" s="1"/>
  <c r="E1700" i="49" s="1"/>
  <c r="E1701" i="49" s="1"/>
  <c r="E1702" i="49" s="1"/>
  <c r="E1703" i="49" s="1"/>
  <c r="E1704" i="49" s="1"/>
  <c r="E1705" i="49" s="1"/>
  <c r="E1652" i="49"/>
  <c r="E1653" i="49" s="1"/>
  <c r="E1654" i="49" s="1"/>
  <c r="E1655" i="49" s="1"/>
  <c r="E1656" i="49" s="1"/>
  <c r="E1657" i="49" s="1"/>
  <c r="E1658" i="49" s="1"/>
  <c r="E1659" i="49" s="1"/>
  <c r="E1660" i="49" s="1"/>
  <c r="E1661" i="49" s="1"/>
  <c r="E1662" i="49" s="1"/>
  <c r="E1663" i="49" s="1"/>
  <c r="E1664" i="49" s="1"/>
  <c r="E1665" i="49" s="1"/>
  <c r="E1666" i="49" s="1"/>
  <c r="E1667" i="49" s="1"/>
  <c r="E1668" i="49" s="1"/>
  <c r="E1669" i="49" s="1"/>
  <c r="E1670" i="49" s="1"/>
  <c r="E1671" i="49" s="1"/>
  <c r="E1672" i="49" s="1"/>
  <c r="E1673" i="49" s="1"/>
  <c r="E1674" i="49" s="1"/>
  <c r="E1675" i="49" s="1"/>
  <c r="E1676" i="49" s="1"/>
  <c r="E1677" i="49" s="1"/>
  <c r="E1631" i="49"/>
  <c r="E1632" i="49" s="1"/>
  <c r="E1633" i="49" s="1"/>
  <c r="E1634" i="49" s="1"/>
  <c r="E1635" i="49" s="1"/>
  <c r="E1636" i="49" s="1"/>
  <c r="E1637" i="49" s="1"/>
  <c r="E1638" i="49" s="1"/>
  <c r="E1639" i="49" s="1"/>
  <c r="E1640" i="49" s="1"/>
  <c r="E1641" i="49" s="1"/>
  <c r="E1642" i="49" s="1"/>
  <c r="E1643" i="49" s="1"/>
  <c r="E1644" i="49" s="1"/>
  <c r="E1645" i="49" s="1"/>
  <c r="E1646" i="49" s="1"/>
  <c r="E1647" i="49" s="1"/>
  <c r="E1648" i="49" s="1"/>
  <c r="E1649" i="49" s="1"/>
  <c r="E1650" i="49" s="1"/>
  <c r="E1611" i="49"/>
  <c r="E1612" i="49" s="1"/>
  <c r="E1613" i="49" s="1"/>
  <c r="E1614" i="49" s="1"/>
  <c r="E1615" i="49" s="1"/>
  <c r="E1616" i="49" s="1"/>
  <c r="E1617" i="49" s="1"/>
  <c r="E1618" i="49" s="1"/>
  <c r="E1619" i="49" s="1"/>
  <c r="E1620" i="49" s="1"/>
  <c r="E1621" i="49" s="1"/>
  <c r="E1622" i="49" s="1"/>
  <c r="E1623" i="49" s="1"/>
  <c r="E1624" i="49" s="1"/>
  <c r="E1625" i="49" s="1"/>
  <c r="E1626" i="49" s="1"/>
  <c r="E1627" i="49" s="1"/>
  <c r="E1628" i="49" s="1"/>
  <c r="E1629" i="49" s="1"/>
  <c r="E1592" i="49"/>
  <c r="E1593" i="49" s="1"/>
  <c r="E1594" i="49" s="1"/>
  <c r="E1595" i="49" s="1"/>
  <c r="E1596" i="49" s="1"/>
  <c r="E1597" i="49" s="1"/>
  <c r="E1598" i="49" s="1"/>
  <c r="E1599" i="49" s="1"/>
  <c r="E1600" i="49" s="1"/>
  <c r="E1601" i="49" s="1"/>
  <c r="E1602" i="49" s="1"/>
  <c r="E1603" i="49" s="1"/>
  <c r="E1604" i="49" s="1"/>
  <c r="E1605" i="49" s="1"/>
  <c r="E1606" i="49" s="1"/>
  <c r="E1607" i="49" s="1"/>
  <c r="E1608" i="49" s="1"/>
  <c r="E1609" i="49" s="1"/>
  <c r="E1564" i="49"/>
  <c r="E1565" i="49" s="1"/>
  <c r="E1566" i="49" s="1"/>
  <c r="E1567" i="49" s="1"/>
  <c r="E1568" i="49" s="1"/>
  <c r="E1569" i="49" s="1"/>
  <c r="E1570" i="49" s="1"/>
  <c r="E1571" i="49" s="1"/>
  <c r="E1572" i="49" s="1"/>
  <c r="E1573" i="49" s="1"/>
  <c r="E1574" i="49" s="1"/>
  <c r="E1575" i="49" s="1"/>
  <c r="E1576" i="49" s="1"/>
  <c r="E1577" i="49" s="1"/>
  <c r="E1578" i="49" s="1"/>
  <c r="E1579" i="49" s="1"/>
  <c r="E1580" i="49" s="1"/>
  <c r="E1581" i="49" s="1"/>
  <c r="E1582" i="49" s="1"/>
  <c r="E1583" i="49" s="1"/>
  <c r="E1584" i="49" s="1"/>
  <c r="E1585" i="49" s="1"/>
  <c r="E1586" i="49" s="1"/>
  <c r="E1587" i="49" s="1"/>
  <c r="E1588" i="49" s="1"/>
  <c r="E1589" i="49" s="1"/>
  <c r="E1590" i="49" s="1"/>
  <c r="E1537" i="49"/>
  <c r="E1538" i="49" s="1"/>
  <c r="E1539" i="49" s="1"/>
  <c r="E1540" i="49" s="1"/>
  <c r="E1541" i="49" s="1"/>
  <c r="E1542" i="49" s="1"/>
  <c r="E1543" i="49" s="1"/>
  <c r="E1544" i="49" s="1"/>
  <c r="E1545" i="49" s="1"/>
  <c r="E1546" i="49" s="1"/>
  <c r="E1547" i="49" s="1"/>
  <c r="E1548" i="49" s="1"/>
  <c r="E1549" i="49" s="1"/>
  <c r="E1550" i="49" s="1"/>
  <c r="E1551" i="49" s="1"/>
  <c r="E1552" i="49" s="1"/>
  <c r="E1553" i="49" s="1"/>
  <c r="E1554" i="49" s="1"/>
  <c r="E1555" i="49" s="1"/>
  <c r="E1556" i="49" s="1"/>
  <c r="E1557" i="49" s="1"/>
  <c r="E1558" i="49" s="1"/>
  <c r="E1559" i="49" s="1"/>
  <c r="E1560" i="49" s="1"/>
  <c r="E1561" i="49" s="1"/>
  <c r="E1562" i="49" s="1"/>
  <c r="E1516" i="49"/>
  <c r="E1517" i="49" s="1"/>
  <c r="E1518" i="49" s="1"/>
  <c r="E1519" i="49" s="1"/>
  <c r="E1520" i="49" s="1"/>
  <c r="E1521" i="49" s="1"/>
  <c r="E1522" i="49" s="1"/>
  <c r="E1523" i="49" s="1"/>
  <c r="E1524" i="49" s="1"/>
  <c r="E1525" i="49" s="1"/>
  <c r="E1526" i="49" s="1"/>
  <c r="E1527" i="49" s="1"/>
  <c r="E1528" i="49" s="1"/>
  <c r="E1529" i="49" s="1"/>
  <c r="E1530" i="49" s="1"/>
  <c r="E1531" i="49" s="1"/>
  <c r="E1532" i="49" s="1"/>
  <c r="E1533" i="49" s="1"/>
  <c r="E1534" i="49" s="1"/>
  <c r="E1535" i="49" s="1"/>
  <c r="E1497" i="49"/>
  <c r="E1498" i="49" s="1"/>
  <c r="E1499" i="49" s="1"/>
  <c r="E1500" i="49" s="1"/>
  <c r="E1501" i="49" s="1"/>
  <c r="E1502" i="49" s="1"/>
  <c r="E1503" i="49" s="1"/>
  <c r="E1504" i="49" s="1"/>
  <c r="E1505" i="49" s="1"/>
  <c r="E1506" i="49" s="1"/>
  <c r="E1507" i="49" s="1"/>
  <c r="E1508" i="49" s="1"/>
  <c r="E1509" i="49" s="1"/>
  <c r="E1510" i="49" s="1"/>
  <c r="E1511" i="49" s="1"/>
  <c r="E1512" i="49" s="1"/>
  <c r="E1513" i="49" s="1"/>
  <c r="E1514" i="49" s="1"/>
  <c r="E1480" i="49"/>
  <c r="E1481" i="49" s="1"/>
  <c r="E1482" i="49" s="1"/>
  <c r="E1483" i="49" s="1"/>
  <c r="E1484" i="49" s="1"/>
  <c r="E1485" i="49" s="1"/>
  <c r="E1486" i="49" s="1"/>
  <c r="E1487" i="49" s="1"/>
  <c r="E1488" i="49" s="1"/>
  <c r="E1489" i="49" s="1"/>
  <c r="E1490" i="49" s="1"/>
  <c r="E1491" i="49" s="1"/>
  <c r="E1492" i="49" s="1"/>
  <c r="E1493" i="49" s="1"/>
  <c r="E1494" i="49" s="1"/>
  <c r="E1495" i="49" s="1"/>
  <c r="E1452" i="49"/>
  <c r="E1453" i="49" s="1"/>
  <c r="E1454" i="49" s="1"/>
  <c r="E1455" i="49" s="1"/>
  <c r="E1456" i="49" s="1"/>
  <c r="E1457" i="49" s="1"/>
  <c r="E1458" i="49" s="1"/>
  <c r="E1459" i="49" s="1"/>
  <c r="E1460" i="49" s="1"/>
  <c r="E1461" i="49" s="1"/>
  <c r="E1462" i="49" s="1"/>
  <c r="E1463" i="49" s="1"/>
  <c r="E1464" i="49" s="1"/>
  <c r="E1465" i="49" s="1"/>
  <c r="E1466" i="49" s="1"/>
  <c r="E1467" i="49" s="1"/>
  <c r="E1468" i="49" s="1"/>
  <c r="E1469" i="49" s="1"/>
  <c r="E1470" i="49" s="1"/>
  <c r="E1471" i="49" s="1"/>
  <c r="E1472" i="49" s="1"/>
  <c r="E1473" i="49" s="1"/>
  <c r="E1474" i="49" s="1"/>
  <c r="E1475" i="49" s="1"/>
  <c r="E1476" i="49" s="1"/>
  <c r="E1477" i="49" s="1"/>
  <c r="E1478" i="49" s="1"/>
  <c r="E1425" i="49"/>
  <c r="E1426" i="49" s="1"/>
  <c r="E1427" i="49" s="1"/>
  <c r="E1428" i="49" s="1"/>
  <c r="E1429" i="49" s="1"/>
  <c r="E1430" i="49" s="1"/>
  <c r="E1431" i="49" s="1"/>
  <c r="E1432" i="49" s="1"/>
  <c r="E1433" i="49" s="1"/>
  <c r="E1434" i="49" s="1"/>
  <c r="E1435" i="49" s="1"/>
  <c r="E1436" i="49" s="1"/>
  <c r="E1437" i="49" s="1"/>
  <c r="E1438" i="49" s="1"/>
  <c r="E1439" i="49" s="1"/>
  <c r="E1440" i="49" s="1"/>
  <c r="E1441" i="49" s="1"/>
  <c r="E1442" i="49" s="1"/>
  <c r="E1443" i="49" s="1"/>
  <c r="E1444" i="49" s="1"/>
  <c r="E1445" i="49" s="1"/>
  <c r="E1446" i="49" s="1"/>
  <c r="E1447" i="49" s="1"/>
  <c r="E1448" i="49" s="1"/>
  <c r="E1449" i="49" s="1"/>
  <c r="E1450" i="49" s="1"/>
  <c r="E1404" i="49"/>
  <c r="E1405" i="49" s="1"/>
  <c r="E1406" i="49" s="1"/>
  <c r="E1407" i="49" s="1"/>
  <c r="E1408" i="49" s="1"/>
  <c r="E1409" i="49" s="1"/>
  <c r="E1410" i="49" s="1"/>
  <c r="E1411" i="49" s="1"/>
  <c r="E1412" i="49" s="1"/>
  <c r="E1413" i="49" s="1"/>
  <c r="E1414" i="49" s="1"/>
  <c r="E1415" i="49" s="1"/>
  <c r="E1416" i="49" s="1"/>
  <c r="E1417" i="49" s="1"/>
  <c r="E1418" i="49" s="1"/>
  <c r="E1419" i="49" s="1"/>
  <c r="E1420" i="49" s="1"/>
  <c r="E1421" i="49" s="1"/>
  <c r="E1422" i="49" s="1"/>
  <c r="E1423" i="49" s="1"/>
  <c r="E1384" i="49"/>
  <c r="E1385" i="49" s="1"/>
  <c r="E1386" i="49" s="1"/>
  <c r="E1387" i="49" s="1"/>
  <c r="E1388" i="49" s="1"/>
  <c r="E1389" i="49" s="1"/>
  <c r="E1390" i="49" s="1"/>
  <c r="E1391" i="49" s="1"/>
  <c r="E1392" i="49" s="1"/>
  <c r="E1393" i="49" s="1"/>
  <c r="E1394" i="49" s="1"/>
  <c r="E1395" i="49" s="1"/>
  <c r="E1396" i="49" s="1"/>
  <c r="E1397" i="49" s="1"/>
  <c r="E1398" i="49" s="1"/>
  <c r="E1399" i="49" s="1"/>
  <c r="E1400" i="49" s="1"/>
  <c r="E1401" i="49" s="1"/>
  <c r="E1402" i="49" s="1"/>
  <c r="E1365" i="49"/>
  <c r="E1366" i="49" s="1"/>
  <c r="E1367" i="49" s="1"/>
  <c r="E1368" i="49" s="1"/>
  <c r="E1369" i="49" s="1"/>
  <c r="E1370" i="49" s="1"/>
  <c r="E1371" i="49" s="1"/>
  <c r="E1372" i="49" s="1"/>
  <c r="E1373" i="49" s="1"/>
  <c r="E1374" i="49" s="1"/>
  <c r="E1375" i="49" s="1"/>
  <c r="E1376" i="49" s="1"/>
  <c r="E1377" i="49" s="1"/>
  <c r="E1378" i="49" s="1"/>
  <c r="E1379" i="49" s="1"/>
  <c r="E1380" i="49" s="1"/>
  <c r="E1381" i="49" s="1"/>
  <c r="E1382" i="49" s="1"/>
  <c r="E1337" i="49"/>
  <c r="E1338" i="49" s="1"/>
  <c r="E1339" i="49" s="1"/>
  <c r="E1340" i="49" s="1"/>
  <c r="E1341" i="49" s="1"/>
  <c r="E1342" i="49" s="1"/>
  <c r="E1343" i="49" s="1"/>
  <c r="E1344" i="49" s="1"/>
  <c r="E1345" i="49" s="1"/>
  <c r="E1346" i="49" s="1"/>
  <c r="E1347" i="49" s="1"/>
  <c r="E1348" i="49" s="1"/>
  <c r="E1349" i="49" s="1"/>
  <c r="E1350" i="49" s="1"/>
  <c r="E1351" i="49" s="1"/>
  <c r="E1352" i="49" s="1"/>
  <c r="E1353" i="49" s="1"/>
  <c r="E1354" i="49" s="1"/>
  <c r="E1355" i="49" s="1"/>
  <c r="E1356" i="49" s="1"/>
  <c r="E1357" i="49" s="1"/>
  <c r="E1358" i="49" s="1"/>
  <c r="E1359" i="49" s="1"/>
  <c r="E1360" i="49" s="1"/>
  <c r="E1361" i="49" s="1"/>
  <c r="E1362" i="49" s="1"/>
  <c r="E1363" i="49" s="1"/>
  <c r="E1310" i="49"/>
  <c r="E1311" i="49" s="1"/>
  <c r="E1312" i="49" s="1"/>
  <c r="E1313" i="49" s="1"/>
  <c r="E1314" i="49" s="1"/>
  <c r="E1315" i="49" s="1"/>
  <c r="E1316" i="49" s="1"/>
  <c r="E1317" i="49" s="1"/>
  <c r="E1318" i="49" s="1"/>
  <c r="E1319" i="49" s="1"/>
  <c r="E1320" i="49" s="1"/>
  <c r="E1321" i="49" s="1"/>
  <c r="E1322" i="49" s="1"/>
  <c r="E1323" i="49" s="1"/>
  <c r="E1324" i="49" s="1"/>
  <c r="E1325" i="49" s="1"/>
  <c r="E1326" i="49" s="1"/>
  <c r="E1327" i="49" s="1"/>
  <c r="E1328" i="49" s="1"/>
  <c r="E1329" i="49" s="1"/>
  <c r="E1330" i="49" s="1"/>
  <c r="E1331" i="49" s="1"/>
  <c r="E1332" i="49" s="1"/>
  <c r="E1333" i="49" s="1"/>
  <c r="E1334" i="49" s="1"/>
  <c r="E1335" i="49" s="1"/>
  <c r="E1289" i="49"/>
  <c r="E1290" i="49" s="1"/>
  <c r="E1291" i="49" s="1"/>
  <c r="E1292" i="49" s="1"/>
  <c r="E1293" i="49" s="1"/>
  <c r="E1294" i="49" s="1"/>
  <c r="E1295" i="49" s="1"/>
  <c r="E1296" i="49" s="1"/>
  <c r="E1297" i="49" s="1"/>
  <c r="E1298" i="49" s="1"/>
  <c r="E1299" i="49" s="1"/>
  <c r="E1300" i="49" s="1"/>
  <c r="E1301" i="49" s="1"/>
  <c r="E1302" i="49" s="1"/>
  <c r="E1303" i="49" s="1"/>
  <c r="E1304" i="49" s="1"/>
  <c r="E1305" i="49" s="1"/>
  <c r="E1306" i="49" s="1"/>
  <c r="E1307" i="49" s="1"/>
  <c r="E1308" i="49" s="1"/>
  <c r="E1270" i="49"/>
  <c r="E1271" i="49" s="1"/>
  <c r="E1272" i="49" s="1"/>
  <c r="E1273" i="49" s="1"/>
  <c r="E1274" i="49" s="1"/>
  <c r="E1275" i="49" s="1"/>
  <c r="E1276" i="49" s="1"/>
  <c r="E1277" i="49" s="1"/>
  <c r="E1278" i="49" s="1"/>
  <c r="E1279" i="49" s="1"/>
  <c r="E1280" i="49" s="1"/>
  <c r="E1281" i="49" s="1"/>
  <c r="E1282" i="49" s="1"/>
  <c r="E1283" i="49" s="1"/>
  <c r="E1284" i="49" s="1"/>
  <c r="E1285" i="49" s="1"/>
  <c r="E1286" i="49" s="1"/>
  <c r="E1287" i="49" s="1"/>
  <c r="E1253" i="49"/>
  <c r="E1254" i="49" s="1"/>
  <c r="E1255" i="49" s="1"/>
  <c r="E1256" i="49" s="1"/>
  <c r="E1257" i="49" s="1"/>
  <c r="E1258" i="49" s="1"/>
  <c r="E1259" i="49" s="1"/>
  <c r="E1260" i="49" s="1"/>
  <c r="E1261" i="49" s="1"/>
  <c r="E1262" i="49" s="1"/>
  <c r="E1263" i="49" s="1"/>
  <c r="E1264" i="49" s="1"/>
  <c r="E1265" i="49" s="1"/>
  <c r="E1266" i="49" s="1"/>
  <c r="E1267" i="49" s="1"/>
  <c r="E1268" i="49" s="1"/>
  <c r="E1225" i="49"/>
  <c r="E1226" i="49" s="1"/>
  <c r="E1227" i="49" s="1"/>
  <c r="E1228" i="49" s="1"/>
  <c r="E1229" i="49" s="1"/>
  <c r="E1230" i="49" s="1"/>
  <c r="E1231" i="49" s="1"/>
  <c r="E1232" i="49" s="1"/>
  <c r="E1233" i="49" s="1"/>
  <c r="E1234" i="49" s="1"/>
  <c r="E1235" i="49" s="1"/>
  <c r="E1236" i="49" s="1"/>
  <c r="E1237" i="49" s="1"/>
  <c r="E1238" i="49" s="1"/>
  <c r="E1239" i="49" s="1"/>
  <c r="E1240" i="49" s="1"/>
  <c r="E1241" i="49" s="1"/>
  <c r="E1242" i="49" s="1"/>
  <c r="E1243" i="49" s="1"/>
  <c r="E1244" i="49" s="1"/>
  <c r="E1245" i="49" s="1"/>
  <c r="E1246" i="49" s="1"/>
  <c r="E1247" i="49" s="1"/>
  <c r="E1248" i="49" s="1"/>
  <c r="E1249" i="49" s="1"/>
  <c r="E1250" i="49" s="1"/>
  <c r="E1251" i="49" s="1"/>
  <c r="E1198" i="49"/>
  <c r="E1199" i="49" s="1"/>
  <c r="E1200" i="49" s="1"/>
  <c r="E1201" i="49" s="1"/>
  <c r="E1202" i="49" s="1"/>
  <c r="E1203" i="49" s="1"/>
  <c r="E1204" i="49" s="1"/>
  <c r="E1205" i="49" s="1"/>
  <c r="E1206" i="49" s="1"/>
  <c r="E1207" i="49" s="1"/>
  <c r="E1208" i="49" s="1"/>
  <c r="E1209" i="49" s="1"/>
  <c r="E1210" i="49" s="1"/>
  <c r="E1211" i="49" s="1"/>
  <c r="E1212" i="49" s="1"/>
  <c r="E1213" i="49" s="1"/>
  <c r="E1214" i="49" s="1"/>
  <c r="E1215" i="49" s="1"/>
  <c r="E1216" i="49" s="1"/>
  <c r="E1217" i="49" s="1"/>
  <c r="E1218" i="49" s="1"/>
  <c r="E1219" i="49" s="1"/>
  <c r="E1220" i="49" s="1"/>
  <c r="E1221" i="49" s="1"/>
  <c r="E1222" i="49" s="1"/>
  <c r="E1223" i="49" s="1"/>
  <c r="E1177" i="49"/>
  <c r="E1178" i="49" s="1"/>
  <c r="E1179" i="49" s="1"/>
  <c r="E1180" i="49" s="1"/>
  <c r="E1181" i="49" s="1"/>
  <c r="E1182" i="49" s="1"/>
  <c r="E1183" i="49" s="1"/>
  <c r="E1184" i="49" s="1"/>
  <c r="E1185" i="49" s="1"/>
  <c r="E1186" i="49" s="1"/>
  <c r="E1187" i="49" s="1"/>
  <c r="E1188" i="49" s="1"/>
  <c r="E1189" i="49" s="1"/>
  <c r="E1190" i="49" s="1"/>
  <c r="E1191" i="49" s="1"/>
  <c r="E1192" i="49" s="1"/>
  <c r="E1193" i="49" s="1"/>
  <c r="E1194" i="49" s="1"/>
  <c r="E1195" i="49" s="1"/>
  <c r="E1196" i="49" s="1"/>
  <c r="E1157" i="49"/>
  <c r="E1158" i="49" s="1"/>
  <c r="E1159" i="49" s="1"/>
  <c r="E1160" i="49" s="1"/>
  <c r="E1161" i="49" s="1"/>
  <c r="E1162" i="49" s="1"/>
  <c r="E1163" i="49" s="1"/>
  <c r="E1164" i="49" s="1"/>
  <c r="E1165" i="49" s="1"/>
  <c r="E1166" i="49" s="1"/>
  <c r="E1167" i="49" s="1"/>
  <c r="E1168" i="49" s="1"/>
  <c r="E1169" i="49" s="1"/>
  <c r="E1170" i="49" s="1"/>
  <c r="E1171" i="49" s="1"/>
  <c r="E1172" i="49" s="1"/>
  <c r="E1173" i="49" s="1"/>
  <c r="E1174" i="49" s="1"/>
  <c r="E1175" i="49" s="1"/>
  <c r="E1138" i="49"/>
  <c r="E1139" i="49" s="1"/>
  <c r="E1140" i="49" s="1"/>
  <c r="E1141" i="49" s="1"/>
  <c r="E1142" i="49" s="1"/>
  <c r="E1143" i="49" s="1"/>
  <c r="E1144" i="49" s="1"/>
  <c r="E1145" i="49" s="1"/>
  <c r="E1146" i="49" s="1"/>
  <c r="E1147" i="49" s="1"/>
  <c r="E1148" i="49" s="1"/>
  <c r="E1149" i="49" s="1"/>
  <c r="E1150" i="49" s="1"/>
  <c r="E1151" i="49" s="1"/>
  <c r="E1152" i="49" s="1"/>
  <c r="E1153" i="49" s="1"/>
  <c r="E1154" i="49" s="1"/>
  <c r="E1155" i="49" s="1"/>
  <c r="E1110" i="49"/>
  <c r="E1111" i="49" s="1"/>
  <c r="E1112" i="49" s="1"/>
  <c r="E1113" i="49" s="1"/>
  <c r="E1114" i="49" s="1"/>
  <c r="E1115" i="49" s="1"/>
  <c r="E1116" i="49" s="1"/>
  <c r="E1117" i="49" s="1"/>
  <c r="E1118" i="49" s="1"/>
  <c r="E1119" i="49" s="1"/>
  <c r="E1120" i="49" s="1"/>
  <c r="E1121" i="49" s="1"/>
  <c r="E1122" i="49" s="1"/>
  <c r="E1123" i="49" s="1"/>
  <c r="E1124" i="49" s="1"/>
  <c r="E1125" i="49" s="1"/>
  <c r="E1126" i="49" s="1"/>
  <c r="E1127" i="49" s="1"/>
  <c r="E1128" i="49" s="1"/>
  <c r="E1129" i="49" s="1"/>
  <c r="E1130" i="49" s="1"/>
  <c r="E1131" i="49" s="1"/>
  <c r="E1132" i="49" s="1"/>
  <c r="E1133" i="49" s="1"/>
  <c r="E1134" i="49" s="1"/>
  <c r="E1135" i="49" s="1"/>
  <c r="E1136" i="49" s="1"/>
  <c r="E1083" i="49"/>
  <c r="E1084" i="49" s="1"/>
  <c r="E1085" i="49" s="1"/>
  <c r="E1086" i="49" s="1"/>
  <c r="E1087" i="49" s="1"/>
  <c r="E1088" i="49" s="1"/>
  <c r="E1089" i="49" s="1"/>
  <c r="E1090" i="49" s="1"/>
  <c r="E1091" i="49" s="1"/>
  <c r="E1092" i="49" s="1"/>
  <c r="E1093" i="49" s="1"/>
  <c r="E1094" i="49" s="1"/>
  <c r="E1095" i="49" s="1"/>
  <c r="E1096" i="49" s="1"/>
  <c r="E1097" i="49" s="1"/>
  <c r="E1098" i="49" s="1"/>
  <c r="E1099" i="49" s="1"/>
  <c r="E1100" i="49" s="1"/>
  <c r="E1101" i="49" s="1"/>
  <c r="E1102" i="49" s="1"/>
  <c r="E1103" i="49" s="1"/>
  <c r="E1104" i="49" s="1"/>
  <c r="E1105" i="49" s="1"/>
  <c r="E1106" i="49" s="1"/>
  <c r="E1107" i="49" s="1"/>
  <c r="E1108" i="49" s="1"/>
  <c r="E1062" i="49"/>
  <c r="E1063" i="49" s="1"/>
  <c r="E1064" i="49" s="1"/>
  <c r="E1065" i="49" s="1"/>
  <c r="E1066" i="49" s="1"/>
  <c r="E1067" i="49" s="1"/>
  <c r="E1068" i="49" s="1"/>
  <c r="E1069" i="49" s="1"/>
  <c r="E1070" i="49" s="1"/>
  <c r="E1071" i="49" s="1"/>
  <c r="E1072" i="49" s="1"/>
  <c r="E1073" i="49" s="1"/>
  <c r="E1074" i="49" s="1"/>
  <c r="E1075" i="49" s="1"/>
  <c r="E1076" i="49" s="1"/>
  <c r="E1077" i="49" s="1"/>
  <c r="E1078" i="49" s="1"/>
  <c r="E1079" i="49" s="1"/>
  <c r="E1080" i="49" s="1"/>
  <c r="E1081" i="49" s="1"/>
  <c r="E1043" i="49"/>
  <c r="E1044" i="49" s="1"/>
  <c r="E1045" i="49" s="1"/>
  <c r="E1046" i="49" s="1"/>
  <c r="E1047" i="49" s="1"/>
  <c r="E1048" i="49" s="1"/>
  <c r="E1049" i="49" s="1"/>
  <c r="E1050" i="49" s="1"/>
  <c r="E1051" i="49" s="1"/>
  <c r="E1052" i="49" s="1"/>
  <c r="E1053" i="49" s="1"/>
  <c r="E1054" i="49" s="1"/>
  <c r="E1055" i="49" s="1"/>
  <c r="E1056" i="49" s="1"/>
  <c r="E1057" i="49" s="1"/>
  <c r="E1058" i="49" s="1"/>
  <c r="E1059" i="49" s="1"/>
  <c r="E1060" i="49" s="1"/>
  <c r="E1026" i="49"/>
  <c r="E1027" i="49" s="1"/>
  <c r="E1028" i="49" s="1"/>
  <c r="E1029" i="49" s="1"/>
  <c r="E1030" i="49" s="1"/>
  <c r="E1031" i="49" s="1"/>
  <c r="E1032" i="49" s="1"/>
  <c r="E1033" i="49" s="1"/>
  <c r="E1034" i="49" s="1"/>
  <c r="E1035" i="49" s="1"/>
  <c r="E1036" i="49" s="1"/>
  <c r="E1037" i="49" s="1"/>
  <c r="E1038" i="49" s="1"/>
  <c r="E1039" i="49" s="1"/>
  <c r="E1040" i="49" s="1"/>
  <c r="E1041" i="49" s="1"/>
  <c r="E998" i="49"/>
  <c r="E999" i="49" s="1"/>
  <c r="E1000" i="49" s="1"/>
  <c r="E1001" i="49" s="1"/>
  <c r="E1002" i="49" s="1"/>
  <c r="E1003" i="49" s="1"/>
  <c r="E1004" i="49" s="1"/>
  <c r="E1005" i="49" s="1"/>
  <c r="E1006" i="49" s="1"/>
  <c r="E1007" i="49" s="1"/>
  <c r="E1008" i="49" s="1"/>
  <c r="E1009" i="49" s="1"/>
  <c r="E1010" i="49" s="1"/>
  <c r="E1011" i="49" s="1"/>
  <c r="E1012" i="49" s="1"/>
  <c r="E1013" i="49" s="1"/>
  <c r="E1014" i="49" s="1"/>
  <c r="E1015" i="49" s="1"/>
  <c r="E1016" i="49" s="1"/>
  <c r="E1017" i="49" s="1"/>
  <c r="E1018" i="49" s="1"/>
  <c r="E1019" i="49" s="1"/>
  <c r="E1020" i="49" s="1"/>
  <c r="E1021" i="49" s="1"/>
  <c r="E1022" i="49" s="1"/>
  <c r="E1023" i="49" s="1"/>
  <c r="E1024" i="49" s="1"/>
  <c r="E971" i="49"/>
  <c r="E972" i="49" s="1"/>
  <c r="E973" i="49" s="1"/>
  <c r="E974" i="49" s="1"/>
  <c r="E975" i="49" s="1"/>
  <c r="E976" i="49" s="1"/>
  <c r="E977" i="49" s="1"/>
  <c r="E978" i="49" s="1"/>
  <c r="E979" i="49" s="1"/>
  <c r="E980" i="49" s="1"/>
  <c r="E981" i="49" s="1"/>
  <c r="E982" i="49" s="1"/>
  <c r="E983" i="49" s="1"/>
  <c r="E984" i="49" s="1"/>
  <c r="E985" i="49" s="1"/>
  <c r="E986" i="49" s="1"/>
  <c r="E987" i="49" s="1"/>
  <c r="E988" i="49" s="1"/>
  <c r="E989" i="49" s="1"/>
  <c r="E990" i="49" s="1"/>
  <c r="E991" i="49" s="1"/>
  <c r="E992" i="49" s="1"/>
  <c r="E993" i="49" s="1"/>
  <c r="E994" i="49" s="1"/>
  <c r="E995" i="49" s="1"/>
  <c r="E996" i="49" s="1"/>
  <c r="E950" i="49"/>
  <c r="E951" i="49" s="1"/>
  <c r="E952" i="49" s="1"/>
  <c r="E953" i="49" s="1"/>
  <c r="E954" i="49" s="1"/>
  <c r="E955" i="49" s="1"/>
  <c r="E956" i="49" s="1"/>
  <c r="E957" i="49" s="1"/>
  <c r="E958" i="49" s="1"/>
  <c r="E959" i="49" s="1"/>
  <c r="E960" i="49" s="1"/>
  <c r="E961" i="49" s="1"/>
  <c r="E962" i="49" s="1"/>
  <c r="E963" i="49" s="1"/>
  <c r="E964" i="49" s="1"/>
  <c r="E965" i="49" s="1"/>
  <c r="E966" i="49" s="1"/>
  <c r="E967" i="49" s="1"/>
  <c r="E968" i="49" s="1"/>
  <c r="E969" i="49" s="1"/>
  <c r="E930" i="49"/>
  <c r="E931" i="49" s="1"/>
  <c r="E932" i="49" s="1"/>
  <c r="E933" i="49" s="1"/>
  <c r="E934" i="49" s="1"/>
  <c r="E935" i="49" s="1"/>
  <c r="E936" i="49" s="1"/>
  <c r="E937" i="49" s="1"/>
  <c r="E938" i="49" s="1"/>
  <c r="E939" i="49" s="1"/>
  <c r="E940" i="49" s="1"/>
  <c r="E941" i="49" s="1"/>
  <c r="E942" i="49" s="1"/>
  <c r="E943" i="49" s="1"/>
  <c r="E944" i="49" s="1"/>
  <c r="E945" i="49" s="1"/>
  <c r="E946" i="49" s="1"/>
  <c r="E947" i="49" s="1"/>
  <c r="E948" i="49" s="1"/>
  <c r="E911" i="49"/>
  <c r="E912" i="49" s="1"/>
  <c r="E913" i="49" s="1"/>
  <c r="E914" i="49" s="1"/>
  <c r="E915" i="49" s="1"/>
  <c r="E916" i="49" s="1"/>
  <c r="E917" i="49" s="1"/>
  <c r="E918" i="49" s="1"/>
  <c r="E919" i="49" s="1"/>
  <c r="E920" i="49" s="1"/>
  <c r="E921" i="49" s="1"/>
  <c r="E922" i="49" s="1"/>
  <c r="E923" i="49" s="1"/>
  <c r="E924" i="49" s="1"/>
  <c r="E925" i="49" s="1"/>
  <c r="E926" i="49" s="1"/>
  <c r="E927" i="49" s="1"/>
  <c r="E928" i="49" s="1"/>
  <c r="E884" i="49"/>
  <c r="E885" i="49" s="1"/>
  <c r="E886" i="49" s="1"/>
  <c r="E887" i="49" s="1"/>
  <c r="E888" i="49" s="1"/>
  <c r="E889" i="49" s="1"/>
  <c r="E890" i="49" s="1"/>
  <c r="E891" i="49" s="1"/>
  <c r="E892" i="49" s="1"/>
  <c r="E893" i="49" s="1"/>
  <c r="E894" i="49" s="1"/>
  <c r="E895" i="49" s="1"/>
  <c r="E896" i="49" s="1"/>
  <c r="E897" i="49" s="1"/>
  <c r="E898" i="49" s="1"/>
  <c r="E899" i="49" s="1"/>
  <c r="E900" i="49" s="1"/>
  <c r="E901" i="49" s="1"/>
  <c r="E902" i="49" s="1"/>
  <c r="E903" i="49" s="1"/>
  <c r="E904" i="49" s="1"/>
  <c r="E905" i="49" s="1"/>
  <c r="E906" i="49" s="1"/>
  <c r="E907" i="49" s="1"/>
  <c r="E908" i="49" s="1"/>
  <c r="E909" i="49" s="1"/>
  <c r="E883" i="49"/>
  <c r="E856" i="49"/>
  <c r="E857" i="49" s="1"/>
  <c r="E858" i="49" s="1"/>
  <c r="E859" i="49" s="1"/>
  <c r="E860" i="49" s="1"/>
  <c r="E861" i="49" s="1"/>
  <c r="E862" i="49" s="1"/>
  <c r="E863" i="49" s="1"/>
  <c r="E864" i="49" s="1"/>
  <c r="E865" i="49" s="1"/>
  <c r="E866" i="49" s="1"/>
  <c r="E867" i="49" s="1"/>
  <c r="E868" i="49" s="1"/>
  <c r="E869" i="49" s="1"/>
  <c r="E870" i="49" s="1"/>
  <c r="E871" i="49" s="1"/>
  <c r="E872" i="49" s="1"/>
  <c r="E873" i="49" s="1"/>
  <c r="E874" i="49" s="1"/>
  <c r="E875" i="49" s="1"/>
  <c r="E876" i="49" s="1"/>
  <c r="E877" i="49" s="1"/>
  <c r="E878" i="49" s="1"/>
  <c r="E879" i="49" s="1"/>
  <c r="E880" i="49" s="1"/>
  <c r="E881" i="49" s="1"/>
  <c r="E835" i="49"/>
  <c r="E836" i="49" s="1"/>
  <c r="E837" i="49" s="1"/>
  <c r="E838" i="49" s="1"/>
  <c r="E839" i="49" s="1"/>
  <c r="E840" i="49" s="1"/>
  <c r="E841" i="49" s="1"/>
  <c r="E842" i="49" s="1"/>
  <c r="E843" i="49" s="1"/>
  <c r="E844" i="49" s="1"/>
  <c r="E845" i="49" s="1"/>
  <c r="E846" i="49" s="1"/>
  <c r="E847" i="49" s="1"/>
  <c r="E848" i="49" s="1"/>
  <c r="E849" i="49" s="1"/>
  <c r="E850" i="49" s="1"/>
  <c r="E851" i="49" s="1"/>
  <c r="E852" i="49" s="1"/>
  <c r="E853" i="49" s="1"/>
  <c r="E854" i="49" s="1"/>
  <c r="E816" i="49"/>
  <c r="E817" i="49" s="1"/>
  <c r="E818" i="49" s="1"/>
  <c r="E819" i="49" s="1"/>
  <c r="E820" i="49" s="1"/>
  <c r="E821" i="49" s="1"/>
  <c r="E822" i="49" s="1"/>
  <c r="E823" i="49" s="1"/>
  <c r="E824" i="49" s="1"/>
  <c r="E825" i="49" s="1"/>
  <c r="E826" i="49" s="1"/>
  <c r="E827" i="49" s="1"/>
  <c r="E828" i="49" s="1"/>
  <c r="E829" i="49" s="1"/>
  <c r="E830" i="49" s="1"/>
  <c r="E831" i="49" s="1"/>
  <c r="E832" i="49" s="1"/>
  <c r="E833" i="49" s="1"/>
  <c r="E799" i="49"/>
  <c r="E800" i="49" s="1"/>
  <c r="E801" i="49" s="1"/>
  <c r="E802" i="49" s="1"/>
  <c r="E803" i="49" s="1"/>
  <c r="E804" i="49" s="1"/>
  <c r="E805" i="49" s="1"/>
  <c r="E806" i="49" s="1"/>
  <c r="E807" i="49" s="1"/>
  <c r="E808" i="49" s="1"/>
  <c r="E809" i="49" s="1"/>
  <c r="E810" i="49" s="1"/>
  <c r="E811" i="49" s="1"/>
  <c r="E812" i="49" s="1"/>
  <c r="E813" i="49" s="1"/>
  <c r="E814" i="49" s="1"/>
  <c r="E771" i="49"/>
  <c r="E772" i="49" s="1"/>
  <c r="E773" i="49" s="1"/>
  <c r="E774" i="49" s="1"/>
  <c r="E775" i="49" s="1"/>
  <c r="E776" i="49" s="1"/>
  <c r="E777" i="49" s="1"/>
  <c r="E778" i="49" s="1"/>
  <c r="E779" i="49" s="1"/>
  <c r="E780" i="49" s="1"/>
  <c r="E781" i="49" s="1"/>
  <c r="E782" i="49" s="1"/>
  <c r="E783" i="49" s="1"/>
  <c r="E784" i="49" s="1"/>
  <c r="E785" i="49" s="1"/>
  <c r="E786" i="49" s="1"/>
  <c r="E787" i="49" s="1"/>
  <c r="E788" i="49" s="1"/>
  <c r="E789" i="49" s="1"/>
  <c r="E790" i="49" s="1"/>
  <c r="E791" i="49" s="1"/>
  <c r="E792" i="49" s="1"/>
  <c r="E793" i="49" s="1"/>
  <c r="E794" i="49" s="1"/>
  <c r="E795" i="49" s="1"/>
  <c r="E796" i="49" s="1"/>
  <c r="E797" i="49" s="1"/>
  <c r="E744" i="49"/>
  <c r="E745" i="49" s="1"/>
  <c r="E746" i="49" s="1"/>
  <c r="E747" i="49" s="1"/>
  <c r="E748" i="49" s="1"/>
  <c r="E749" i="49" s="1"/>
  <c r="E750" i="49" s="1"/>
  <c r="E751" i="49" s="1"/>
  <c r="E752" i="49" s="1"/>
  <c r="E753" i="49" s="1"/>
  <c r="E754" i="49" s="1"/>
  <c r="E755" i="49" s="1"/>
  <c r="E756" i="49" s="1"/>
  <c r="E757" i="49" s="1"/>
  <c r="E758" i="49" s="1"/>
  <c r="E759" i="49" s="1"/>
  <c r="E760" i="49" s="1"/>
  <c r="E761" i="49" s="1"/>
  <c r="E762" i="49" s="1"/>
  <c r="E763" i="49" s="1"/>
  <c r="E764" i="49" s="1"/>
  <c r="E765" i="49" s="1"/>
  <c r="E766" i="49" s="1"/>
  <c r="E767" i="49" s="1"/>
  <c r="E768" i="49" s="1"/>
  <c r="E769" i="49" s="1"/>
  <c r="E723" i="49"/>
  <c r="E724" i="49" s="1"/>
  <c r="E725" i="49" s="1"/>
  <c r="E726" i="49" s="1"/>
  <c r="E727" i="49" s="1"/>
  <c r="E728" i="49" s="1"/>
  <c r="E729" i="49" s="1"/>
  <c r="E730" i="49" s="1"/>
  <c r="E731" i="49" s="1"/>
  <c r="E732" i="49" s="1"/>
  <c r="E733" i="49" s="1"/>
  <c r="E734" i="49" s="1"/>
  <c r="E735" i="49" s="1"/>
  <c r="E736" i="49" s="1"/>
  <c r="E737" i="49" s="1"/>
  <c r="E738" i="49" s="1"/>
  <c r="E739" i="49" s="1"/>
  <c r="E740" i="49" s="1"/>
  <c r="E741" i="49" s="1"/>
  <c r="E742" i="49" s="1"/>
  <c r="E703" i="49"/>
  <c r="E704" i="49" s="1"/>
  <c r="E705" i="49" s="1"/>
  <c r="E706" i="49" s="1"/>
  <c r="E707" i="49" s="1"/>
  <c r="E708" i="49" s="1"/>
  <c r="E709" i="49" s="1"/>
  <c r="E710" i="49" s="1"/>
  <c r="E711" i="49" s="1"/>
  <c r="E712" i="49" s="1"/>
  <c r="E713" i="49" s="1"/>
  <c r="E714" i="49" s="1"/>
  <c r="E715" i="49" s="1"/>
  <c r="E716" i="49" s="1"/>
  <c r="E717" i="49" s="1"/>
  <c r="E718" i="49" s="1"/>
  <c r="E719" i="49" s="1"/>
  <c r="E720" i="49" s="1"/>
  <c r="E721" i="49" s="1"/>
  <c r="E684" i="49"/>
  <c r="E685" i="49" s="1"/>
  <c r="E686" i="49" s="1"/>
  <c r="E687" i="49" s="1"/>
  <c r="E688" i="49" s="1"/>
  <c r="E689" i="49" s="1"/>
  <c r="E690" i="49" s="1"/>
  <c r="E691" i="49" s="1"/>
  <c r="E692" i="49" s="1"/>
  <c r="E693" i="49" s="1"/>
  <c r="E694" i="49" s="1"/>
  <c r="E695" i="49" s="1"/>
  <c r="E696" i="49" s="1"/>
  <c r="E697" i="49" s="1"/>
  <c r="E698" i="49" s="1"/>
  <c r="E699" i="49" s="1"/>
  <c r="E700" i="49" s="1"/>
  <c r="E701" i="49" s="1"/>
  <c r="E656" i="49"/>
  <c r="E657" i="49" s="1"/>
  <c r="E658" i="49" s="1"/>
  <c r="E659" i="49" s="1"/>
  <c r="E660" i="49" s="1"/>
  <c r="E661" i="49" s="1"/>
  <c r="E662" i="49" s="1"/>
  <c r="E663" i="49" s="1"/>
  <c r="E664" i="49" s="1"/>
  <c r="E665" i="49" s="1"/>
  <c r="E666" i="49" s="1"/>
  <c r="E667" i="49" s="1"/>
  <c r="E668" i="49" s="1"/>
  <c r="E669" i="49" s="1"/>
  <c r="E670" i="49" s="1"/>
  <c r="E671" i="49" s="1"/>
  <c r="E672" i="49" s="1"/>
  <c r="E673" i="49" s="1"/>
  <c r="E674" i="49" s="1"/>
  <c r="E675" i="49" s="1"/>
  <c r="E676" i="49" s="1"/>
  <c r="E677" i="49" s="1"/>
  <c r="E678" i="49" s="1"/>
  <c r="E679" i="49" s="1"/>
  <c r="E680" i="49" s="1"/>
  <c r="E681" i="49" s="1"/>
  <c r="E682" i="49" s="1"/>
  <c r="E629" i="49"/>
  <c r="E630" i="49" s="1"/>
  <c r="E631" i="49" s="1"/>
  <c r="E632" i="49" s="1"/>
  <c r="E633" i="49" s="1"/>
  <c r="E634" i="49" s="1"/>
  <c r="E635" i="49" s="1"/>
  <c r="E636" i="49" s="1"/>
  <c r="E637" i="49" s="1"/>
  <c r="E638" i="49" s="1"/>
  <c r="E639" i="49" s="1"/>
  <c r="E640" i="49" s="1"/>
  <c r="E641" i="49" s="1"/>
  <c r="E642" i="49" s="1"/>
  <c r="E643" i="49" s="1"/>
  <c r="E644" i="49" s="1"/>
  <c r="E645" i="49" s="1"/>
  <c r="E646" i="49" s="1"/>
  <c r="E647" i="49" s="1"/>
  <c r="E648" i="49" s="1"/>
  <c r="E649" i="49" s="1"/>
  <c r="E650" i="49" s="1"/>
  <c r="E651" i="49" s="1"/>
  <c r="E652" i="49" s="1"/>
  <c r="E653" i="49" s="1"/>
  <c r="E654" i="49" s="1"/>
  <c r="E608" i="49"/>
  <c r="E609" i="49" s="1"/>
  <c r="E610" i="49" s="1"/>
  <c r="E611" i="49" s="1"/>
  <c r="E612" i="49" s="1"/>
  <c r="E613" i="49" s="1"/>
  <c r="E614" i="49" s="1"/>
  <c r="E615" i="49" s="1"/>
  <c r="E616" i="49" s="1"/>
  <c r="E617" i="49" s="1"/>
  <c r="E618" i="49" s="1"/>
  <c r="E619" i="49" s="1"/>
  <c r="E620" i="49" s="1"/>
  <c r="E621" i="49" s="1"/>
  <c r="E622" i="49" s="1"/>
  <c r="E623" i="49" s="1"/>
  <c r="E624" i="49" s="1"/>
  <c r="E625" i="49" s="1"/>
  <c r="E626" i="49" s="1"/>
  <c r="E627" i="49" s="1"/>
  <c r="E589" i="49"/>
  <c r="E590" i="49" s="1"/>
  <c r="E591" i="49" s="1"/>
  <c r="E592" i="49" s="1"/>
  <c r="E593" i="49" s="1"/>
  <c r="E594" i="49" s="1"/>
  <c r="E595" i="49" s="1"/>
  <c r="E596" i="49" s="1"/>
  <c r="E597" i="49" s="1"/>
  <c r="E598" i="49" s="1"/>
  <c r="E599" i="49" s="1"/>
  <c r="E600" i="49" s="1"/>
  <c r="E601" i="49" s="1"/>
  <c r="E602" i="49" s="1"/>
  <c r="E603" i="49" s="1"/>
  <c r="E604" i="49" s="1"/>
  <c r="E605" i="49" s="1"/>
  <c r="E606" i="49" s="1"/>
  <c r="E572" i="49"/>
  <c r="E573" i="49" s="1"/>
  <c r="E574" i="49" s="1"/>
  <c r="E575" i="49" s="1"/>
  <c r="E576" i="49" s="1"/>
  <c r="E577" i="49" s="1"/>
  <c r="E578" i="49" s="1"/>
  <c r="E579" i="49" s="1"/>
  <c r="E580" i="49" s="1"/>
  <c r="E581" i="49" s="1"/>
  <c r="E582" i="49" s="1"/>
  <c r="E583" i="49" s="1"/>
  <c r="E584" i="49" s="1"/>
  <c r="E585" i="49" s="1"/>
  <c r="E586" i="49" s="1"/>
  <c r="E587" i="49" s="1"/>
  <c r="E544" i="49"/>
  <c r="E545" i="49" s="1"/>
  <c r="E546" i="49" s="1"/>
  <c r="E547" i="49" s="1"/>
  <c r="E548" i="49" s="1"/>
  <c r="E549" i="49" s="1"/>
  <c r="E550" i="49" s="1"/>
  <c r="E551" i="49" s="1"/>
  <c r="E552" i="49" s="1"/>
  <c r="E553" i="49" s="1"/>
  <c r="E554" i="49" s="1"/>
  <c r="E555" i="49" s="1"/>
  <c r="E556" i="49" s="1"/>
  <c r="E557" i="49" s="1"/>
  <c r="E558" i="49" s="1"/>
  <c r="E559" i="49" s="1"/>
  <c r="E560" i="49" s="1"/>
  <c r="E561" i="49" s="1"/>
  <c r="E562" i="49" s="1"/>
  <c r="E563" i="49" s="1"/>
  <c r="E564" i="49" s="1"/>
  <c r="E565" i="49" s="1"/>
  <c r="E566" i="49" s="1"/>
  <c r="E567" i="49" s="1"/>
  <c r="E568" i="49" s="1"/>
  <c r="E569" i="49" s="1"/>
  <c r="E570" i="49" s="1"/>
  <c r="E517" i="49"/>
  <c r="E518" i="49" s="1"/>
  <c r="E519" i="49" s="1"/>
  <c r="E520" i="49" s="1"/>
  <c r="E521" i="49" s="1"/>
  <c r="E522" i="49" s="1"/>
  <c r="E523" i="49" s="1"/>
  <c r="E524" i="49" s="1"/>
  <c r="E525" i="49" s="1"/>
  <c r="E526" i="49" s="1"/>
  <c r="E527" i="49" s="1"/>
  <c r="E528" i="49" s="1"/>
  <c r="E529" i="49" s="1"/>
  <c r="E530" i="49" s="1"/>
  <c r="E531" i="49" s="1"/>
  <c r="E532" i="49" s="1"/>
  <c r="E533" i="49" s="1"/>
  <c r="E534" i="49" s="1"/>
  <c r="E535" i="49" s="1"/>
  <c r="E536" i="49" s="1"/>
  <c r="E537" i="49" s="1"/>
  <c r="E538" i="49" s="1"/>
  <c r="E539" i="49" s="1"/>
  <c r="E540" i="49" s="1"/>
  <c r="E541" i="49" s="1"/>
  <c r="E542" i="49" s="1"/>
  <c r="E496" i="49"/>
  <c r="E497" i="49" s="1"/>
  <c r="E498" i="49" s="1"/>
  <c r="E499" i="49" s="1"/>
  <c r="E500" i="49" s="1"/>
  <c r="E501" i="49" s="1"/>
  <c r="E502" i="49" s="1"/>
  <c r="E503" i="49" s="1"/>
  <c r="E504" i="49" s="1"/>
  <c r="E505" i="49" s="1"/>
  <c r="E506" i="49" s="1"/>
  <c r="E507" i="49" s="1"/>
  <c r="E508" i="49" s="1"/>
  <c r="E509" i="49" s="1"/>
  <c r="E510" i="49" s="1"/>
  <c r="E511" i="49" s="1"/>
  <c r="E512" i="49" s="1"/>
  <c r="E513" i="49" s="1"/>
  <c r="E514" i="49" s="1"/>
  <c r="E515" i="49" s="1"/>
  <c r="E476" i="49"/>
  <c r="E477" i="49" s="1"/>
  <c r="E478" i="49" s="1"/>
  <c r="E479" i="49" s="1"/>
  <c r="E480" i="49" s="1"/>
  <c r="E481" i="49" s="1"/>
  <c r="E482" i="49" s="1"/>
  <c r="E483" i="49" s="1"/>
  <c r="E484" i="49" s="1"/>
  <c r="E485" i="49" s="1"/>
  <c r="E486" i="49" s="1"/>
  <c r="E487" i="49" s="1"/>
  <c r="E488" i="49" s="1"/>
  <c r="E489" i="49" s="1"/>
  <c r="E490" i="49" s="1"/>
  <c r="E491" i="49" s="1"/>
  <c r="E492" i="49" s="1"/>
  <c r="E493" i="49" s="1"/>
  <c r="E494" i="49" s="1"/>
  <c r="E457" i="49"/>
  <c r="E458" i="49" s="1"/>
  <c r="E459" i="49" s="1"/>
  <c r="E460" i="49" s="1"/>
  <c r="E461" i="49" s="1"/>
  <c r="E462" i="49" s="1"/>
  <c r="E463" i="49" s="1"/>
  <c r="E464" i="49" s="1"/>
  <c r="E465" i="49" s="1"/>
  <c r="E466" i="49" s="1"/>
  <c r="E467" i="49" s="1"/>
  <c r="E468" i="49" s="1"/>
  <c r="E469" i="49" s="1"/>
  <c r="E470" i="49" s="1"/>
  <c r="E471" i="49" s="1"/>
  <c r="E472" i="49" s="1"/>
  <c r="E473" i="49" s="1"/>
  <c r="E474" i="49" s="1"/>
  <c r="E429" i="49"/>
  <c r="E430" i="49" s="1"/>
  <c r="E431" i="49" s="1"/>
  <c r="E432" i="49" s="1"/>
  <c r="E433" i="49" s="1"/>
  <c r="E434" i="49" s="1"/>
  <c r="E435" i="49" s="1"/>
  <c r="E436" i="49" s="1"/>
  <c r="E437" i="49" s="1"/>
  <c r="E438" i="49" s="1"/>
  <c r="E439" i="49" s="1"/>
  <c r="E440" i="49" s="1"/>
  <c r="E441" i="49" s="1"/>
  <c r="E442" i="49" s="1"/>
  <c r="E443" i="49" s="1"/>
  <c r="E444" i="49" s="1"/>
  <c r="E445" i="49" s="1"/>
  <c r="E446" i="49" s="1"/>
  <c r="E447" i="49" s="1"/>
  <c r="E448" i="49" s="1"/>
  <c r="E449" i="49" s="1"/>
  <c r="E450" i="49" s="1"/>
  <c r="E451" i="49" s="1"/>
  <c r="E452" i="49" s="1"/>
  <c r="E453" i="49" s="1"/>
  <c r="E454" i="49" s="1"/>
  <c r="E455" i="49" s="1"/>
  <c r="E402" i="49"/>
  <c r="E403" i="49" s="1"/>
  <c r="E404" i="49" s="1"/>
  <c r="E405" i="49" s="1"/>
  <c r="E406" i="49" s="1"/>
  <c r="E407" i="49" s="1"/>
  <c r="E408" i="49" s="1"/>
  <c r="E409" i="49" s="1"/>
  <c r="E410" i="49" s="1"/>
  <c r="E411" i="49" s="1"/>
  <c r="E412" i="49" s="1"/>
  <c r="E413" i="49" s="1"/>
  <c r="E414" i="49" s="1"/>
  <c r="E415" i="49" s="1"/>
  <c r="E416" i="49" s="1"/>
  <c r="E417" i="49" s="1"/>
  <c r="E418" i="49" s="1"/>
  <c r="E419" i="49" s="1"/>
  <c r="E420" i="49" s="1"/>
  <c r="E421" i="49" s="1"/>
  <c r="E422" i="49" s="1"/>
  <c r="E423" i="49" s="1"/>
  <c r="E424" i="49" s="1"/>
  <c r="E425" i="49" s="1"/>
  <c r="E426" i="49" s="1"/>
  <c r="E427" i="49" s="1"/>
  <c r="E381" i="49"/>
  <c r="E382" i="49" s="1"/>
  <c r="E383" i="49" s="1"/>
  <c r="E384" i="49" s="1"/>
  <c r="E385" i="49" s="1"/>
  <c r="E386" i="49" s="1"/>
  <c r="E387" i="49" s="1"/>
  <c r="E388" i="49" s="1"/>
  <c r="E389" i="49" s="1"/>
  <c r="E390" i="49" s="1"/>
  <c r="E391" i="49" s="1"/>
  <c r="E392" i="49" s="1"/>
  <c r="E393" i="49" s="1"/>
  <c r="E394" i="49" s="1"/>
  <c r="E395" i="49" s="1"/>
  <c r="E396" i="49" s="1"/>
  <c r="E397" i="49" s="1"/>
  <c r="E398" i="49" s="1"/>
  <c r="E399" i="49" s="1"/>
  <c r="E400" i="49" s="1"/>
  <c r="E362" i="49"/>
  <c r="E363" i="49" s="1"/>
  <c r="E364" i="49" s="1"/>
  <c r="E365" i="49" s="1"/>
  <c r="E366" i="49" s="1"/>
  <c r="E367" i="49" s="1"/>
  <c r="E368" i="49" s="1"/>
  <c r="E369" i="49" s="1"/>
  <c r="E370" i="49" s="1"/>
  <c r="E371" i="49" s="1"/>
  <c r="E372" i="49" s="1"/>
  <c r="E373" i="49" s="1"/>
  <c r="E374" i="49" s="1"/>
  <c r="E375" i="49" s="1"/>
  <c r="E376" i="49" s="1"/>
  <c r="E377" i="49" s="1"/>
  <c r="E378" i="49" s="1"/>
  <c r="E379" i="49" s="1"/>
  <c r="E345" i="49"/>
  <c r="E346" i="49" s="1"/>
  <c r="E347" i="49" s="1"/>
  <c r="E348" i="49" s="1"/>
  <c r="E349" i="49" s="1"/>
  <c r="E350" i="49" s="1"/>
  <c r="E351" i="49" s="1"/>
  <c r="E352" i="49" s="1"/>
  <c r="E353" i="49" s="1"/>
  <c r="E354" i="49" s="1"/>
  <c r="E355" i="49" s="1"/>
  <c r="E356" i="49" s="1"/>
  <c r="E357" i="49" s="1"/>
  <c r="E358" i="49" s="1"/>
  <c r="E359" i="49" s="1"/>
  <c r="E360" i="49" s="1"/>
  <c r="E317" i="49"/>
  <c r="E318" i="49" s="1"/>
  <c r="E319" i="49" s="1"/>
  <c r="E320" i="49" s="1"/>
  <c r="E321" i="49" s="1"/>
  <c r="E322" i="49" s="1"/>
  <c r="E323" i="49" s="1"/>
  <c r="E324" i="49" s="1"/>
  <c r="E325" i="49" s="1"/>
  <c r="E326" i="49" s="1"/>
  <c r="E327" i="49" s="1"/>
  <c r="E328" i="49" s="1"/>
  <c r="E329" i="49" s="1"/>
  <c r="E330" i="49" s="1"/>
  <c r="E331" i="49" s="1"/>
  <c r="E332" i="49" s="1"/>
  <c r="E333" i="49" s="1"/>
  <c r="E334" i="49" s="1"/>
  <c r="E335" i="49" s="1"/>
  <c r="E336" i="49" s="1"/>
  <c r="E337" i="49" s="1"/>
  <c r="E338" i="49" s="1"/>
  <c r="E339" i="49" s="1"/>
  <c r="E340" i="49" s="1"/>
  <c r="E341" i="49" s="1"/>
  <c r="E342" i="49" s="1"/>
  <c r="E343" i="49" s="1"/>
  <c r="E290" i="49"/>
  <c r="E291" i="49" s="1"/>
  <c r="E292" i="49" s="1"/>
  <c r="E293" i="49" s="1"/>
  <c r="E294" i="49" s="1"/>
  <c r="E295" i="49" s="1"/>
  <c r="E296" i="49" s="1"/>
  <c r="E297" i="49" s="1"/>
  <c r="E298" i="49" s="1"/>
  <c r="E299" i="49" s="1"/>
  <c r="E300" i="49" s="1"/>
  <c r="E301" i="49" s="1"/>
  <c r="E302" i="49" s="1"/>
  <c r="E303" i="49" s="1"/>
  <c r="E304" i="49" s="1"/>
  <c r="E305" i="49" s="1"/>
  <c r="E306" i="49" s="1"/>
  <c r="E307" i="49" s="1"/>
  <c r="E308" i="49" s="1"/>
  <c r="E309" i="49" s="1"/>
  <c r="E310" i="49" s="1"/>
  <c r="E311" i="49" s="1"/>
  <c r="E312" i="49" s="1"/>
  <c r="E313" i="49" s="1"/>
  <c r="E314" i="49" s="1"/>
  <c r="E315" i="49" s="1"/>
  <c r="E269" i="49"/>
  <c r="E270" i="49" s="1"/>
  <c r="E271" i="49" s="1"/>
  <c r="E272" i="49" s="1"/>
  <c r="E273" i="49" s="1"/>
  <c r="E274" i="49" s="1"/>
  <c r="E275" i="49" s="1"/>
  <c r="E276" i="49" s="1"/>
  <c r="E277" i="49" s="1"/>
  <c r="E278" i="49" s="1"/>
  <c r="E279" i="49" s="1"/>
  <c r="E280" i="49" s="1"/>
  <c r="E281" i="49" s="1"/>
  <c r="E282" i="49" s="1"/>
  <c r="E283" i="49" s="1"/>
  <c r="E284" i="49" s="1"/>
  <c r="E285" i="49" s="1"/>
  <c r="E286" i="49" s="1"/>
  <c r="E287" i="49" s="1"/>
  <c r="E288" i="49" s="1"/>
  <c r="E249" i="49"/>
  <c r="E250" i="49" s="1"/>
  <c r="E251" i="49" s="1"/>
  <c r="E252" i="49" s="1"/>
  <c r="E253" i="49" s="1"/>
  <c r="E254" i="49" s="1"/>
  <c r="E255" i="49" s="1"/>
  <c r="E256" i="49" s="1"/>
  <c r="E257" i="49" s="1"/>
  <c r="E258" i="49" s="1"/>
  <c r="E259" i="49" s="1"/>
  <c r="E260" i="49" s="1"/>
  <c r="E261" i="49" s="1"/>
  <c r="E262" i="49" s="1"/>
  <c r="E263" i="49" s="1"/>
  <c r="E264" i="49" s="1"/>
  <c r="E265" i="49" s="1"/>
  <c r="E266" i="49" s="1"/>
  <c r="E267" i="49" s="1"/>
  <c r="E230" i="49"/>
  <c r="E231" i="49" s="1"/>
  <c r="E232" i="49" s="1"/>
  <c r="E233" i="49" s="1"/>
  <c r="E234" i="49" s="1"/>
  <c r="E235" i="49" s="1"/>
  <c r="E236" i="49" s="1"/>
  <c r="E237" i="49" s="1"/>
  <c r="E238" i="49" s="1"/>
  <c r="E239" i="49" s="1"/>
  <c r="E240" i="49" s="1"/>
  <c r="E241" i="49" s="1"/>
  <c r="E242" i="49" s="1"/>
  <c r="E243" i="49" s="1"/>
  <c r="E244" i="49" s="1"/>
  <c r="E245" i="49" s="1"/>
  <c r="E246" i="49" s="1"/>
  <c r="E247" i="49" s="1"/>
  <c r="J5" i="51"/>
  <c r="F4" i="51"/>
  <c r="V6" i="51"/>
  <c r="J4" i="51"/>
  <c r="N6" i="51"/>
  <c r="F6" i="51"/>
  <c r="N5" i="51"/>
  <c r="J6" i="51"/>
  <c r="R6" i="51"/>
  <c r="F5" i="51"/>
  <c r="R5" i="50"/>
  <c r="F4" i="50"/>
  <c r="N5" i="50"/>
  <c r="J4" i="50"/>
  <c r="V5" i="50"/>
  <c r="I1" i="49"/>
  <c r="H8" i="51" l="1"/>
  <c r="I8" i="51" s="1"/>
  <c r="T8" i="51"/>
  <c r="U8" i="51" s="1"/>
  <c r="D8" i="51"/>
  <c r="E8" i="51" s="1"/>
  <c r="L8" i="51"/>
  <c r="M8" i="51" s="1"/>
  <c r="P8" i="51"/>
  <c r="Q8" i="51" s="1"/>
  <c r="A9" i="51"/>
  <c r="B8" i="51"/>
  <c r="D6" i="50"/>
  <c r="E6" i="50" s="1"/>
  <c r="P6" i="50"/>
  <c r="Q6" i="50" s="1"/>
  <c r="T6" i="50"/>
  <c r="U6" i="50" s="1"/>
  <c r="L6" i="50"/>
  <c r="M6" i="50" s="1"/>
  <c r="H6" i="50"/>
  <c r="I6" i="50" s="1"/>
  <c r="A7" i="50"/>
  <c r="B6" i="50"/>
  <c r="A221" i="49"/>
  <c r="A220" i="49"/>
  <c r="A219" i="49"/>
  <c r="A218" i="49"/>
  <c r="A217" i="49"/>
  <c r="A216" i="49"/>
  <c r="A215" i="49"/>
  <c r="A214" i="49"/>
  <c r="A213" i="49"/>
  <c r="A212" i="49"/>
  <c r="A211" i="49"/>
  <c r="A210" i="49"/>
  <c r="A209" i="49"/>
  <c r="A208" i="49"/>
  <c r="A207" i="49"/>
  <c r="A206" i="49"/>
  <c r="A205" i="49"/>
  <c r="A204" i="49"/>
  <c r="A203" i="49"/>
  <c r="A202" i="49"/>
  <c r="A201" i="49"/>
  <c r="A200" i="49"/>
  <c r="A199" i="49"/>
  <c r="A198" i="49"/>
  <c r="A197" i="49"/>
  <c r="A196" i="49"/>
  <c r="A195" i="49"/>
  <c r="A194" i="49"/>
  <c r="A193" i="49"/>
  <c r="A192" i="49"/>
  <c r="A191" i="49"/>
  <c r="A190" i="49"/>
  <c r="A189" i="49"/>
  <c r="A188" i="49"/>
  <c r="A187" i="49"/>
  <c r="A186" i="49"/>
  <c r="A185" i="49"/>
  <c r="A184" i="49"/>
  <c r="A183" i="49"/>
  <c r="A182" i="49"/>
  <c r="A181" i="49"/>
  <c r="A180" i="49"/>
  <c r="A179" i="49"/>
  <c r="A178" i="49"/>
  <c r="A177" i="49"/>
  <c r="A176" i="49"/>
  <c r="A175" i="49"/>
  <c r="A174" i="49"/>
  <c r="A173" i="49"/>
  <c r="A172" i="49"/>
  <c r="A171" i="49"/>
  <c r="A170" i="49"/>
  <c r="A169" i="49"/>
  <c r="A168" i="49"/>
  <c r="A167" i="49"/>
  <c r="A166" i="49"/>
  <c r="A165" i="49"/>
  <c r="A164" i="49"/>
  <c r="A163" i="49"/>
  <c r="A162" i="49"/>
  <c r="A161" i="49"/>
  <c r="A160" i="49"/>
  <c r="A159" i="49"/>
  <c r="A158" i="49"/>
  <c r="A157" i="49"/>
  <c r="A156" i="49"/>
  <c r="A155" i="49"/>
  <c r="A154" i="49"/>
  <c r="A153" i="49"/>
  <c r="A152" i="49"/>
  <c r="A151" i="49"/>
  <c r="A150" i="49"/>
  <c r="A149" i="49"/>
  <c r="A148" i="49"/>
  <c r="A147" i="49"/>
  <c r="A146" i="49"/>
  <c r="A145" i="49"/>
  <c r="A144" i="49"/>
  <c r="A143" i="49"/>
  <c r="A142" i="49"/>
  <c r="A141" i="49"/>
  <c r="A140" i="49"/>
  <c r="A139" i="49"/>
  <c r="A138" i="49"/>
  <c r="A137" i="49"/>
  <c r="A136" i="49"/>
  <c r="A135" i="49"/>
  <c r="A134" i="49"/>
  <c r="A133" i="49"/>
  <c r="A132" i="49"/>
  <c r="A131" i="49"/>
  <c r="A130" i="49"/>
  <c r="A129" i="49"/>
  <c r="A128" i="49"/>
  <c r="A127" i="49"/>
  <c r="A126" i="49"/>
  <c r="A125" i="49"/>
  <c r="A124" i="49"/>
  <c r="A123" i="49"/>
  <c r="A122" i="49"/>
  <c r="A121" i="49"/>
  <c r="A120" i="49"/>
  <c r="A119" i="49"/>
  <c r="A118" i="49"/>
  <c r="A117" i="49"/>
  <c r="A116" i="49"/>
  <c r="A115" i="49"/>
  <c r="A114" i="49"/>
  <c r="A113" i="49"/>
  <c r="A112" i="49"/>
  <c r="A111" i="49"/>
  <c r="A110" i="49"/>
  <c r="A109" i="49"/>
  <c r="A108" i="49"/>
  <c r="A107" i="49"/>
  <c r="A106" i="49"/>
  <c r="A105" i="49"/>
  <c r="A104" i="49"/>
  <c r="A103" i="49"/>
  <c r="A102" i="49"/>
  <c r="A101" i="49"/>
  <c r="A100" i="49"/>
  <c r="A99" i="49"/>
  <c r="A98" i="49"/>
  <c r="A97" i="49"/>
  <c r="A96" i="49"/>
  <c r="A95" i="49"/>
  <c r="A94" i="49"/>
  <c r="A93" i="49"/>
  <c r="A92" i="49"/>
  <c r="A91" i="49"/>
  <c r="A90" i="49"/>
  <c r="A89" i="49"/>
  <c r="A88" i="49"/>
  <c r="A87" i="49"/>
  <c r="A86" i="49"/>
  <c r="A85" i="49"/>
  <c r="A84" i="49"/>
  <c r="A83" i="49"/>
  <c r="A82" i="49"/>
  <c r="A81" i="49"/>
  <c r="A80" i="49"/>
  <c r="A79" i="49"/>
  <c r="A78" i="49"/>
  <c r="A77" i="49"/>
  <c r="A76" i="49"/>
  <c r="A75" i="49"/>
  <c r="A74" i="49"/>
  <c r="A73" i="49"/>
  <c r="A72" i="49"/>
  <c r="A71" i="49"/>
  <c r="A70" i="49"/>
  <c r="A69" i="49"/>
  <c r="A68" i="49"/>
  <c r="A67" i="49"/>
  <c r="A66" i="49"/>
  <c r="A65" i="49"/>
  <c r="A64" i="49"/>
  <c r="A63" i="49"/>
  <c r="A62" i="49"/>
  <c r="A61" i="49"/>
  <c r="A60" i="49"/>
  <c r="A59" i="49"/>
  <c r="A58" i="49"/>
  <c r="A57" i="49"/>
  <c r="A56" i="49"/>
  <c r="A55" i="49"/>
  <c r="A54" i="49"/>
  <c r="A53" i="49"/>
  <c r="A52" i="49"/>
  <c r="A51" i="49"/>
  <c r="A50" i="49"/>
  <c r="A49" i="49"/>
  <c r="A48" i="49"/>
  <c r="A47" i="49"/>
  <c r="A46" i="49"/>
  <c r="A45" i="49"/>
  <c r="A44" i="49"/>
  <c r="A43" i="49"/>
  <c r="A42" i="49"/>
  <c r="A41" i="49"/>
  <c r="A40" i="49"/>
  <c r="A39" i="49"/>
  <c r="A38" i="49"/>
  <c r="A37" i="49"/>
  <c r="A36" i="49"/>
  <c r="A35" i="49"/>
  <c r="A34" i="49"/>
  <c r="A33" i="49"/>
  <c r="A32" i="49"/>
  <c r="A31" i="49"/>
  <c r="A30" i="49"/>
  <c r="A29" i="49"/>
  <c r="A28" i="49"/>
  <c r="A27" i="49"/>
  <c r="A26" i="49"/>
  <c r="A25" i="49"/>
  <c r="A24" i="49"/>
  <c r="A23" i="49"/>
  <c r="A22" i="49"/>
  <c r="A21" i="49"/>
  <c r="A20" i="49"/>
  <c r="A19" i="49"/>
  <c r="A18" i="49"/>
  <c r="A17" i="49"/>
  <c r="A16" i="49"/>
  <c r="A15" i="49"/>
  <c r="A14" i="49"/>
  <c r="A13" i="49"/>
  <c r="A12" i="49"/>
  <c r="A11" i="49"/>
  <c r="A10" i="49"/>
  <c r="A9" i="49"/>
  <c r="A8" i="49"/>
  <c r="A7" i="49"/>
  <c r="A6" i="49"/>
  <c r="A5" i="49"/>
  <c r="A4" i="49"/>
  <c r="A3" i="49"/>
  <c r="A2" i="49"/>
  <c r="A228" i="49"/>
  <c r="A227" i="49"/>
  <c r="A226" i="49"/>
  <c r="A225" i="49"/>
  <c r="A224" i="49"/>
  <c r="A223" i="49"/>
  <c r="A222" i="49"/>
  <c r="V2" i="48"/>
  <c r="R2" i="48"/>
  <c r="N2" i="48"/>
  <c r="J2" i="48"/>
  <c r="F2" i="48"/>
  <c r="V2" i="47"/>
  <c r="R2" i="47"/>
  <c r="N2" i="47"/>
  <c r="J2" i="47"/>
  <c r="F2" i="47"/>
  <c r="V2" i="46"/>
  <c r="R2" i="46"/>
  <c r="N2" i="46"/>
  <c r="J2" i="46"/>
  <c r="F2" i="46"/>
  <c r="V2" i="45"/>
  <c r="R2" i="45"/>
  <c r="N2" i="45"/>
  <c r="J2" i="45"/>
  <c r="F2" i="45"/>
  <c r="V2" i="44"/>
  <c r="R2" i="44"/>
  <c r="N2" i="44"/>
  <c r="J2" i="44"/>
  <c r="F2" i="44"/>
  <c r="V2" i="43"/>
  <c r="R2" i="43"/>
  <c r="N2" i="43"/>
  <c r="J2" i="43"/>
  <c r="F2" i="43"/>
  <c r="V2" i="42"/>
  <c r="R2" i="42"/>
  <c r="N2" i="42"/>
  <c r="J2" i="42"/>
  <c r="F2" i="42"/>
  <c r="V2" i="41"/>
  <c r="R2" i="41"/>
  <c r="N2" i="41"/>
  <c r="J2" i="41"/>
  <c r="F2" i="41"/>
  <c r="V2" i="40"/>
  <c r="R2" i="40"/>
  <c r="N2" i="40"/>
  <c r="J2" i="40"/>
  <c r="F2" i="40"/>
  <c r="F2" i="39"/>
  <c r="J2" i="39"/>
  <c r="N2" i="39"/>
  <c r="R2" i="39"/>
  <c r="V2" i="39"/>
  <c r="V2" i="38"/>
  <c r="R2" i="38"/>
  <c r="N2" i="38"/>
  <c r="J2" i="38"/>
  <c r="F2" i="38"/>
  <c r="V2" i="37"/>
  <c r="R2" i="37"/>
  <c r="N2" i="37"/>
  <c r="J2" i="37"/>
  <c r="F2" i="37"/>
  <c r="V2" i="36"/>
  <c r="R2" i="36"/>
  <c r="N2" i="36"/>
  <c r="J2" i="36"/>
  <c r="F2" i="36"/>
  <c r="V2" i="35"/>
  <c r="R2" i="35"/>
  <c r="N2" i="35"/>
  <c r="J2" i="35"/>
  <c r="F2" i="35"/>
  <c r="V2" i="34"/>
  <c r="R2" i="34"/>
  <c r="N2" i="34"/>
  <c r="J2" i="34"/>
  <c r="F2" i="34"/>
  <c r="V2" i="33"/>
  <c r="R2" i="33"/>
  <c r="N2" i="33"/>
  <c r="J2" i="33"/>
  <c r="F2" i="33"/>
  <c r="V2" i="32"/>
  <c r="R2" i="32"/>
  <c r="N2" i="32"/>
  <c r="J2" i="32"/>
  <c r="F2" i="32"/>
  <c r="V2" i="31"/>
  <c r="R2" i="31"/>
  <c r="N2" i="31"/>
  <c r="J2" i="31"/>
  <c r="F2" i="31"/>
  <c r="V2" i="24"/>
  <c r="R2" i="24"/>
  <c r="N2" i="24"/>
  <c r="J2" i="24"/>
  <c r="F2" i="24"/>
  <c r="V2" i="17"/>
  <c r="R2" i="17"/>
  <c r="N2" i="17"/>
  <c r="J2" i="17"/>
  <c r="F2" i="17"/>
  <c r="E202" i="49"/>
  <c r="E203" i="49" s="1"/>
  <c r="E204" i="49" s="1"/>
  <c r="E205" i="49" s="1"/>
  <c r="E206" i="49" s="1"/>
  <c r="E207" i="49" s="1"/>
  <c r="E208" i="49" s="1"/>
  <c r="E209" i="49" s="1"/>
  <c r="E210" i="49" s="1"/>
  <c r="E211" i="49" s="1"/>
  <c r="E212" i="49" s="1"/>
  <c r="E213" i="49" s="1"/>
  <c r="E214" i="49" s="1"/>
  <c r="E215" i="49" s="1"/>
  <c r="E216" i="49" s="1"/>
  <c r="E217" i="49" s="1"/>
  <c r="E218" i="49" s="1"/>
  <c r="E219" i="49" s="1"/>
  <c r="E220" i="49" s="1"/>
  <c r="E221" i="49" s="1"/>
  <c r="E222" i="49" s="1"/>
  <c r="E223" i="49" s="1"/>
  <c r="E224" i="49" s="1"/>
  <c r="E225" i="49" s="1"/>
  <c r="E226" i="49" s="1"/>
  <c r="E227" i="49" s="1"/>
  <c r="E228" i="49" s="1"/>
  <c r="V7" i="51"/>
  <c r="F7" i="51"/>
  <c r="R7" i="51"/>
  <c r="N7" i="51"/>
  <c r="J7" i="51"/>
  <c r="F5" i="50"/>
  <c r="J5" i="50"/>
  <c r="D9" i="51" l="1"/>
  <c r="E9" i="51" s="1"/>
  <c r="L9" i="51"/>
  <c r="M9" i="51" s="1"/>
  <c r="T9" i="51"/>
  <c r="U9" i="51" s="1"/>
  <c r="P9" i="51"/>
  <c r="Q9" i="51" s="1"/>
  <c r="H9" i="51"/>
  <c r="I9" i="51" s="1"/>
  <c r="A10" i="51"/>
  <c r="B9" i="51"/>
  <c r="T7" i="50"/>
  <c r="U7" i="50" s="1"/>
  <c r="P7" i="50"/>
  <c r="Q7" i="50" s="1"/>
  <c r="H7" i="50"/>
  <c r="I7" i="50" s="1"/>
  <c r="D7" i="50"/>
  <c r="E7" i="50" s="1"/>
  <c r="L7" i="50"/>
  <c r="M7" i="50" s="1"/>
  <c r="B7" i="50"/>
  <c r="A8" i="50"/>
  <c r="E175" i="49"/>
  <c r="E176" i="49" s="1"/>
  <c r="E177" i="49" s="1"/>
  <c r="E178" i="49" s="1"/>
  <c r="E179" i="49" s="1"/>
  <c r="E180" i="49" s="1"/>
  <c r="E181" i="49" s="1"/>
  <c r="E182" i="49" s="1"/>
  <c r="E183" i="49" s="1"/>
  <c r="E184" i="49" s="1"/>
  <c r="E185" i="49" s="1"/>
  <c r="E186" i="49" s="1"/>
  <c r="E187" i="49" s="1"/>
  <c r="E188" i="49" s="1"/>
  <c r="E189" i="49" s="1"/>
  <c r="E190" i="49" s="1"/>
  <c r="E191" i="49" s="1"/>
  <c r="E192" i="49" s="1"/>
  <c r="E193" i="49" s="1"/>
  <c r="E194" i="49" s="1"/>
  <c r="E195" i="49" s="1"/>
  <c r="E196" i="49" s="1"/>
  <c r="E197" i="49" s="1"/>
  <c r="E198" i="49" s="1"/>
  <c r="E199" i="49" s="1"/>
  <c r="E200" i="49" s="1"/>
  <c r="E154" i="49"/>
  <c r="E155" i="49" s="1"/>
  <c r="E156" i="49" s="1"/>
  <c r="E157" i="49" s="1"/>
  <c r="E158" i="49" s="1"/>
  <c r="E159" i="49" s="1"/>
  <c r="E160" i="49" s="1"/>
  <c r="E161" i="49" s="1"/>
  <c r="E162" i="49" s="1"/>
  <c r="E163" i="49" s="1"/>
  <c r="E164" i="49" s="1"/>
  <c r="E165" i="49" s="1"/>
  <c r="E166" i="49" s="1"/>
  <c r="E167" i="49" s="1"/>
  <c r="E168" i="49" s="1"/>
  <c r="E169" i="49" s="1"/>
  <c r="E170" i="49" s="1"/>
  <c r="E171" i="49" s="1"/>
  <c r="E172" i="49" s="1"/>
  <c r="E173" i="49" s="1"/>
  <c r="E135" i="49"/>
  <c r="E136" i="49" s="1"/>
  <c r="E137" i="49" s="1"/>
  <c r="E138" i="49" s="1"/>
  <c r="E139" i="49" s="1"/>
  <c r="E140" i="49" s="1"/>
  <c r="E141" i="49" s="1"/>
  <c r="E142" i="49" s="1"/>
  <c r="E143" i="49" s="1"/>
  <c r="E144" i="49" s="1"/>
  <c r="E145" i="49" s="1"/>
  <c r="E146" i="49" s="1"/>
  <c r="E147" i="49" s="1"/>
  <c r="E148" i="49" s="1"/>
  <c r="E149" i="49" s="1"/>
  <c r="E150" i="49" s="1"/>
  <c r="E151" i="49" s="1"/>
  <c r="E152" i="49" s="1"/>
  <c r="N8" i="51"/>
  <c r="V8" i="51"/>
  <c r="J8" i="51"/>
  <c r="R8" i="51"/>
  <c r="F8" i="51"/>
  <c r="V6" i="50"/>
  <c r="J6" i="50"/>
  <c r="N6" i="50"/>
  <c r="R6" i="50"/>
  <c r="F6" i="50"/>
  <c r="C20" i="32"/>
  <c r="T10" i="51" l="1"/>
  <c r="U10" i="51" s="1"/>
  <c r="D10" i="51"/>
  <c r="E10" i="51" s="1"/>
  <c r="H10" i="51"/>
  <c r="I10" i="51" s="1"/>
  <c r="P10" i="51"/>
  <c r="Q10" i="51" s="1"/>
  <c r="L10" i="51"/>
  <c r="M10" i="51" s="1"/>
  <c r="A11" i="51"/>
  <c r="B10" i="51"/>
  <c r="T8" i="50"/>
  <c r="U8" i="50" s="1"/>
  <c r="L8" i="50"/>
  <c r="M8" i="50" s="1"/>
  <c r="H8" i="50"/>
  <c r="I8" i="50" s="1"/>
  <c r="D8" i="50"/>
  <c r="E8" i="50" s="1"/>
  <c r="P8" i="50"/>
  <c r="Q8" i="50" s="1"/>
  <c r="A9" i="50"/>
  <c r="B8" i="50"/>
  <c r="H22" i="24"/>
  <c r="I22" i="24" s="1"/>
  <c r="D20" i="32"/>
  <c r="E20" i="32" s="1"/>
  <c r="E118" i="49"/>
  <c r="E119" i="49" s="1"/>
  <c r="E120" i="49" s="1"/>
  <c r="E121" i="49" s="1"/>
  <c r="E122" i="49" s="1"/>
  <c r="E123" i="49" s="1"/>
  <c r="E124" i="49" s="1"/>
  <c r="E125" i="49" s="1"/>
  <c r="E126" i="49" s="1"/>
  <c r="E127" i="49" s="1"/>
  <c r="E128" i="49" s="1"/>
  <c r="E129" i="49" s="1"/>
  <c r="E130" i="49" s="1"/>
  <c r="E131" i="49" s="1"/>
  <c r="E132" i="49" s="1"/>
  <c r="E133" i="49" s="1"/>
  <c r="E90" i="49"/>
  <c r="E91" i="49" s="1"/>
  <c r="E92" i="49" s="1"/>
  <c r="E93" i="49" s="1"/>
  <c r="E94" i="49" s="1"/>
  <c r="E95" i="49" s="1"/>
  <c r="E96" i="49" s="1"/>
  <c r="E97" i="49" s="1"/>
  <c r="E98" i="49" s="1"/>
  <c r="E99" i="49" s="1"/>
  <c r="E100" i="49" s="1"/>
  <c r="E101" i="49" s="1"/>
  <c r="E102" i="49" s="1"/>
  <c r="E103" i="49" s="1"/>
  <c r="E104" i="49" s="1"/>
  <c r="E105" i="49" s="1"/>
  <c r="E106" i="49" s="1"/>
  <c r="E107" i="49" s="1"/>
  <c r="E108" i="49" s="1"/>
  <c r="E109" i="49" s="1"/>
  <c r="E110" i="49" s="1"/>
  <c r="E111" i="49" s="1"/>
  <c r="E112" i="49" s="1"/>
  <c r="E113" i="49" s="1"/>
  <c r="E114" i="49" s="1"/>
  <c r="E115" i="49" s="1"/>
  <c r="E116" i="49" s="1"/>
  <c r="E63" i="49"/>
  <c r="E64" i="49" s="1"/>
  <c r="E65" i="49" s="1"/>
  <c r="E66" i="49" s="1"/>
  <c r="E67" i="49" s="1"/>
  <c r="E68" i="49" s="1"/>
  <c r="E69" i="49" s="1"/>
  <c r="E70" i="49" s="1"/>
  <c r="E71" i="49" s="1"/>
  <c r="E72" i="49" s="1"/>
  <c r="E73" i="49" s="1"/>
  <c r="E74" i="49" s="1"/>
  <c r="E75" i="49" s="1"/>
  <c r="E76" i="49" s="1"/>
  <c r="E77" i="49" s="1"/>
  <c r="E78" i="49" s="1"/>
  <c r="E79" i="49" s="1"/>
  <c r="E80" i="49" s="1"/>
  <c r="E81" i="49" s="1"/>
  <c r="E82" i="49" s="1"/>
  <c r="E83" i="49" s="1"/>
  <c r="E84" i="49" s="1"/>
  <c r="E85" i="49" s="1"/>
  <c r="E86" i="49" s="1"/>
  <c r="E87" i="49" s="1"/>
  <c r="E88" i="49" s="1"/>
  <c r="E42" i="49"/>
  <c r="E43" i="49" s="1"/>
  <c r="E44" i="49" s="1"/>
  <c r="E45" i="49" s="1"/>
  <c r="E46" i="49" s="1"/>
  <c r="E47" i="49" s="1"/>
  <c r="E48" i="49" s="1"/>
  <c r="E49" i="49" s="1"/>
  <c r="E50" i="49" s="1"/>
  <c r="E51" i="49" s="1"/>
  <c r="E52" i="49" s="1"/>
  <c r="E53" i="49" s="1"/>
  <c r="E54" i="49" s="1"/>
  <c r="E55" i="49" s="1"/>
  <c r="E56" i="49" s="1"/>
  <c r="E57" i="49" s="1"/>
  <c r="E58" i="49" s="1"/>
  <c r="E59" i="49" s="1"/>
  <c r="E60" i="49" s="1"/>
  <c r="E61" i="49" s="1"/>
  <c r="E22" i="49"/>
  <c r="E23" i="49" s="1"/>
  <c r="E24" i="49" s="1"/>
  <c r="E25" i="49" s="1"/>
  <c r="E26" i="49" s="1"/>
  <c r="E27" i="49" s="1"/>
  <c r="E28" i="49" s="1"/>
  <c r="E29" i="49" s="1"/>
  <c r="E30" i="49" s="1"/>
  <c r="E31" i="49" s="1"/>
  <c r="E32" i="49" s="1"/>
  <c r="E33" i="49" s="1"/>
  <c r="E34" i="49" s="1"/>
  <c r="E35" i="49" s="1"/>
  <c r="E36" i="49" s="1"/>
  <c r="E37" i="49" s="1"/>
  <c r="E38" i="49" s="1"/>
  <c r="E39" i="49" s="1"/>
  <c r="E40" i="49" s="1"/>
  <c r="E3" i="49"/>
  <c r="E4" i="49" s="1"/>
  <c r="E5" i="49" s="1"/>
  <c r="E6" i="49" s="1"/>
  <c r="E7" i="49" s="1"/>
  <c r="E8" i="49" s="1"/>
  <c r="E9" i="49" s="1"/>
  <c r="E10" i="49" s="1"/>
  <c r="E11" i="49" s="1"/>
  <c r="E12" i="49" s="1"/>
  <c r="E13" i="49" s="1"/>
  <c r="E14" i="49" s="1"/>
  <c r="E15" i="49" s="1"/>
  <c r="E16" i="49" s="1"/>
  <c r="E17" i="49" s="1"/>
  <c r="E18" i="49" s="1"/>
  <c r="E19" i="49" s="1"/>
  <c r="E20" i="49" s="1"/>
  <c r="A5" i="48"/>
  <c r="F9" i="51"/>
  <c r="J9" i="51"/>
  <c r="R9" i="51"/>
  <c r="N9" i="51"/>
  <c r="V9" i="51"/>
  <c r="N7" i="50"/>
  <c r="J7" i="50"/>
  <c r="R7" i="50"/>
  <c r="F7" i="50"/>
  <c r="V7" i="50"/>
  <c r="G16" i="48"/>
  <c r="C17" i="48"/>
  <c r="G14" i="48"/>
  <c r="S14" i="48"/>
  <c r="C6" i="48"/>
  <c r="G9" i="48"/>
  <c r="O24" i="48"/>
  <c r="K20" i="48"/>
  <c r="O17" i="48"/>
  <c r="K17" i="48"/>
  <c r="O9" i="48"/>
  <c r="C4" i="48"/>
  <c r="C18" i="48"/>
  <c r="S25" i="48"/>
  <c r="S27" i="48"/>
  <c r="S5" i="35"/>
  <c r="C16" i="48"/>
  <c r="O12" i="48"/>
  <c r="S18" i="48"/>
  <c r="G12" i="48"/>
  <c r="K8" i="48"/>
  <c r="S26" i="48"/>
  <c r="K23" i="48"/>
  <c r="O7" i="48"/>
  <c r="G20" i="48"/>
  <c r="S23" i="48"/>
  <c r="K9" i="48"/>
  <c r="S5" i="33"/>
  <c r="K19" i="48"/>
  <c r="O6" i="48"/>
  <c r="O13" i="48"/>
  <c r="O29" i="48"/>
  <c r="O31" i="48"/>
  <c r="G5" i="48"/>
  <c r="S5" i="43"/>
  <c r="S5" i="31"/>
  <c r="G17" i="48"/>
  <c r="S6" i="48"/>
  <c r="C8" i="48"/>
  <c r="S16" i="48"/>
  <c r="K13" i="48"/>
  <c r="O16" i="48"/>
  <c r="S5" i="39"/>
  <c r="O27" i="48"/>
  <c r="S32" i="48"/>
  <c r="O18" i="48"/>
  <c r="O8" i="48"/>
  <c r="S17" i="48"/>
  <c r="K16" i="48"/>
  <c r="S13" i="48"/>
  <c r="S5" i="41"/>
  <c r="K14" i="48"/>
  <c r="S10" i="48"/>
  <c r="C10" i="48"/>
  <c r="S19" i="48"/>
  <c r="S24" i="48"/>
  <c r="K6" i="48"/>
  <c r="G19" i="48"/>
  <c r="O21" i="48"/>
  <c r="S15" i="48"/>
  <c r="O11" i="48"/>
  <c r="K22" i="48"/>
  <c r="C15" i="48"/>
  <c r="S5" i="47"/>
  <c r="G4" i="48"/>
  <c r="C18" i="32"/>
  <c r="O14" i="48"/>
  <c r="S28" i="48"/>
  <c r="S7" i="48"/>
  <c r="S5" i="37"/>
  <c r="S22" i="48"/>
  <c r="O19" i="48"/>
  <c r="S31" i="48"/>
  <c r="K7" i="48"/>
  <c r="S5" i="45"/>
  <c r="G21" i="48"/>
  <c r="G11" i="48"/>
  <c r="S20" i="48"/>
  <c r="G13" i="48"/>
  <c r="C19" i="48"/>
  <c r="S11" i="48"/>
  <c r="O28" i="48"/>
  <c r="S9" i="48"/>
  <c r="S8" i="48"/>
  <c r="G10" i="48"/>
  <c r="O26" i="48"/>
  <c r="G15" i="48"/>
  <c r="C20" i="48"/>
  <c r="K5" i="48"/>
  <c r="C7" i="48"/>
  <c r="K25" i="48"/>
  <c r="O15" i="48"/>
  <c r="K18" i="48"/>
  <c r="O25" i="48"/>
  <c r="S33" i="48"/>
  <c r="K10" i="48"/>
  <c r="C12" i="48"/>
  <c r="S30" i="48"/>
  <c r="C14" i="48"/>
  <c r="C19" i="32"/>
  <c r="O32" i="48"/>
  <c r="K24" i="48"/>
  <c r="O22" i="48"/>
  <c r="O30" i="48"/>
  <c r="K21" i="48"/>
  <c r="G22" i="48"/>
  <c r="S12" i="48"/>
  <c r="G18" i="48"/>
  <c r="C9" i="48"/>
  <c r="C5" i="48"/>
  <c r="K15" i="48"/>
  <c r="O10" i="48"/>
  <c r="C13" i="48"/>
  <c r="K11" i="48"/>
  <c r="G8" i="48"/>
  <c r="K12" i="48"/>
  <c r="S29" i="48"/>
  <c r="S21" i="48"/>
  <c r="G7" i="48"/>
  <c r="C11" i="48"/>
  <c r="O23" i="48"/>
  <c r="G6" i="48"/>
  <c r="O20" i="48"/>
  <c r="T11" i="51" l="1"/>
  <c r="U11" i="51" s="1"/>
  <c r="P11" i="51"/>
  <c r="Q11" i="51" s="1"/>
  <c r="H11" i="51"/>
  <c r="I11" i="51" s="1"/>
  <c r="L11" i="51"/>
  <c r="M11" i="51" s="1"/>
  <c r="D11" i="51"/>
  <c r="E11" i="51" s="1"/>
  <c r="B11" i="51"/>
  <c r="A12" i="51"/>
  <c r="P9" i="50"/>
  <c r="Q9" i="50" s="1"/>
  <c r="L9" i="50"/>
  <c r="M9" i="50" s="1"/>
  <c r="T9" i="50"/>
  <c r="U9" i="50" s="1"/>
  <c r="D9" i="50"/>
  <c r="E9" i="50" s="1"/>
  <c r="H9" i="50"/>
  <c r="I9" i="50" s="1"/>
  <c r="B9" i="50"/>
  <c r="A10" i="50"/>
  <c r="D19" i="32"/>
  <c r="E19" i="32" s="1"/>
  <c r="D18" i="32"/>
  <c r="E18" i="32" s="1"/>
  <c r="T5" i="47"/>
  <c r="U5" i="47" s="1"/>
  <c r="T5" i="45"/>
  <c r="U5" i="45" s="1"/>
  <c r="T5" i="43"/>
  <c r="U5" i="43" s="1"/>
  <c r="T5" i="41"/>
  <c r="U5" i="41" s="1"/>
  <c r="T5" i="39"/>
  <c r="U5" i="39" s="1"/>
  <c r="T5" i="37"/>
  <c r="U5" i="37" s="1"/>
  <c r="T5" i="35"/>
  <c r="U5" i="35" s="1"/>
  <c r="T5" i="33"/>
  <c r="U5" i="33" s="1"/>
  <c r="T5" i="31"/>
  <c r="U5" i="31" s="1"/>
  <c r="L5" i="48"/>
  <c r="M5" i="48" s="1"/>
  <c r="H5" i="48"/>
  <c r="I5" i="48" s="1"/>
  <c r="D5" i="48"/>
  <c r="E5" i="48" s="1"/>
  <c r="A6" i="48"/>
  <c r="B5" i="48"/>
  <c r="V10" i="51"/>
  <c r="R10" i="51"/>
  <c r="J10" i="51"/>
  <c r="N10" i="51"/>
  <c r="F10" i="51"/>
  <c r="N8" i="50"/>
  <c r="V8" i="50"/>
  <c r="F8" i="50"/>
  <c r="J8" i="50"/>
  <c r="R8" i="50"/>
  <c r="V5" i="37"/>
  <c r="V5" i="41"/>
  <c r="V5" i="47"/>
  <c r="F19" i="32"/>
  <c r="N5" i="48"/>
  <c r="V5" i="43"/>
  <c r="V5" i="33"/>
  <c r="V5" i="39"/>
  <c r="F20" i="32"/>
  <c r="V5" i="35"/>
  <c r="V5" i="45"/>
  <c r="V5" i="31"/>
  <c r="L12" i="51" l="1"/>
  <c r="M12" i="51" s="1"/>
  <c r="T12" i="51"/>
  <c r="U12" i="51" s="1"/>
  <c r="P12" i="51"/>
  <c r="Q12" i="51" s="1"/>
  <c r="D12" i="51"/>
  <c r="E12" i="51" s="1"/>
  <c r="H12" i="51"/>
  <c r="I12" i="51" s="1"/>
  <c r="B12" i="51"/>
  <c r="A13" i="51"/>
  <c r="P10" i="50"/>
  <c r="Q10" i="50" s="1"/>
  <c r="H10" i="50"/>
  <c r="I10" i="50" s="1"/>
  <c r="L10" i="50"/>
  <c r="M10" i="50" s="1"/>
  <c r="T10" i="50"/>
  <c r="U10" i="50" s="1"/>
  <c r="D10" i="50"/>
  <c r="E10" i="50" s="1"/>
  <c r="A11" i="50"/>
  <c r="B10" i="50"/>
  <c r="H543" i="49"/>
  <c r="H359" i="49"/>
  <c r="H2132" i="49"/>
  <c r="H770" i="49"/>
  <c r="H1224" i="49"/>
  <c r="H997" i="49"/>
  <c r="H316" i="49"/>
  <c r="H2196" i="49"/>
  <c r="H1678" i="49"/>
  <c r="H1905" i="49"/>
  <c r="H1451" i="49"/>
  <c r="H360" i="49"/>
  <c r="F316" i="49"/>
  <c r="F543" i="49"/>
  <c r="F770" i="49"/>
  <c r="F997" i="49"/>
  <c r="F1224" i="49"/>
  <c r="F1451" i="49"/>
  <c r="F1678" i="49"/>
  <c r="F1905" i="49"/>
  <c r="F2132" i="49"/>
  <c r="F360" i="49"/>
  <c r="F359" i="49"/>
  <c r="T6" i="48"/>
  <c r="U6" i="48" s="1"/>
  <c r="P6" i="48"/>
  <c r="Q6" i="48" s="1"/>
  <c r="L6" i="48"/>
  <c r="M6" i="48" s="1"/>
  <c r="H6" i="48"/>
  <c r="I6" i="48" s="1"/>
  <c r="D6" i="48"/>
  <c r="E6" i="48" s="1"/>
  <c r="A7" i="48"/>
  <c r="B6" i="48"/>
  <c r="N11" i="51"/>
  <c r="R11" i="51"/>
  <c r="J11" i="51"/>
  <c r="V11" i="51"/>
  <c r="F11" i="51"/>
  <c r="N9" i="50"/>
  <c r="F9" i="50"/>
  <c r="J9" i="50"/>
  <c r="V9" i="50"/>
  <c r="R9" i="50"/>
  <c r="I1678" i="49"/>
  <c r="I360" i="49"/>
  <c r="I997" i="49"/>
  <c r="I316" i="49"/>
  <c r="I1224" i="49"/>
  <c r="I2132" i="49"/>
  <c r="V6" i="48"/>
  <c r="I770" i="49"/>
  <c r="I543" i="49"/>
  <c r="I1905" i="49"/>
  <c r="I1451" i="49"/>
  <c r="I359" i="49"/>
  <c r="R6" i="48"/>
  <c r="P13" i="51" l="1"/>
  <c r="Q13" i="51" s="1"/>
  <c r="D13" i="51"/>
  <c r="E13" i="51" s="1"/>
  <c r="H13" i="51"/>
  <c r="I13" i="51" s="1"/>
  <c r="L13" i="51"/>
  <c r="M13" i="51" s="1"/>
  <c r="T13" i="51"/>
  <c r="U13" i="51" s="1"/>
  <c r="A14" i="51"/>
  <c r="B13" i="51"/>
  <c r="L11" i="50"/>
  <c r="M11" i="50" s="1"/>
  <c r="H11" i="50"/>
  <c r="I11" i="50" s="1"/>
  <c r="D11" i="50"/>
  <c r="E11" i="50" s="1"/>
  <c r="P11" i="50"/>
  <c r="Q11" i="50" s="1"/>
  <c r="T11" i="50"/>
  <c r="U11" i="50" s="1"/>
  <c r="A12" i="50"/>
  <c r="B11" i="50"/>
  <c r="H2217" i="49"/>
  <c r="H2244" i="49"/>
  <c r="H4" i="48"/>
  <c r="I4" i="48" s="1"/>
  <c r="T7" i="48"/>
  <c r="U7" i="48" s="1"/>
  <c r="P7" i="48"/>
  <c r="Q7" i="48" s="1"/>
  <c r="L7" i="48"/>
  <c r="M7" i="48" s="1"/>
  <c r="H7" i="48"/>
  <c r="I7" i="48" s="1"/>
  <c r="D7" i="48"/>
  <c r="E7" i="48" s="1"/>
  <c r="A8" i="48"/>
  <c r="B7" i="48"/>
  <c r="R12" i="51"/>
  <c r="F12" i="51"/>
  <c r="V12" i="51"/>
  <c r="J12" i="51"/>
  <c r="N12" i="51"/>
  <c r="R10" i="50"/>
  <c r="V10" i="50"/>
  <c r="N10" i="50"/>
  <c r="F10" i="50"/>
  <c r="J10" i="50"/>
  <c r="J5" i="48"/>
  <c r="N6" i="48"/>
  <c r="J4" i="48"/>
  <c r="F6" i="48"/>
  <c r="J6" i="48"/>
  <c r="D14" i="51" l="1"/>
  <c r="E14" i="51" s="1"/>
  <c r="P14" i="51"/>
  <c r="Q14" i="51" s="1"/>
  <c r="L14" i="51"/>
  <c r="M14" i="51" s="1"/>
  <c r="H14" i="51"/>
  <c r="I14" i="51" s="1"/>
  <c r="T14" i="51"/>
  <c r="U14" i="51" s="1"/>
  <c r="A15" i="51"/>
  <c r="B14" i="51"/>
  <c r="L12" i="50"/>
  <c r="M12" i="50" s="1"/>
  <c r="D12" i="50"/>
  <c r="E12" i="50" s="1"/>
  <c r="T12" i="50"/>
  <c r="U12" i="50" s="1"/>
  <c r="P12" i="50"/>
  <c r="Q12" i="50" s="1"/>
  <c r="H12" i="50"/>
  <c r="I12" i="50" s="1"/>
  <c r="A13" i="50"/>
  <c r="B12" i="50"/>
  <c r="H2177" i="49"/>
  <c r="H2179" i="49"/>
  <c r="H2197" i="49"/>
  <c r="H2178" i="49"/>
  <c r="H2162" i="49"/>
  <c r="D4" i="48"/>
  <c r="E4" i="48" s="1"/>
  <c r="T8" i="48"/>
  <c r="U8" i="48" s="1"/>
  <c r="P8" i="48"/>
  <c r="Q8" i="48" s="1"/>
  <c r="L8" i="48"/>
  <c r="M8" i="48" s="1"/>
  <c r="H8" i="48"/>
  <c r="I8" i="48" s="1"/>
  <c r="D8" i="48"/>
  <c r="E8" i="48" s="1"/>
  <c r="A9" i="48"/>
  <c r="B8" i="48"/>
  <c r="B4" i="48"/>
  <c r="J13" i="51"/>
  <c r="V13" i="51"/>
  <c r="F13" i="51"/>
  <c r="R13" i="51"/>
  <c r="N13" i="51"/>
  <c r="N11" i="50"/>
  <c r="F11" i="50"/>
  <c r="V11" i="50"/>
  <c r="R11" i="50"/>
  <c r="J11" i="50"/>
  <c r="S14" i="47"/>
  <c r="O19" i="47"/>
  <c r="O18" i="47"/>
  <c r="S12" i="47"/>
  <c r="G23" i="47"/>
  <c r="C7" i="47"/>
  <c r="S15" i="47"/>
  <c r="C12" i="47"/>
  <c r="G6" i="47"/>
  <c r="O9" i="47"/>
  <c r="G5" i="47"/>
  <c r="S7" i="47"/>
  <c r="C15" i="47"/>
  <c r="K17" i="47"/>
  <c r="S28" i="47"/>
  <c r="K13" i="47"/>
  <c r="O21" i="47"/>
  <c r="O16" i="47"/>
  <c r="S23" i="47"/>
  <c r="K12" i="47"/>
  <c r="K10" i="47"/>
  <c r="V7" i="48"/>
  <c r="F7" i="48"/>
  <c r="S19" i="47"/>
  <c r="S6" i="47"/>
  <c r="K11" i="47"/>
  <c r="O25" i="47"/>
  <c r="G7" i="47"/>
  <c r="S9" i="47"/>
  <c r="O22" i="47"/>
  <c r="K15" i="47"/>
  <c r="S32" i="47"/>
  <c r="K24" i="47"/>
  <c r="K5" i="47"/>
  <c r="O15" i="47"/>
  <c r="O20" i="47"/>
  <c r="K14" i="47"/>
  <c r="G12" i="47"/>
  <c r="G13" i="47"/>
  <c r="C20" i="47"/>
  <c r="C8" i="47"/>
  <c r="K9" i="47"/>
  <c r="O24" i="47"/>
  <c r="K6" i="47"/>
  <c r="S18" i="47"/>
  <c r="G17" i="47"/>
  <c r="K25" i="47"/>
  <c r="O30" i="47"/>
  <c r="C13" i="47"/>
  <c r="O31" i="47"/>
  <c r="C18" i="47"/>
  <c r="S24" i="47"/>
  <c r="O17" i="47"/>
  <c r="S31" i="47"/>
  <c r="K23" i="47"/>
  <c r="K16" i="47"/>
  <c r="O28" i="47"/>
  <c r="C22" i="47"/>
  <c r="F5" i="48"/>
  <c r="S21" i="47"/>
  <c r="O12" i="47"/>
  <c r="K7" i="47"/>
  <c r="O27" i="47"/>
  <c r="G20" i="47"/>
  <c r="G21" i="47"/>
  <c r="S16" i="47"/>
  <c r="G22" i="47"/>
  <c r="O7" i="47"/>
  <c r="C10" i="47"/>
  <c r="G11" i="47"/>
  <c r="K21" i="47"/>
  <c r="S25" i="47"/>
  <c r="O11" i="47"/>
  <c r="J7" i="48"/>
  <c r="N7" i="48"/>
  <c r="O8" i="47"/>
  <c r="G15" i="47"/>
  <c r="C6" i="47"/>
  <c r="S17" i="47"/>
  <c r="S13" i="47"/>
  <c r="O23" i="47"/>
  <c r="G8" i="47"/>
  <c r="C5" i="47"/>
  <c r="O6" i="47"/>
  <c r="O26" i="47"/>
  <c r="C17" i="47"/>
  <c r="S22" i="47"/>
  <c r="S8" i="47"/>
  <c r="K18" i="47"/>
  <c r="F4" i="48"/>
  <c r="G16" i="47"/>
  <c r="O5" i="47"/>
  <c r="S30" i="47"/>
  <c r="C14" i="47"/>
  <c r="G14" i="47"/>
  <c r="S27" i="47"/>
  <c r="K20" i="47"/>
  <c r="C16" i="47"/>
  <c r="C11" i="47"/>
  <c r="S26" i="47"/>
  <c r="S20" i="47"/>
  <c r="G9" i="47"/>
  <c r="C19" i="47"/>
  <c r="S29" i="47"/>
  <c r="S11" i="47"/>
  <c r="G19" i="47"/>
  <c r="O10" i="47"/>
  <c r="K8" i="47"/>
  <c r="C9" i="47"/>
  <c r="R7" i="48"/>
  <c r="G18" i="47"/>
  <c r="G4" i="47"/>
  <c r="O29" i="47"/>
  <c r="S10" i="47"/>
  <c r="K19" i="47"/>
  <c r="C21" i="47"/>
  <c r="K22" i="47"/>
  <c r="O14" i="47"/>
  <c r="G10" i="47"/>
  <c r="O13" i="47"/>
  <c r="L15" i="51" l="1"/>
  <c r="M15" i="51" s="1"/>
  <c r="T15" i="51"/>
  <c r="U15" i="51" s="1"/>
  <c r="D15" i="51"/>
  <c r="E15" i="51" s="1"/>
  <c r="H15" i="51"/>
  <c r="I15" i="51" s="1"/>
  <c r="P15" i="51"/>
  <c r="Q15" i="51" s="1"/>
  <c r="B15" i="51"/>
  <c r="A16" i="51"/>
  <c r="H13" i="50"/>
  <c r="I13" i="50" s="1"/>
  <c r="D13" i="50"/>
  <c r="E13" i="50" s="1"/>
  <c r="T13" i="50"/>
  <c r="U13" i="50" s="1"/>
  <c r="L13" i="50"/>
  <c r="M13" i="50" s="1"/>
  <c r="P13" i="50"/>
  <c r="Q13" i="50" s="1"/>
  <c r="A14" i="50"/>
  <c r="B13" i="50"/>
  <c r="H2198" i="49"/>
  <c r="H2245" i="49"/>
  <c r="H2180" i="49"/>
  <c r="H2163" i="49"/>
  <c r="H2160" i="49"/>
  <c r="H2218" i="49"/>
  <c r="H2161" i="49"/>
  <c r="F2196" i="49"/>
  <c r="F2217" i="49"/>
  <c r="F2162" i="49"/>
  <c r="F2244" i="49"/>
  <c r="F2177" i="49"/>
  <c r="F2178" i="49"/>
  <c r="F2179" i="49"/>
  <c r="F2197" i="49"/>
  <c r="F2163" i="49"/>
  <c r="F2180" i="49"/>
  <c r="F2198" i="49"/>
  <c r="F2218" i="49"/>
  <c r="F2245" i="49"/>
  <c r="F2161" i="49"/>
  <c r="F2160" i="49"/>
  <c r="T9" i="48"/>
  <c r="U9" i="48" s="1"/>
  <c r="P9" i="48"/>
  <c r="Q9" i="48" s="1"/>
  <c r="L9" i="48"/>
  <c r="M9" i="48" s="1"/>
  <c r="H9" i="48"/>
  <c r="I9" i="48" s="1"/>
  <c r="D9" i="48"/>
  <c r="E9" i="48" s="1"/>
  <c r="A10" i="48"/>
  <c r="B9" i="48"/>
  <c r="A5" i="47"/>
  <c r="N14" i="51"/>
  <c r="V14" i="51"/>
  <c r="F14" i="51"/>
  <c r="J14" i="51"/>
  <c r="R14" i="51"/>
  <c r="J12" i="50"/>
  <c r="F12" i="50"/>
  <c r="V12" i="50"/>
  <c r="N12" i="50"/>
  <c r="R12" i="50"/>
  <c r="J8" i="48"/>
  <c r="C4" i="47"/>
  <c r="I2160" i="49"/>
  <c r="I2179" i="49"/>
  <c r="I2180" i="49"/>
  <c r="I2196" i="49"/>
  <c r="F8" i="48"/>
  <c r="I2161" i="49"/>
  <c r="I2177" i="49"/>
  <c r="I2245" i="49"/>
  <c r="I2178" i="49"/>
  <c r="I2218" i="49"/>
  <c r="I2217" i="49"/>
  <c r="N8" i="48"/>
  <c r="I2244" i="49"/>
  <c r="R8" i="48"/>
  <c r="V8" i="48"/>
  <c r="I2197" i="49"/>
  <c r="I2163" i="49"/>
  <c r="I2198" i="49"/>
  <c r="I2162" i="49"/>
  <c r="L16" i="51" l="1"/>
  <c r="M16" i="51" s="1"/>
  <c r="H16" i="51"/>
  <c r="I16" i="51" s="1"/>
  <c r="P16" i="51"/>
  <c r="Q16" i="51" s="1"/>
  <c r="D16" i="51"/>
  <c r="E16" i="51" s="1"/>
  <c r="T16" i="51"/>
  <c r="U16" i="51" s="1"/>
  <c r="A17" i="51"/>
  <c r="B16" i="51"/>
  <c r="H14" i="50"/>
  <c r="I14" i="50" s="1"/>
  <c r="T14" i="50"/>
  <c r="U14" i="50" s="1"/>
  <c r="D14" i="50"/>
  <c r="E14" i="50" s="1"/>
  <c r="P14" i="50"/>
  <c r="Q14" i="50" s="1"/>
  <c r="L14" i="50"/>
  <c r="M14" i="50" s="1"/>
  <c r="B14" i="50"/>
  <c r="A15" i="50"/>
  <c r="H2164" i="49"/>
  <c r="H2246" i="49"/>
  <c r="H2181" i="49"/>
  <c r="H2219" i="49"/>
  <c r="H2199" i="49"/>
  <c r="F2164" i="49"/>
  <c r="F2181" i="49"/>
  <c r="F2199" i="49"/>
  <c r="F2219" i="49"/>
  <c r="F2246" i="49"/>
  <c r="T10" i="48"/>
  <c r="U10" i="48" s="1"/>
  <c r="P10" i="48"/>
  <c r="Q10" i="48" s="1"/>
  <c r="L10" i="48"/>
  <c r="M10" i="48" s="1"/>
  <c r="H10" i="48"/>
  <c r="I10" i="48" s="1"/>
  <c r="D10" i="48"/>
  <c r="E10" i="48" s="1"/>
  <c r="A11" i="48"/>
  <c r="B10" i="48"/>
  <c r="P5" i="47"/>
  <c r="Q5" i="47" s="1"/>
  <c r="L5" i="47"/>
  <c r="M5" i="47" s="1"/>
  <c r="H5" i="47"/>
  <c r="I5" i="47" s="1"/>
  <c r="D5" i="47"/>
  <c r="E5" i="47" s="1"/>
  <c r="A6" i="47"/>
  <c r="B5" i="47"/>
  <c r="N15" i="51"/>
  <c r="J15" i="51"/>
  <c r="R15" i="51"/>
  <c r="F15" i="51"/>
  <c r="V15" i="51"/>
  <c r="V13" i="50"/>
  <c r="F13" i="50"/>
  <c r="R13" i="50"/>
  <c r="N13" i="50"/>
  <c r="J13" i="50"/>
  <c r="F9" i="48"/>
  <c r="R9" i="48"/>
  <c r="I2181" i="49"/>
  <c r="J9" i="48"/>
  <c r="I2199" i="49"/>
  <c r="N5" i="47"/>
  <c r="V9" i="48"/>
  <c r="I2219" i="49"/>
  <c r="I2164" i="49"/>
  <c r="N9" i="48"/>
  <c r="R5" i="47"/>
  <c r="I2246" i="49"/>
  <c r="H17" i="51" l="1"/>
  <c r="I17" i="51" s="1"/>
  <c r="D17" i="51"/>
  <c r="E17" i="51" s="1"/>
  <c r="T17" i="51"/>
  <c r="U17" i="51" s="1"/>
  <c r="P17" i="51"/>
  <c r="Q17" i="51" s="1"/>
  <c r="L17" i="51"/>
  <c r="M17" i="51" s="1"/>
  <c r="A18" i="51"/>
  <c r="B17" i="51"/>
  <c r="D15" i="50"/>
  <c r="E15" i="50" s="1"/>
  <c r="P15" i="50"/>
  <c r="Q15" i="50" s="1"/>
  <c r="T15" i="50"/>
  <c r="U15" i="50" s="1"/>
  <c r="H15" i="50"/>
  <c r="I15" i="50" s="1"/>
  <c r="L15" i="50"/>
  <c r="M15" i="50" s="1"/>
  <c r="B15" i="50"/>
  <c r="A16" i="50"/>
  <c r="H2220" i="49"/>
  <c r="H2247" i="49"/>
  <c r="H2165" i="49"/>
  <c r="H2182" i="49"/>
  <c r="H2200" i="49"/>
  <c r="H2105" i="49"/>
  <c r="H2084" i="49"/>
  <c r="F2165" i="49"/>
  <c r="F2182" i="49"/>
  <c r="F2200" i="49"/>
  <c r="F2220" i="49"/>
  <c r="F2247" i="49"/>
  <c r="T11" i="48"/>
  <c r="U11" i="48" s="1"/>
  <c r="P11" i="48"/>
  <c r="Q11" i="48" s="1"/>
  <c r="L11" i="48"/>
  <c r="M11" i="48" s="1"/>
  <c r="H11" i="48"/>
  <c r="I11" i="48" s="1"/>
  <c r="D11" i="48"/>
  <c r="E11" i="48" s="1"/>
  <c r="A12" i="48"/>
  <c r="B11" i="48"/>
  <c r="T6" i="47"/>
  <c r="U6" i="47" s="1"/>
  <c r="P6" i="47"/>
  <c r="Q6" i="47" s="1"/>
  <c r="L6" i="47"/>
  <c r="M6" i="47" s="1"/>
  <c r="H6" i="47"/>
  <c r="I6" i="47" s="1"/>
  <c r="D6" i="47"/>
  <c r="E6" i="47" s="1"/>
  <c r="A7" i="47"/>
  <c r="B6" i="47"/>
  <c r="J16" i="51"/>
  <c r="R16" i="51"/>
  <c r="N16" i="51"/>
  <c r="F16" i="51"/>
  <c r="V16" i="51"/>
  <c r="R14" i="50"/>
  <c r="V14" i="50"/>
  <c r="J14" i="50"/>
  <c r="N14" i="50"/>
  <c r="F14" i="50"/>
  <c r="I2182" i="49"/>
  <c r="R10" i="48"/>
  <c r="F10" i="48"/>
  <c r="V10" i="48"/>
  <c r="J10" i="48"/>
  <c r="I2200" i="49"/>
  <c r="I2247" i="49"/>
  <c r="N10" i="48"/>
  <c r="I2165" i="49"/>
  <c r="I2220" i="49"/>
  <c r="D18" i="51" l="1"/>
  <c r="E18" i="51" s="1"/>
  <c r="L18" i="51"/>
  <c r="M18" i="51" s="1"/>
  <c r="H18" i="51"/>
  <c r="I18" i="51" s="1"/>
  <c r="P18" i="51"/>
  <c r="Q18" i="51" s="1"/>
  <c r="T18" i="51"/>
  <c r="U18" i="51" s="1"/>
  <c r="A19" i="51"/>
  <c r="B18" i="51"/>
  <c r="D16" i="50"/>
  <c r="E16" i="50" s="1"/>
  <c r="T16" i="50"/>
  <c r="U16" i="50" s="1"/>
  <c r="P16" i="50"/>
  <c r="Q16" i="50" s="1"/>
  <c r="L16" i="50"/>
  <c r="M16" i="50" s="1"/>
  <c r="H16" i="50"/>
  <c r="I16" i="50" s="1"/>
  <c r="A17" i="50"/>
  <c r="B16" i="50"/>
  <c r="H2248" i="49"/>
  <c r="H2221" i="49"/>
  <c r="H2201" i="49"/>
  <c r="H2183" i="49"/>
  <c r="H2166" i="49"/>
  <c r="F2166" i="49"/>
  <c r="F2183" i="49"/>
  <c r="F2201" i="49"/>
  <c r="F2221" i="49"/>
  <c r="F2248" i="49"/>
  <c r="T12" i="48"/>
  <c r="U12" i="48" s="1"/>
  <c r="P12" i="48"/>
  <c r="Q12" i="48" s="1"/>
  <c r="L12" i="48"/>
  <c r="M12" i="48" s="1"/>
  <c r="H12" i="48"/>
  <c r="I12" i="48" s="1"/>
  <c r="D12" i="48"/>
  <c r="E12" i="48" s="1"/>
  <c r="A13" i="48"/>
  <c r="B12" i="48"/>
  <c r="H4" i="47"/>
  <c r="I4" i="47" s="1"/>
  <c r="T7" i="47"/>
  <c r="U7" i="47" s="1"/>
  <c r="P7" i="47"/>
  <c r="Q7" i="47" s="1"/>
  <c r="L7" i="47"/>
  <c r="M7" i="47" s="1"/>
  <c r="H7" i="47"/>
  <c r="I7" i="47" s="1"/>
  <c r="D7" i="47"/>
  <c r="E7" i="47" s="1"/>
  <c r="A8" i="47"/>
  <c r="B7" i="47"/>
  <c r="F17" i="51"/>
  <c r="R17" i="51"/>
  <c r="V17" i="51"/>
  <c r="N17" i="51"/>
  <c r="J17" i="51"/>
  <c r="F15" i="50"/>
  <c r="V15" i="50"/>
  <c r="R15" i="50"/>
  <c r="N15" i="50"/>
  <c r="J15" i="50"/>
  <c r="V11" i="48"/>
  <c r="R11" i="48"/>
  <c r="J6" i="47"/>
  <c r="V6" i="47"/>
  <c r="I2221" i="49"/>
  <c r="I2166" i="49"/>
  <c r="F6" i="47"/>
  <c r="N11" i="48"/>
  <c r="I2248" i="49"/>
  <c r="N6" i="47"/>
  <c r="F11" i="48"/>
  <c r="J5" i="47"/>
  <c r="I2183" i="49"/>
  <c r="J11" i="48"/>
  <c r="R6" i="47"/>
  <c r="I2201" i="49"/>
  <c r="J4" i="47"/>
  <c r="P19" i="51" l="1"/>
  <c r="Q19" i="51" s="1"/>
  <c r="D19" i="51"/>
  <c r="E19" i="51" s="1"/>
  <c r="T19" i="51"/>
  <c r="U19" i="51" s="1"/>
  <c r="L19" i="51"/>
  <c r="M19" i="51" s="1"/>
  <c r="H19" i="51"/>
  <c r="I19" i="51" s="1"/>
  <c r="B19" i="51"/>
  <c r="A20" i="51"/>
  <c r="T17" i="50"/>
  <c r="U17" i="50" s="1"/>
  <c r="P17" i="50"/>
  <c r="Q17" i="50" s="1"/>
  <c r="L17" i="50"/>
  <c r="M17" i="50" s="1"/>
  <c r="D17" i="50"/>
  <c r="E17" i="50" s="1"/>
  <c r="H17" i="50"/>
  <c r="I17" i="50" s="1"/>
  <c r="B17" i="50"/>
  <c r="A18" i="50"/>
  <c r="H2133" i="49"/>
  <c r="H2202" i="49"/>
  <c r="H2167" i="49"/>
  <c r="H2065" i="49"/>
  <c r="H2085" i="49"/>
  <c r="H2066" i="49"/>
  <c r="H2222" i="49"/>
  <c r="H2047" i="49"/>
  <c r="H2249" i="49"/>
  <c r="H2064" i="49"/>
  <c r="H2106" i="49"/>
  <c r="H2184" i="49"/>
  <c r="F2167" i="49"/>
  <c r="F2184" i="49"/>
  <c r="F2202" i="49"/>
  <c r="F2222" i="49"/>
  <c r="F2249" i="49"/>
  <c r="T13" i="48"/>
  <c r="U13" i="48" s="1"/>
  <c r="P13" i="48"/>
  <c r="Q13" i="48" s="1"/>
  <c r="L13" i="48"/>
  <c r="M13" i="48" s="1"/>
  <c r="H13" i="48"/>
  <c r="I13" i="48" s="1"/>
  <c r="D13" i="48"/>
  <c r="E13" i="48" s="1"/>
  <c r="A14" i="48"/>
  <c r="B13" i="48"/>
  <c r="D4" i="47"/>
  <c r="E4" i="47" s="1"/>
  <c r="T8" i="47"/>
  <c r="U8" i="47" s="1"/>
  <c r="P8" i="47"/>
  <c r="Q8" i="47" s="1"/>
  <c r="L8" i="47"/>
  <c r="M8" i="47" s="1"/>
  <c r="H8" i="47"/>
  <c r="I8" i="47" s="1"/>
  <c r="D8" i="47"/>
  <c r="E8" i="47" s="1"/>
  <c r="A9" i="47"/>
  <c r="B8" i="47"/>
  <c r="B4" i="47"/>
  <c r="R18" i="51"/>
  <c r="F18" i="51"/>
  <c r="N18" i="51"/>
  <c r="V18" i="51"/>
  <c r="J18" i="51"/>
  <c r="V16" i="50"/>
  <c r="N16" i="50"/>
  <c r="F16" i="50"/>
  <c r="J16" i="50"/>
  <c r="R16" i="50"/>
  <c r="O14" i="46"/>
  <c r="S9" i="46"/>
  <c r="V7" i="47"/>
  <c r="S12" i="46"/>
  <c r="K17" i="46"/>
  <c r="O22" i="46"/>
  <c r="C7" i="46"/>
  <c r="S8" i="46"/>
  <c r="C15" i="46"/>
  <c r="K6" i="46"/>
  <c r="G21" i="46"/>
  <c r="G7" i="46"/>
  <c r="S21" i="46"/>
  <c r="K19" i="46"/>
  <c r="I2167" i="49"/>
  <c r="K15" i="46"/>
  <c r="N12" i="48"/>
  <c r="O27" i="46"/>
  <c r="C14" i="46"/>
  <c r="O7" i="46"/>
  <c r="K12" i="46"/>
  <c r="G20" i="46"/>
  <c r="K5" i="46"/>
  <c r="K13" i="46"/>
  <c r="O28" i="46"/>
  <c r="S17" i="46"/>
  <c r="J12" i="48"/>
  <c r="C8" i="46"/>
  <c r="O13" i="46"/>
  <c r="S33" i="46"/>
  <c r="K14" i="46"/>
  <c r="F7" i="47"/>
  <c r="G19" i="46"/>
  <c r="G11" i="46"/>
  <c r="O10" i="46"/>
  <c r="O19" i="46"/>
  <c r="S27" i="46"/>
  <c r="O16" i="46"/>
  <c r="O17" i="46"/>
  <c r="C12" i="46"/>
  <c r="G9" i="46"/>
  <c r="G12" i="46"/>
  <c r="O29" i="46"/>
  <c r="K20" i="46"/>
  <c r="G14" i="46"/>
  <c r="K24" i="46"/>
  <c r="K21" i="46"/>
  <c r="O20" i="46"/>
  <c r="C17" i="46"/>
  <c r="C16" i="46"/>
  <c r="I2202" i="49"/>
  <c r="C5" i="46"/>
  <c r="S31" i="46"/>
  <c r="F4" i="47"/>
  <c r="O12" i="46"/>
  <c r="G5" i="46"/>
  <c r="K10" i="46"/>
  <c r="S16" i="46"/>
  <c r="S29" i="46"/>
  <c r="S13" i="46"/>
  <c r="O9" i="46"/>
  <c r="K9" i="46"/>
  <c r="O32" i="46"/>
  <c r="K22" i="46"/>
  <c r="S11" i="46"/>
  <c r="K8" i="46"/>
  <c r="C9" i="46"/>
  <c r="S28" i="46"/>
  <c r="G17" i="46"/>
  <c r="S10" i="46"/>
  <c r="G22" i="46"/>
  <c r="S24" i="46"/>
  <c r="J7" i="47"/>
  <c r="F12" i="48"/>
  <c r="O31" i="46"/>
  <c r="S26" i="46"/>
  <c r="R7" i="47"/>
  <c r="S14" i="46"/>
  <c r="O11" i="46"/>
  <c r="S30" i="46"/>
  <c r="O30" i="46"/>
  <c r="F5" i="47"/>
  <c r="S18" i="46"/>
  <c r="G4" i="46"/>
  <c r="C19" i="46"/>
  <c r="C13" i="46"/>
  <c r="I2184" i="49"/>
  <c r="C20" i="46"/>
  <c r="K16" i="46"/>
  <c r="S19" i="46"/>
  <c r="N7" i="47"/>
  <c r="C10" i="46"/>
  <c r="O21" i="46"/>
  <c r="S20" i="46"/>
  <c r="G6" i="46"/>
  <c r="O6" i="46"/>
  <c r="O18" i="46"/>
  <c r="I2249" i="49"/>
  <c r="O23" i="46"/>
  <c r="C18" i="46"/>
  <c r="R12" i="48"/>
  <c r="K11" i="46"/>
  <c r="C6" i="46"/>
  <c r="S25" i="46"/>
  <c r="C11" i="46"/>
  <c r="O24" i="46"/>
  <c r="K18" i="46"/>
  <c r="G18" i="46"/>
  <c r="S6" i="46"/>
  <c r="S7" i="46"/>
  <c r="O26" i="46"/>
  <c r="O15" i="46"/>
  <c r="K23" i="46"/>
  <c r="O8" i="46"/>
  <c r="V12" i="48"/>
  <c r="G16" i="46"/>
  <c r="S32" i="46"/>
  <c r="K7" i="46"/>
  <c r="S15" i="46"/>
  <c r="G10" i="46"/>
  <c r="G15" i="46"/>
  <c r="S23" i="46"/>
  <c r="G8" i="46"/>
  <c r="K25" i="46"/>
  <c r="S22" i="46"/>
  <c r="O25" i="46"/>
  <c r="G13" i="46"/>
  <c r="I2222" i="49"/>
  <c r="L20" i="51" l="1"/>
  <c r="M20" i="51" s="1"/>
  <c r="D20" i="51"/>
  <c r="E20" i="51" s="1"/>
  <c r="T20" i="51"/>
  <c r="U20" i="51" s="1"/>
  <c r="P20" i="51"/>
  <c r="Q20" i="51" s="1"/>
  <c r="H20" i="51"/>
  <c r="I20" i="51" s="1"/>
  <c r="A21" i="51"/>
  <c r="B20" i="51"/>
  <c r="T18" i="50"/>
  <c r="U18" i="50" s="1"/>
  <c r="P18" i="50"/>
  <c r="Q18" i="50" s="1"/>
  <c r="L18" i="50"/>
  <c r="M18" i="50" s="1"/>
  <c r="H18" i="50"/>
  <c r="I18" i="50" s="1"/>
  <c r="D18" i="50"/>
  <c r="E18" i="50" s="1"/>
  <c r="A19" i="50"/>
  <c r="B18" i="50"/>
  <c r="H2203" i="49"/>
  <c r="H2250" i="49"/>
  <c r="H2045" i="49"/>
  <c r="H2046" i="49"/>
  <c r="H2067" i="49"/>
  <c r="H2134" i="49"/>
  <c r="H2048" i="49"/>
  <c r="H2168" i="49"/>
  <c r="H2223" i="49"/>
  <c r="H2185" i="49"/>
  <c r="H2107" i="49"/>
  <c r="H2086" i="49"/>
  <c r="F2064" i="49"/>
  <c r="F2065" i="49"/>
  <c r="F2066" i="49"/>
  <c r="F2067" i="49"/>
  <c r="F2085" i="49"/>
  <c r="F2086" i="49"/>
  <c r="F2105" i="49"/>
  <c r="F2106" i="49"/>
  <c r="F2107" i="49"/>
  <c r="F2133" i="49"/>
  <c r="F2134" i="49"/>
  <c r="F2168" i="49"/>
  <c r="F2185" i="49"/>
  <c r="F2203" i="49"/>
  <c r="F2223" i="49"/>
  <c r="F2250" i="49"/>
  <c r="F2084" i="49"/>
  <c r="F2047" i="49"/>
  <c r="F2048" i="49"/>
  <c r="F2046" i="49"/>
  <c r="F2045" i="49"/>
  <c r="T14" i="48"/>
  <c r="U14" i="48" s="1"/>
  <c r="P14" i="48"/>
  <c r="Q14" i="48" s="1"/>
  <c r="L14" i="48"/>
  <c r="M14" i="48" s="1"/>
  <c r="H14" i="48"/>
  <c r="I14" i="48" s="1"/>
  <c r="D14" i="48"/>
  <c r="E14" i="48" s="1"/>
  <c r="A15" i="48"/>
  <c r="B14" i="48"/>
  <c r="T9" i="47"/>
  <c r="U9" i="47" s="1"/>
  <c r="P9" i="47"/>
  <c r="Q9" i="47" s="1"/>
  <c r="L9" i="47"/>
  <c r="M9" i="47" s="1"/>
  <c r="H9" i="47"/>
  <c r="I9" i="47" s="1"/>
  <c r="D9" i="47"/>
  <c r="E9" i="47" s="1"/>
  <c r="A10" i="47"/>
  <c r="B9" i="47"/>
  <c r="A5" i="46"/>
  <c r="N19" i="51"/>
  <c r="J19" i="51"/>
  <c r="F19" i="51"/>
  <c r="F20" i="51"/>
  <c r="V19" i="51"/>
  <c r="R19" i="51"/>
  <c r="R17" i="50"/>
  <c r="N17" i="50"/>
  <c r="J17" i="50"/>
  <c r="F17" i="50"/>
  <c r="V17" i="50"/>
  <c r="V8" i="47"/>
  <c r="I2168" i="49"/>
  <c r="I2085" i="49"/>
  <c r="J8" i="47"/>
  <c r="C4" i="46"/>
  <c r="I2046" i="49"/>
  <c r="I2066" i="49"/>
  <c r="J13" i="48"/>
  <c r="N13" i="48"/>
  <c r="I2223" i="49"/>
  <c r="N8" i="47"/>
  <c r="R8" i="47"/>
  <c r="I2134" i="49"/>
  <c r="I2048" i="49"/>
  <c r="I2106" i="49"/>
  <c r="I2065" i="49"/>
  <c r="I2107" i="49"/>
  <c r="I2203" i="49"/>
  <c r="I2185" i="49"/>
  <c r="F13" i="48"/>
  <c r="I2045" i="49"/>
  <c r="R13" i="48"/>
  <c r="I2105" i="49"/>
  <c r="I2047" i="49"/>
  <c r="I2067" i="49"/>
  <c r="I2064" i="49"/>
  <c r="F8" i="47"/>
  <c r="I2086" i="49"/>
  <c r="I2250" i="49"/>
  <c r="I2133" i="49"/>
  <c r="V13" i="48"/>
  <c r="I2084" i="49"/>
  <c r="L21" i="51" l="1"/>
  <c r="M21" i="51" s="1"/>
  <c r="T21" i="51"/>
  <c r="U21" i="51" s="1"/>
  <c r="P21" i="51"/>
  <c r="Q21" i="51" s="1"/>
  <c r="H21" i="51"/>
  <c r="I21" i="51" s="1"/>
  <c r="B21" i="51"/>
  <c r="A22" i="51"/>
  <c r="P19" i="50"/>
  <c r="Q19" i="50" s="1"/>
  <c r="L19" i="50"/>
  <c r="M19" i="50" s="1"/>
  <c r="H19" i="50"/>
  <c r="I19" i="50" s="1"/>
  <c r="D19" i="50"/>
  <c r="E19" i="50" s="1"/>
  <c r="T19" i="50"/>
  <c r="U19" i="50" s="1"/>
  <c r="B19" i="50"/>
  <c r="A20" i="50"/>
  <c r="H2204" i="49"/>
  <c r="H2224" i="49"/>
  <c r="H2186" i="49"/>
  <c r="H2251" i="49"/>
  <c r="H2068" i="49"/>
  <c r="H2108" i="49"/>
  <c r="H2087" i="49"/>
  <c r="H2049" i="49"/>
  <c r="H2135" i="49"/>
  <c r="H2169" i="49"/>
  <c r="F2068" i="49"/>
  <c r="F2087" i="49"/>
  <c r="F2108" i="49"/>
  <c r="F2135" i="49"/>
  <c r="F2169" i="49"/>
  <c r="F2186" i="49"/>
  <c r="F2204" i="49"/>
  <c r="F2224" i="49"/>
  <c r="F2251" i="49"/>
  <c r="F2049" i="49"/>
  <c r="T15" i="48"/>
  <c r="U15" i="48" s="1"/>
  <c r="P15" i="48"/>
  <c r="Q15" i="48" s="1"/>
  <c r="L15" i="48"/>
  <c r="M15" i="48" s="1"/>
  <c r="H15" i="48"/>
  <c r="I15" i="48" s="1"/>
  <c r="D15" i="48"/>
  <c r="E15" i="48" s="1"/>
  <c r="A16" i="48"/>
  <c r="B15" i="48"/>
  <c r="T10" i="47"/>
  <c r="U10" i="47" s="1"/>
  <c r="P10" i="47"/>
  <c r="Q10" i="47" s="1"/>
  <c r="L10" i="47"/>
  <c r="M10" i="47" s="1"/>
  <c r="H10" i="47"/>
  <c r="I10" i="47" s="1"/>
  <c r="D10" i="47"/>
  <c r="E10" i="47" s="1"/>
  <c r="A11" i="47"/>
  <c r="B10" i="47"/>
  <c r="L5" i="46"/>
  <c r="M5" i="46" s="1"/>
  <c r="H5" i="46"/>
  <c r="I5" i="46" s="1"/>
  <c r="D5" i="46"/>
  <c r="E5" i="46" s="1"/>
  <c r="A6" i="46"/>
  <c r="B5" i="46"/>
  <c r="V20" i="51"/>
  <c r="J20" i="51"/>
  <c r="R20" i="51"/>
  <c r="N20" i="51"/>
  <c r="R18" i="50"/>
  <c r="N18" i="50"/>
  <c r="J18" i="50"/>
  <c r="F18" i="50"/>
  <c r="V18" i="50"/>
  <c r="R9" i="47"/>
  <c r="R14" i="48"/>
  <c r="I2251" i="49"/>
  <c r="I2186" i="49"/>
  <c r="J9" i="47"/>
  <c r="I2169" i="49"/>
  <c r="I2068" i="49"/>
  <c r="I2049" i="49"/>
  <c r="N14" i="48"/>
  <c r="F9" i="47"/>
  <c r="I2087" i="49"/>
  <c r="N5" i="46"/>
  <c r="V14" i="48"/>
  <c r="J14" i="48"/>
  <c r="F14" i="48"/>
  <c r="I2224" i="49"/>
  <c r="V9" i="47"/>
  <c r="I2108" i="49"/>
  <c r="N9" i="47"/>
  <c r="I2135" i="49"/>
  <c r="I2204" i="49"/>
  <c r="H22" i="51" l="1"/>
  <c r="I22" i="51" s="1"/>
  <c r="P22" i="51"/>
  <c r="Q22" i="51" s="1"/>
  <c r="L22" i="51"/>
  <c r="M22" i="51" s="1"/>
  <c r="T22" i="51"/>
  <c r="U22" i="51" s="1"/>
  <c r="B22" i="51"/>
  <c r="A23" i="51"/>
  <c r="P20" i="50"/>
  <c r="Q20" i="50" s="1"/>
  <c r="L20" i="50"/>
  <c r="M20" i="50" s="1"/>
  <c r="H20" i="50"/>
  <c r="I20" i="50" s="1"/>
  <c r="T20" i="50"/>
  <c r="U20" i="50" s="1"/>
  <c r="D20" i="50"/>
  <c r="E20" i="50" s="1"/>
  <c r="B20" i="50"/>
  <c r="A21" i="50"/>
  <c r="H2252" i="49"/>
  <c r="H2205" i="49"/>
  <c r="H1969" i="49"/>
  <c r="H2187" i="49"/>
  <c r="H2050" i="49"/>
  <c r="H2109" i="49"/>
  <c r="H2170" i="49"/>
  <c r="H2088" i="49"/>
  <c r="H2225" i="49"/>
  <c r="H2069" i="49"/>
  <c r="H2136" i="49"/>
  <c r="F2069" i="49"/>
  <c r="F2088" i="49"/>
  <c r="F2109" i="49"/>
  <c r="F2136" i="49"/>
  <c r="F2170" i="49"/>
  <c r="F2187" i="49"/>
  <c r="F2205" i="49"/>
  <c r="F2225" i="49"/>
  <c r="F2252" i="49"/>
  <c r="F2050" i="49"/>
  <c r="T16" i="48"/>
  <c r="U16" i="48" s="1"/>
  <c r="P16" i="48"/>
  <c r="Q16" i="48" s="1"/>
  <c r="L16" i="48"/>
  <c r="M16" i="48" s="1"/>
  <c r="H16" i="48"/>
  <c r="I16" i="48" s="1"/>
  <c r="D16" i="48"/>
  <c r="E16" i="48" s="1"/>
  <c r="A17" i="48"/>
  <c r="B16" i="48"/>
  <c r="T11" i="47"/>
  <c r="U11" i="47" s="1"/>
  <c r="P11" i="47"/>
  <c r="Q11" i="47" s="1"/>
  <c r="L11" i="47"/>
  <c r="M11" i="47" s="1"/>
  <c r="H11" i="47"/>
  <c r="I11" i="47" s="1"/>
  <c r="D11" i="47"/>
  <c r="E11" i="47" s="1"/>
  <c r="A12" i="47"/>
  <c r="B11" i="47"/>
  <c r="T6" i="46"/>
  <c r="U6" i="46" s="1"/>
  <c r="P6" i="46"/>
  <c r="Q6" i="46" s="1"/>
  <c r="L6" i="46"/>
  <c r="M6" i="46" s="1"/>
  <c r="H6" i="46"/>
  <c r="I6" i="46" s="1"/>
  <c r="D6" i="46"/>
  <c r="E6" i="46" s="1"/>
  <c r="A7" i="46"/>
  <c r="B6" i="46"/>
  <c r="J21" i="51"/>
  <c r="J22" i="51"/>
  <c r="R21" i="51"/>
  <c r="N21" i="51"/>
  <c r="V21" i="51"/>
  <c r="R19" i="50"/>
  <c r="N19" i="50"/>
  <c r="J19" i="50"/>
  <c r="V19" i="50"/>
  <c r="F19" i="50"/>
  <c r="V10" i="47"/>
  <c r="I2088" i="49"/>
  <c r="V15" i="48"/>
  <c r="J15" i="48"/>
  <c r="I2187" i="49"/>
  <c r="I2170" i="49"/>
  <c r="I2109" i="49"/>
  <c r="N10" i="47"/>
  <c r="N15" i="48"/>
  <c r="J10" i="47"/>
  <c r="F10" i="47"/>
  <c r="I2205" i="49"/>
  <c r="F15" i="48"/>
  <c r="I2252" i="49"/>
  <c r="V6" i="46"/>
  <c r="I2050" i="49"/>
  <c r="I2069" i="49"/>
  <c r="I2225" i="49"/>
  <c r="I2136" i="49"/>
  <c r="R10" i="47"/>
  <c r="R6" i="46"/>
  <c r="R15" i="48"/>
  <c r="L23" i="51" l="1"/>
  <c r="M23" i="51" s="1"/>
  <c r="T23" i="51"/>
  <c r="U23" i="51" s="1"/>
  <c r="P23" i="51"/>
  <c r="Q23" i="51" s="1"/>
  <c r="B23" i="51"/>
  <c r="A24" i="51"/>
  <c r="L21" i="50"/>
  <c r="M21" i="50" s="1"/>
  <c r="H21" i="50"/>
  <c r="I21" i="50" s="1"/>
  <c r="D21" i="50"/>
  <c r="E21" i="50" s="1"/>
  <c r="P21" i="50"/>
  <c r="Q21" i="50" s="1"/>
  <c r="T21" i="50"/>
  <c r="U21" i="50" s="1"/>
  <c r="A22" i="50"/>
  <c r="B21" i="50"/>
  <c r="H2188" i="49"/>
  <c r="H2110" i="49"/>
  <c r="H2070" i="49"/>
  <c r="H2171" i="49"/>
  <c r="H2226" i="49"/>
  <c r="H2089" i="49"/>
  <c r="H2137" i="49"/>
  <c r="H2017" i="49"/>
  <c r="H2206" i="49"/>
  <c r="H2253" i="49"/>
  <c r="H1990" i="49"/>
  <c r="H2051" i="49"/>
  <c r="F2070" i="49"/>
  <c r="F2089" i="49"/>
  <c r="F2110" i="49"/>
  <c r="F2137" i="49"/>
  <c r="F2171" i="49"/>
  <c r="F2188" i="49"/>
  <c r="F2206" i="49"/>
  <c r="F2226" i="49"/>
  <c r="F2253" i="49"/>
  <c r="F2051" i="49"/>
  <c r="T17" i="48"/>
  <c r="U17" i="48" s="1"/>
  <c r="P17" i="48"/>
  <c r="Q17" i="48" s="1"/>
  <c r="L17" i="48"/>
  <c r="M17" i="48" s="1"/>
  <c r="H17" i="48"/>
  <c r="I17" i="48" s="1"/>
  <c r="D17" i="48"/>
  <c r="E17" i="48" s="1"/>
  <c r="A18" i="48"/>
  <c r="B17" i="48"/>
  <c r="T12" i="47"/>
  <c r="U12" i="47" s="1"/>
  <c r="P12" i="47"/>
  <c r="Q12" i="47" s="1"/>
  <c r="L12" i="47"/>
  <c r="M12" i="47" s="1"/>
  <c r="H12" i="47"/>
  <c r="I12" i="47" s="1"/>
  <c r="D12" i="47"/>
  <c r="E12" i="47" s="1"/>
  <c r="A13" i="47"/>
  <c r="B12" i="47"/>
  <c r="H4" i="46"/>
  <c r="I4" i="46" s="1"/>
  <c r="T7" i="46"/>
  <c r="U7" i="46" s="1"/>
  <c r="P7" i="46"/>
  <c r="Q7" i="46" s="1"/>
  <c r="L7" i="46"/>
  <c r="M7" i="46" s="1"/>
  <c r="H7" i="46"/>
  <c r="I7" i="46" s="1"/>
  <c r="D7" i="46"/>
  <c r="E7" i="46" s="1"/>
  <c r="A8" i="46"/>
  <c r="B7" i="46"/>
  <c r="N22" i="51"/>
  <c r="V22" i="51"/>
  <c r="R22" i="51"/>
  <c r="N20" i="50"/>
  <c r="J20" i="50"/>
  <c r="F20" i="50"/>
  <c r="R20" i="50"/>
  <c r="V20" i="50"/>
  <c r="R16" i="48"/>
  <c r="R11" i="47"/>
  <c r="I2188" i="49"/>
  <c r="I2110" i="49"/>
  <c r="I2226" i="49"/>
  <c r="N11" i="47"/>
  <c r="F11" i="47"/>
  <c r="I2137" i="49"/>
  <c r="I2206" i="49"/>
  <c r="I2051" i="49"/>
  <c r="I2089" i="49"/>
  <c r="F6" i="46"/>
  <c r="J6" i="46"/>
  <c r="I2070" i="49"/>
  <c r="I2171" i="49"/>
  <c r="V11" i="47"/>
  <c r="V16" i="48"/>
  <c r="I2253" i="49"/>
  <c r="F16" i="48"/>
  <c r="J4" i="46"/>
  <c r="J11" i="47"/>
  <c r="N6" i="46"/>
  <c r="N16" i="48"/>
  <c r="J5" i="46"/>
  <c r="J16" i="48"/>
  <c r="T24" i="51" l="1"/>
  <c r="U24" i="51" s="1"/>
  <c r="P24" i="51"/>
  <c r="Q24" i="51" s="1"/>
  <c r="L24" i="51"/>
  <c r="M24" i="51" s="1"/>
  <c r="A25" i="51"/>
  <c r="B24" i="51"/>
  <c r="L22" i="50"/>
  <c r="M22" i="50" s="1"/>
  <c r="H22" i="50"/>
  <c r="I22" i="50" s="1"/>
  <c r="D22" i="50"/>
  <c r="E22" i="50" s="1"/>
  <c r="P22" i="50"/>
  <c r="Q22" i="50" s="1"/>
  <c r="T22" i="50"/>
  <c r="U22" i="50" s="1"/>
  <c r="A23" i="50"/>
  <c r="B22" i="50"/>
  <c r="H1970" i="49"/>
  <c r="H2189" i="49"/>
  <c r="H2207" i="49"/>
  <c r="H2138" i="49"/>
  <c r="H2227" i="49"/>
  <c r="H1951" i="49"/>
  <c r="H2071" i="49"/>
  <c r="H1935" i="49"/>
  <c r="H2111" i="49"/>
  <c r="H2052" i="49"/>
  <c r="H2090" i="49"/>
  <c r="H1952" i="49"/>
  <c r="H2172" i="49"/>
  <c r="H2254" i="49"/>
  <c r="H1950" i="49"/>
  <c r="F2071" i="49"/>
  <c r="F2090" i="49"/>
  <c r="F2111" i="49"/>
  <c r="F2138" i="49"/>
  <c r="F2172" i="49"/>
  <c r="F2189" i="49"/>
  <c r="F2207" i="49"/>
  <c r="F2227" i="49"/>
  <c r="F2254" i="49"/>
  <c r="F2052" i="49"/>
  <c r="T18" i="48"/>
  <c r="U18" i="48" s="1"/>
  <c r="P18" i="48"/>
  <c r="Q18" i="48" s="1"/>
  <c r="L18" i="48"/>
  <c r="M18" i="48" s="1"/>
  <c r="H18" i="48"/>
  <c r="I18" i="48" s="1"/>
  <c r="D18" i="48"/>
  <c r="E18" i="48" s="1"/>
  <c r="A19" i="48"/>
  <c r="B18" i="48"/>
  <c r="T13" i="47"/>
  <c r="U13" i="47" s="1"/>
  <c r="P13" i="47"/>
  <c r="Q13" i="47" s="1"/>
  <c r="L13" i="47"/>
  <c r="M13" i="47" s="1"/>
  <c r="H13" i="47"/>
  <c r="I13" i="47" s="1"/>
  <c r="D13" i="47"/>
  <c r="E13" i="47" s="1"/>
  <c r="A14" i="47"/>
  <c r="B13" i="47"/>
  <c r="D4" i="46"/>
  <c r="E4" i="46" s="1"/>
  <c r="T8" i="46"/>
  <c r="U8" i="46" s="1"/>
  <c r="P8" i="46"/>
  <c r="Q8" i="46" s="1"/>
  <c r="L8" i="46"/>
  <c r="M8" i="46" s="1"/>
  <c r="H8" i="46"/>
  <c r="I8" i="46" s="1"/>
  <c r="D8" i="46"/>
  <c r="E8" i="46" s="1"/>
  <c r="A9" i="46"/>
  <c r="B8" i="46"/>
  <c r="B4" i="46"/>
  <c r="V23" i="51"/>
  <c r="R23" i="51"/>
  <c r="N23" i="51"/>
  <c r="F21" i="50"/>
  <c r="F22" i="50"/>
  <c r="R21" i="50"/>
  <c r="V21" i="50"/>
  <c r="J21" i="50"/>
  <c r="N21" i="50"/>
  <c r="V17" i="48"/>
  <c r="F4" i="46"/>
  <c r="F17" i="48"/>
  <c r="I2189" i="49"/>
  <c r="I2052" i="49"/>
  <c r="R12" i="47"/>
  <c r="R17" i="48"/>
  <c r="J12" i="47"/>
  <c r="F12" i="47"/>
  <c r="N12" i="47"/>
  <c r="I2111" i="49"/>
  <c r="I2207" i="49"/>
  <c r="N7" i="46"/>
  <c r="J7" i="46"/>
  <c r="R7" i="46"/>
  <c r="I2172" i="49"/>
  <c r="F7" i="46"/>
  <c r="I2254" i="49"/>
  <c r="J17" i="48"/>
  <c r="V12" i="47"/>
  <c r="F5" i="46"/>
  <c r="I2071" i="49"/>
  <c r="I2138" i="49"/>
  <c r="I2090" i="49"/>
  <c r="N17" i="48"/>
  <c r="I2227" i="49"/>
  <c r="V7" i="46"/>
  <c r="P25" i="51" l="1"/>
  <c r="Q25" i="51" s="1"/>
  <c r="L25" i="51"/>
  <c r="M25" i="51" s="1"/>
  <c r="T25" i="51"/>
  <c r="U25" i="51" s="1"/>
  <c r="A26" i="51"/>
  <c r="B25" i="51"/>
  <c r="L23" i="50"/>
  <c r="M23" i="50" s="1"/>
  <c r="H23" i="50"/>
  <c r="I23" i="50" s="1"/>
  <c r="P23" i="50"/>
  <c r="Q23" i="50" s="1"/>
  <c r="T23" i="50"/>
  <c r="U23" i="50" s="1"/>
  <c r="B23" i="50"/>
  <c r="A24" i="50"/>
  <c r="H1933" i="49"/>
  <c r="H2112" i="49"/>
  <c r="H2208" i="49"/>
  <c r="H2173" i="49"/>
  <c r="H2255" i="49"/>
  <c r="H1934" i="49"/>
  <c r="H2091" i="49"/>
  <c r="H1936" i="49"/>
  <c r="H1953" i="49"/>
  <c r="H2072" i="49"/>
  <c r="H1971" i="49"/>
  <c r="H2190" i="49"/>
  <c r="H1991" i="49"/>
  <c r="H2053" i="49"/>
  <c r="H2228" i="49"/>
  <c r="H2018" i="49"/>
  <c r="H2139" i="49"/>
  <c r="T19" i="48"/>
  <c r="U19" i="48" s="1"/>
  <c r="P19" i="48"/>
  <c r="Q19" i="48" s="1"/>
  <c r="L19" i="48"/>
  <c r="M19" i="48" s="1"/>
  <c r="H19" i="48"/>
  <c r="I19" i="48" s="1"/>
  <c r="D19" i="48"/>
  <c r="E19" i="48" s="1"/>
  <c r="A20" i="48"/>
  <c r="B19" i="48"/>
  <c r="T14" i="47"/>
  <c r="U14" i="47" s="1"/>
  <c r="P14" i="47"/>
  <c r="Q14" i="47" s="1"/>
  <c r="L14" i="47"/>
  <c r="M14" i="47" s="1"/>
  <c r="H14" i="47"/>
  <c r="I14" i="47" s="1"/>
  <c r="D14" i="47"/>
  <c r="E14" i="47" s="1"/>
  <c r="A15" i="47"/>
  <c r="B14" i="47"/>
  <c r="T9" i="46"/>
  <c r="U9" i="46" s="1"/>
  <c r="P9" i="46"/>
  <c r="Q9" i="46" s="1"/>
  <c r="L9" i="46"/>
  <c r="M9" i="46" s="1"/>
  <c r="H9" i="46"/>
  <c r="I9" i="46" s="1"/>
  <c r="D9" i="46"/>
  <c r="E9" i="46" s="1"/>
  <c r="A10" i="46"/>
  <c r="B9" i="46"/>
  <c r="A5" i="45"/>
  <c r="R24" i="51"/>
  <c r="N24" i="51"/>
  <c r="N25" i="51"/>
  <c r="V24" i="51"/>
  <c r="N22" i="50"/>
  <c r="R22" i="50"/>
  <c r="J22" i="50"/>
  <c r="J23" i="50"/>
  <c r="V22" i="50"/>
  <c r="O26" i="45"/>
  <c r="S19" i="45"/>
  <c r="K19" i="45"/>
  <c r="S21" i="44"/>
  <c r="O20" i="45"/>
  <c r="C4" i="45"/>
  <c r="G21" i="45"/>
  <c r="J18" i="48"/>
  <c r="N8" i="46"/>
  <c r="S11" i="45"/>
  <c r="S29" i="45"/>
  <c r="O13" i="44"/>
  <c r="R13" i="47"/>
  <c r="S25" i="44"/>
  <c r="K18" i="45"/>
  <c r="C8" i="45"/>
  <c r="K19" i="44"/>
  <c r="S24" i="45"/>
  <c r="O16" i="45"/>
  <c r="O23" i="45"/>
  <c r="S10" i="45"/>
  <c r="O24" i="44"/>
  <c r="K14" i="45"/>
  <c r="S17" i="44"/>
  <c r="J8" i="46"/>
  <c r="O25" i="44"/>
  <c r="O7" i="44"/>
  <c r="K24" i="45"/>
  <c r="K22" i="45"/>
  <c r="O31" i="44"/>
  <c r="S31" i="44"/>
  <c r="S31" i="45"/>
  <c r="O17" i="44"/>
  <c r="K17" i="44"/>
  <c r="G4" i="45"/>
  <c r="S30" i="44"/>
  <c r="G6" i="45"/>
  <c r="V13" i="47"/>
  <c r="C16" i="45"/>
  <c r="O14" i="44"/>
  <c r="K20" i="44"/>
  <c r="K7" i="45"/>
  <c r="G14" i="45"/>
  <c r="O8" i="44"/>
  <c r="S27" i="45"/>
  <c r="C5" i="45"/>
  <c r="O24" i="45"/>
  <c r="K23" i="45"/>
  <c r="O26" i="44"/>
  <c r="K5" i="45"/>
  <c r="S21" i="45"/>
  <c r="O12" i="44"/>
  <c r="O32" i="44"/>
  <c r="O10" i="45"/>
  <c r="K25" i="45"/>
  <c r="K10" i="45"/>
  <c r="O19" i="44"/>
  <c r="S33" i="44"/>
  <c r="K17" i="45"/>
  <c r="O7" i="45"/>
  <c r="K8" i="44"/>
  <c r="V8" i="46"/>
  <c r="K8" i="45"/>
  <c r="S22" i="44"/>
  <c r="O18" i="44"/>
  <c r="S11" i="44"/>
  <c r="O14" i="45"/>
  <c r="S29" i="44"/>
  <c r="G15" i="45"/>
  <c r="S30" i="45"/>
  <c r="O17" i="45"/>
  <c r="O18" i="45"/>
  <c r="G16" i="45"/>
  <c r="O25" i="45"/>
  <c r="O10" i="44"/>
  <c r="S15" i="44"/>
  <c r="S26" i="45"/>
  <c r="S6" i="44"/>
  <c r="K15" i="45"/>
  <c r="O16" i="44"/>
  <c r="S23" i="44"/>
  <c r="C13" i="45"/>
  <c r="O30" i="45"/>
  <c r="O30" i="44"/>
  <c r="O12" i="45"/>
  <c r="O9" i="44"/>
  <c r="S17" i="45"/>
  <c r="K11" i="45"/>
  <c r="O11" i="45"/>
  <c r="G18" i="45"/>
  <c r="O20" i="44"/>
  <c r="C9" i="45"/>
  <c r="O11" i="44"/>
  <c r="S28" i="45"/>
  <c r="O21" i="45"/>
  <c r="C22" i="45"/>
  <c r="K13" i="45"/>
  <c r="K12" i="45"/>
  <c r="K12" i="44"/>
  <c r="O9" i="45"/>
  <c r="S14" i="44"/>
  <c r="O15" i="44"/>
  <c r="K9" i="45"/>
  <c r="O8" i="45"/>
  <c r="S28" i="44"/>
  <c r="F18" i="48"/>
  <c r="S10" i="44"/>
  <c r="O13" i="45"/>
  <c r="G5" i="45"/>
  <c r="V18" i="48"/>
  <c r="S32" i="45"/>
  <c r="K16" i="45"/>
  <c r="S8" i="45"/>
  <c r="K21" i="44"/>
  <c r="G11" i="45"/>
  <c r="O29" i="45"/>
  <c r="S18" i="45"/>
  <c r="O22" i="45"/>
  <c r="C15" i="45"/>
  <c r="S13" i="45"/>
  <c r="R18" i="48"/>
  <c r="G7" i="45"/>
  <c r="K25" i="44"/>
  <c r="S19" i="44"/>
  <c r="O27" i="44"/>
  <c r="K20" i="45"/>
  <c r="S15" i="45"/>
  <c r="K23" i="44"/>
  <c r="C14" i="45"/>
  <c r="K22" i="44"/>
  <c r="N18" i="48"/>
  <c r="G12" i="45"/>
  <c r="G8" i="45"/>
  <c r="C11" i="45"/>
  <c r="S8" i="44"/>
  <c r="O6" i="44"/>
  <c r="K24" i="44"/>
  <c r="S27" i="44"/>
  <c r="O21" i="44"/>
  <c r="O29" i="44"/>
  <c r="S6" i="45"/>
  <c r="S13" i="44"/>
  <c r="K5" i="44"/>
  <c r="K15" i="44"/>
  <c r="S16" i="44"/>
  <c r="C6" i="45"/>
  <c r="S22" i="45"/>
  <c r="S16" i="45"/>
  <c r="K14" i="44"/>
  <c r="C17" i="45"/>
  <c r="K16" i="44"/>
  <c r="S20" i="44"/>
  <c r="K21" i="45"/>
  <c r="K13" i="44"/>
  <c r="K7" i="44"/>
  <c r="G10" i="45"/>
  <c r="O23" i="44"/>
  <c r="G13" i="45"/>
  <c r="O27" i="45"/>
  <c r="K11" i="44"/>
  <c r="C12" i="45"/>
  <c r="S14" i="45"/>
  <c r="K10" i="44"/>
  <c r="F8" i="46"/>
  <c r="S12" i="44"/>
  <c r="G17" i="45"/>
  <c r="S25" i="45"/>
  <c r="O28" i="45"/>
  <c r="G23" i="45"/>
  <c r="K9" i="44"/>
  <c r="S7" i="44"/>
  <c r="O6" i="45"/>
  <c r="K18" i="44"/>
  <c r="G20" i="45"/>
  <c r="O15" i="45"/>
  <c r="S24" i="44"/>
  <c r="S23" i="45"/>
  <c r="S9" i="45"/>
  <c r="S18" i="44"/>
  <c r="S20" i="45"/>
  <c r="S26" i="44"/>
  <c r="C10" i="45"/>
  <c r="R8" i="46"/>
  <c r="O5" i="45"/>
  <c r="C19" i="45"/>
  <c r="S12" i="45"/>
  <c r="C18" i="45"/>
  <c r="S7" i="45"/>
  <c r="O31" i="45"/>
  <c r="C20" i="45"/>
  <c r="J13" i="47"/>
  <c r="O28" i="44"/>
  <c r="G9" i="45"/>
  <c r="N13" i="47"/>
  <c r="K6" i="44"/>
  <c r="F13" i="47"/>
  <c r="S32" i="44"/>
  <c r="O19" i="45"/>
  <c r="S9" i="44"/>
  <c r="C21" i="45"/>
  <c r="C7" i="45"/>
  <c r="K6" i="45"/>
  <c r="G19" i="45"/>
  <c r="O22" i="44"/>
  <c r="G22" i="45"/>
  <c r="P26" i="51" l="1"/>
  <c r="Q26" i="51" s="1"/>
  <c r="T26" i="51"/>
  <c r="U26" i="51" s="1"/>
  <c r="B26" i="51"/>
  <c r="A27" i="51"/>
  <c r="T24" i="50"/>
  <c r="U24" i="50" s="1"/>
  <c r="P24" i="50"/>
  <c r="Q24" i="50" s="1"/>
  <c r="L24" i="50"/>
  <c r="M24" i="50" s="1"/>
  <c r="B24" i="50"/>
  <c r="A25" i="50"/>
  <c r="H2174" i="49"/>
  <c r="H1972" i="49"/>
  <c r="H1954" i="49"/>
  <c r="H2209" i="49"/>
  <c r="H2092" i="49"/>
  <c r="H2019" i="49"/>
  <c r="H2113" i="49"/>
  <c r="H2229" i="49"/>
  <c r="H2073" i="49"/>
  <c r="H2054" i="49"/>
  <c r="H1992" i="49"/>
  <c r="H2140" i="49"/>
  <c r="H1937" i="49"/>
  <c r="H2256" i="49"/>
  <c r="H2191" i="49"/>
  <c r="F2073" i="49"/>
  <c r="F2072" i="49"/>
  <c r="F2092" i="49"/>
  <c r="F2091" i="49"/>
  <c r="F2113" i="49"/>
  <c r="F2112" i="49"/>
  <c r="F2140" i="49"/>
  <c r="F2139" i="49"/>
  <c r="F1969" i="49"/>
  <c r="F1990" i="49"/>
  <c r="F1937" i="49"/>
  <c r="F1954" i="49"/>
  <c r="F1972" i="49"/>
  <c r="F1992" i="49"/>
  <c r="F2019" i="49"/>
  <c r="F2174" i="49"/>
  <c r="F2191" i="49"/>
  <c r="F2209" i="49"/>
  <c r="F2229" i="49"/>
  <c r="F2256" i="49"/>
  <c r="F1935" i="49"/>
  <c r="F2017" i="49"/>
  <c r="F1950" i="49"/>
  <c r="F1951" i="49"/>
  <c r="F1952" i="49"/>
  <c r="F1970" i="49"/>
  <c r="F1936" i="49"/>
  <c r="F1953" i="49"/>
  <c r="F1971" i="49"/>
  <c r="F1991" i="49"/>
  <c r="F2018" i="49"/>
  <c r="F1934" i="49"/>
  <c r="F1933" i="49"/>
  <c r="F2173" i="49"/>
  <c r="F2190" i="49"/>
  <c r="F2208" i="49"/>
  <c r="F2228" i="49"/>
  <c r="F2255" i="49"/>
  <c r="F2054" i="49"/>
  <c r="F2053" i="49"/>
  <c r="T20" i="48"/>
  <c r="U20" i="48" s="1"/>
  <c r="P20" i="48"/>
  <c r="Q20" i="48" s="1"/>
  <c r="L20" i="48"/>
  <c r="M20" i="48" s="1"/>
  <c r="H20" i="48"/>
  <c r="I20" i="48" s="1"/>
  <c r="D20" i="48"/>
  <c r="E20" i="48" s="1"/>
  <c r="A21" i="48"/>
  <c r="B20" i="48"/>
  <c r="T15" i="47"/>
  <c r="U15" i="47" s="1"/>
  <c r="P15" i="47"/>
  <c r="Q15" i="47" s="1"/>
  <c r="L15" i="47"/>
  <c r="M15" i="47" s="1"/>
  <c r="H15" i="47"/>
  <c r="I15" i="47" s="1"/>
  <c r="D15" i="47"/>
  <c r="E15" i="47" s="1"/>
  <c r="A16" i="47"/>
  <c r="B15" i="47"/>
  <c r="T10" i="46"/>
  <c r="U10" i="46" s="1"/>
  <c r="P10" i="46"/>
  <c r="Q10" i="46" s="1"/>
  <c r="L10" i="46"/>
  <c r="M10" i="46" s="1"/>
  <c r="H10" i="46"/>
  <c r="I10" i="46" s="1"/>
  <c r="D10" i="46"/>
  <c r="E10" i="46" s="1"/>
  <c r="A11" i="46"/>
  <c r="B10" i="46"/>
  <c r="P5" i="45"/>
  <c r="Q5" i="45" s="1"/>
  <c r="L5" i="45"/>
  <c r="M5" i="45" s="1"/>
  <c r="H5" i="45"/>
  <c r="I5" i="45" s="1"/>
  <c r="D5" i="45"/>
  <c r="E5" i="45" s="1"/>
  <c r="A6" i="45"/>
  <c r="B5" i="45"/>
  <c r="R25" i="51"/>
  <c r="V25" i="51"/>
  <c r="V23" i="50"/>
  <c r="R23" i="50"/>
  <c r="N23" i="50"/>
  <c r="I2174" i="49"/>
  <c r="I2139" i="49"/>
  <c r="I2256" i="49"/>
  <c r="I2017" i="49"/>
  <c r="N19" i="48"/>
  <c r="N9" i="46"/>
  <c r="J19" i="48"/>
  <c r="I2190" i="49"/>
  <c r="V9" i="46"/>
  <c r="I1936" i="49"/>
  <c r="I2208" i="49"/>
  <c r="I1971" i="49"/>
  <c r="I1990" i="49"/>
  <c r="I2140" i="49"/>
  <c r="I2092" i="49"/>
  <c r="I1972" i="49"/>
  <c r="I2053" i="49"/>
  <c r="I2019" i="49"/>
  <c r="I1992" i="49"/>
  <c r="V14" i="47"/>
  <c r="J14" i="47"/>
  <c r="I1934" i="49"/>
  <c r="I1952" i="49"/>
  <c r="R9" i="46"/>
  <c r="V19" i="48"/>
  <c r="F19" i="48"/>
  <c r="I2228" i="49"/>
  <c r="F14" i="47"/>
  <c r="I2229" i="49"/>
  <c r="R19" i="48"/>
  <c r="I2018" i="49"/>
  <c r="I2255" i="49"/>
  <c r="I2054" i="49"/>
  <c r="R5" i="45"/>
  <c r="F20" i="48"/>
  <c r="I1970" i="49"/>
  <c r="I2091" i="49"/>
  <c r="I1991" i="49"/>
  <c r="F9" i="46"/>
  <c r="N5" i="45"/>
  <c r="I2113" i="49"/>
  <c r="I2072" i="49"/>
  <c r="I1950" i="49"/>
  <c r="I2209" i="49"/>
  <c r="I1953" i="49"/>
  <c r="I2112" i="49"/>
  <c r="I1933" i="49"/>
  <c r="I1937" i="49"/>
  <c r="I2073" i="49"/>
  <c r="I2191" i="49"/>
  <c r="N14" i="47"/>
  <c r="I1951" i="49"/>
  <c r="J9" i="46"/>
  <c r="I1935" i="49"/>
  <c r="I1954" i="49"/>
  <c r="I2173" i="49"/>
  <c r="R14" i="47"/>
  <c r="I1969" i="49"/>
  <c r="T27" i="51" l="1"/>
  <c r="U27" i="51" s="1"/>
  <c r="P27" i="51"/>
  <c r="Q27" i="51" s="1"/>
  <c r="A28" i="51"/>
  <c r="B27" i="51"/>
  <c r="T25" i="50"/>
  <c r="U25" i="50" s="1"/>
  <c r="P25" i="50"/>
  <c r="Q25" i="50" s="1"/>
  <c r="L25" i="50"/>
  <c r="M25" i="50" s="1"/>
  <c r="A26" i="50"/>
  <c r="B25" i="50"/>
  <c r="H2230" i="49"/>
  <c r="H2074" i="49"/>
  <c r="H2175" i="49"/>
  <c r="H2114" i="49"/>
  <c r="H2141" i="49"/>
  <c r="H1857" i="49"/>
  <c r="H2192" i="49"/>
  <c r="H2257" i="49"/>
  <c r="H2176" i="49"/>
  <c r="H2055" i="49"/>
  <c r="H1938" i="49"/>
  <c r="H1993" i="49"/>
  <c r="H2020" i="49"/>
  <c r="H1955" i="49"/>
  <c r="H1973" i="49"/>
  <c r="H1878" i="49"/>
  <c r="H2093" i="49"/>
  <c r="H2210" i="49"/>
  <c r="F2074" i="49"/>
  <c r="F2093" i="49"/>
  <c r="F2114" i="49"/>
  <c r="F2141" i="49"/>
  <c r="F1938" i="49"/>
  <c r="F1955" i="49"/>
  <c r="F1973" i="49"/>
  <c r="F1993" i="49"/>
  <c r="F2020" i="49"/>
  <c r="F2175" i="49"/>
  <c r="F2192" i="49"/>
  <c r="F2210" i="49"/>
  <c r="F2230" i="49"/>
  <c r="F2257" i="49"/>
  <c r="F2055" i="49"/>
  <c r="T21" i="48"/>
  <c r="U21" i="48" s="1"/>
  <c r="P21" i="48"/>
  <c r="Q21" i="48" s="1"/>
  <c r="L21" i="48"/>
  <c r="M21" i="48" s="1"/>
  <c r="H21" i="48"/>
  <c r="I21" i="48" s="1"/>
  <c r="A22" i="48"/>
  <c r="B21" i="48"/>
  <c r="T16" i="47"/>
  <c r="U16" i="47" s="1"/>
  <c r="P16" i="47"/>
  <c r="Q16" i="47" s="1"/>
  <c r="L16" i="47"/>
  <c r="M16" i="47" s="1"/>
  <c r="H16" i="47"/>
  <c r="I16" i="47" s="1"/>
  <c r="D16" i="47"/>
  <c r="E16" i="47" s="1"/>
  <c r="A17" i="47"/>
  <c r="B16" i="47"/>
  <c r="T11" i="46"/>
  <c r="U11" i="46" s="1"/>
  <c r="P11" i="46"/>
  <c r="Q11" i="46" s="1"/>
  <c r="L11" i="46"/>
  <c r="M11" i="46" s="1"/>
  <c r="H11" i="46"/>
  <c r="I11" i="46" s="1"/>
  <c r="D11" i="46"/>
  <c r="E11" i="46" s="1"/>
  <c r="A12" i="46"/>
  <c r="B11" i="46"/>
  <c r="T6" i="45"/>
  <c r="U6" i="45" s="1"/>
  <c r="P6" i="45"/>
  <c r="Q6" i="45" s="1"/>
  <c r="L6" i="45"/>
  <c r="M6" i="45" s="1"/>
  <c r="H6" i="45"/>
  <c r="I6" i="45" s="1"/>
  <c r="D6" i="45"/>
  <c r="E6" i="45" s="1"/>
  <c r="A7" i="45"/>
  <c r="B6" i="45"/>
  <c r="V26" i="51"/>
  <c r="R26" i="51"/>
  <c r="N24" i="50"/>
  <c r="N25" i="50"/>
  <c r="V24" i="50"/>
  <c r="R24" i="50"/>
  <c r="V10" i="46"/>
  <c r="I2230" i="49"/>
  <c r="F15" i="47"/>
  <c r="V15" i="47"/>
  <c r="I2093" i="49"/>
  <c r="I2114" i="49"/>
  <c r="I2192" i="49"/>
  <c r="I1955" i="49"/>
  <c r="R10" i="46"/>
  <c r="I2257" i="49"/>
  <c r="I2074" i="49"/>
  <c r="J20" i="48"/>
  <c r="I2210" i="49"/>
  <c r="F10" i="46"/>
  <c r="I2055" i="49"/>
  <c r="N15" i="47"/>
  <c r="I1938" i="49"/>
  <c r="I2141" i="49"/>
  <c r="I1973" i="49"/>
  <c r="J15" i="47"/>
  <c r="R15" i="47"/>
  <c r="J10" i="46"/>
  <c r="I1993" i="49"/>
  <c r="R20" i="48"/>
  <c r="N20" i="48"/>
  <c r="N10" i="46"/>
  <c r="I2020" i="49"/>
  <c r="V20" i="48"/>
  <c r="I2175" i="49"/>
  <c r="P28" i="51" l="1"/>
  <c r="Q28" i="51" s="1"/>
  <c r="T28" i="51"/>
  <c r="U28" i="51" s="1"/>
  <c r="A29" i="51"/>
  <c r="B28" i="51"/>
  <c r="P26" i="50"/>
  <c r="Q26" i="50" s="1"/>
  <c r="T26" i="50"/>
  <c r="U26" i="50" s="1"/>
  <c r="B26" i="50"/>
  <c r="A27" i="50"/>
  <c r="H1939" i="49"/>
  <c r="H1994" i="49"/>
  <c r="H2211" i="49"/>
  <c r="H2258" i="49"/>
  <c r="H2231" i="49"/>
  <c r="H2142" i="49"/>
  <c r="H2115" i="49"/>
  <c r="H1974" i="49"/>
  <c r="H2056" i="49"/>
  <c r="H2193" i="49"/>
  <c r="H2075" i="49"/>
  <c r="H1956" i="49"/>
  <c r="H2094" i="49"/>
  <c r="H2021" i="49"/>
  <c r="F2075" i="49"/>
  <c r="F2094" i="49"/>
  <c r="F2115" i="49"/>
  <c r="F2142" i="49"/>
  <c r="F2176" i="49"/>
  <c r="F1939" i="49"/>
  <c r="F1956" i="49"/>
  <c r="F1974" i="49"/>
  <c r="F1994" i="49"/>
  <c r="F2021" i="49"/>
  <c r="F2193" i="49"/>
  <c r="F2211" i="49"/>
  <c r="F2231" i="49"/>
  <c r="F2258" i="49"/>
  <c r="F2056" i="49"/>
  <c r="T22" i="48"/>
  <c r="U22" i="48" s="1"/>
  <c r="P22" i="48"/>
  <c r="Q22" i="48" s="1"/>
  <c r="L22" i="48"/>
  <c r="M22" i="48" s="1"/>
  <c r="H22" i="48"/>
  <c r="I22" i="48" s="1"/>
  <c r="A23" i="48"/>
  <c r="B22" i="48"/>
  <c r="T17" i="47"/>
  <c r="U17" i="47" s="1"/>
  <c r="P17" i="47"/>
  <c r="Q17" i="47" s="1"/>
  <c r="L17" i="47"/>
  <c r="M17" i="47" s="1"/>
  <c r="H17" i="47"/>
  <c r="I17" i="47" s="1"/>
  <c r="D17" i="47"/>
  <c r="E17" i="47" s="1"/>
  <c r="A18" i="47"/>
  <c r="B17" i="47"/>
  <c r="T12" i="46"/>
  <c r="U12" i="46" s="1"/>
  <c r="P12" i="46"/>
  <c r="Q12" i="46" s="1"/>
  <c r="L12" i="46"/>
  <c r="M12" i="46" s="1"/>
  <c r="H12" i="46"/>
  <c r="I12" i="46" s="1"/>
  <c r="D12" i="46"/>
  <c r="E12" i="46" s="1"/>
  <c r="A13" i="46"/>
  <c r="B12" i="46"/>
  <c r="H4" i="45"/>
  <c r="I4" i="45" s="1"/>
  <c r="T7" i="45"/>
  <c r="U7" i="45" s="1"/>
  <c r="P7" i="45"/>
  <c r="Q7" i="45" s="1"/>
  <c r="L7" i="45"/>
  <c r="M7" i="45" s="1"/>
  <c r="H7" i="45"/>
  <c r="I7" i="45" s="1"/>
  <c r="D7" i="45"/>
  <c r="E7" i="45" s="1"/>
  <c r="A8" i="45"/>
  <c r="B7" i="45"/>
  <c r="R27" i="51"/>
  <c r="V27" i="51"/>
  <c r="R25" i="50"/>
  <c r="V25" i="50"/>
  <c r="I2094" i="49"/>
  <c r="I1974" i="49"/>
  <c r="J11" i="46"/>
  <c r="J16" i="47"/>
  <c r="V16" i="47"/>
  <c r="I2231" i="49"/>
  <c r="I1939" i="49"/>
  <c r="V11" i="46"/>
  <c r="I2193" i="49"/>
  <c r="R11" i="46"/>
  <c r="I2211" i="49"/>
  <c r="J4" i="45"/>
  <c r="N21" i="48"/>
  <c r="J6" i="45"/>
  <c r="J21" i="48"/>
  <c r="N16" i="47"/>
  <c r="I2075" i="49"/>
  <c r="N6" i="45"/>
  <c r="I2258" i="49"/>
  <c r="F11" i="46"/>
  <c r="F16" i="47"/>
  <c r="J22" i="48"/>
  <c r="I2142" i="49"/>
  <c r="J5" i="45"/>
  <c r="R21" i="48"/>
  <c r="R6" i="45"/>
  <c r="I2056" i="49"/>
  <c r="I2115" i="49"/>
  <c r="I2021" i="49"/>
  <c r="R16" i="47"/>
  <c r="F6" i="45"/>
  <c r="I1994" i="49"/>
  <c r="N11" i="46"/>
  <c r="V6" i="45"/>
  <c r="I2176" i="49"/>
  <c r="V21" i="48"/>
  <c r="I1956" i="49"/>
  <c r="T29" i="51" l="1"/>
  <c r="U29" i="51" s="1"/>
  <c r="P29" i="51"/>
  <c r="Q29" i="51" s="1"/>
  <c r="A30" i="51"/>
  <c r="B29" i="51"/>
  <c r="T27" i="50"/>
  <c r="U27" i="50" s="1"/>
  <c r="P27" i="50"/>
  <c r="Q27" i="50" s="1"/>
  <c r="A28" i="50"/>
  <c r="B27" i="50"/>
  <c r="H2076" i="49"/>
  <c r="H2095" i="49"/>
  <c r="H2143" i="49"/>
  <c r="H2194" i="49"/>
  <c r="H2232" i="49"/>
  <c r="H1940" i="49"/>
  <c r="H1839" i="49"/>
  <c r="H2212" i="49"/>
  <c r="H2259" i="49"/>
  <c r="H2116" i="49"/>
  <c r="H2195" i="49"/>
  <c r="H2057" i="49"/>
  <c r="H1837" i="49"/>
  <c r="H1906" i="49"/>
  <c r="H1858" i="49"/>
  <c r="H1995" i="49"/>
  <c r="H1975" i="49"/>
  <c r="H1957" i="49"/>
  <c r="H1879" i="49"/>
  <c r="H1838" i="49"/>
  <c r="H2022" i="49"/>
  <c r="H1820" i="49"/>
  <c r="F2076" i="49"/>
  <c r="F2095" i="49"/>
  <c r="F2116" i="49"/>
  <c r="F2143" i="49"/>
  <c r="F1940" i="49"/>
  <c r="F1957" i="49"/>
  <c r="F1975" i="49"/>
  <c r="F1995" i="49"/>
  <c r="F2022" i="49"/>
  <c r="F2194" i="49"/>
  <c r="F2212" i="49"/>
  <c r="F2232" i="49"/>
  <c r="F2259" i="49"/>
  <c r="F2057" i="49"/>
  <c r="T23" i="48"/>
  <c r="U23" i="48" s="1"/>
  <c r="P23" i="48"/>
  <c r="Q23" i="48" s="1"/>
  <c r="L23" i="48"/>
  <c r="M23" i="48" s="1"/>
  <c r="A24" i="48"/>
  <c r="B23" i="48"/>
  <c r="T18" i="47"/>
  <c r="U18" i="47" s="1"/>
  <c r="P18" i="47"/>
  <c r="Q18" i="47" s="1"/>
  <c r="L18" i="47"/>
  <c r="M18" i="47" s="1"/>
  <c r="H18" i="47"/>
  <c r="I18" i="47" s="1"/>
  <c r="D18" i="47"/>
  <c r="E18" i="47" s="1"/>
  <c r="A19" i="47"/>
  <c r="B18" i="47"/>
  <c r="T13" i="46"/>
  <c r="U13" i="46" s="1"/>
  <c r="P13" i="46"/>
  <c r="Q13" i="46" s="1"/>
  <c r="L13" i="46"/>
  <c r="M13" i="46" s="1"/>
  <c r="H13" i="46"/>
  <c r="I13" i="46" s="1"/>
  <c r="D13" i="46"/>
  <c r="E13" i="46" s="1"/>
  <c r="A14" i="46"/>
  <c r="B13" i="46"/>
  <c r="D4" i="45"/>
  <c r="E4" i="45" s="1"/>
  <c r="T8" i="45"/>
  <c r="U8" i="45" s="1"/>
  <c r="P8" i="45"/>
  <c r="Q8" i="45" s="1"/>
  <c r="L8" i="45"/>
  <c r="M8" i="45" s="1"/>
  <c r="H8" i="45"/>
  <c r="I8" i="45" s="1"/>
  <c r="D8" i="45"/>
  <c r="E8" i="45" s="1"/>
  <c r="A9" i="45"/>
  <c r="B8" i="45"/>
  <c r="B4" i="45"/>
  <c r="V28" i="51"/>
  <c r="R28" i="51"/>
  <c r="V26" i="50"/>
  <c r="R26" i="50"/>
  <c r="G5" i="44"/>
  <c r="C12" i="44"/>
  <c r="N7" i="45"/>
  <c r="I2232" i="49"/>
  <c r="C14" i="44"/>
  <c r="N22" i="48"/>
  <c r="C16" i="44"/>
  <c r="F4" i="45"/>
  <c r="G9" i="44"/>
  <c r="R12" i="46"/>
  <c r="V12" i="46"/>
  <c r="G10" i="44"/>
  <c r="I2076" i="49"/>
  <c r="G8" i="44"/>
  <c r="N17" i="47"/>
  <c r="G16" i="44"/>
  <c r="R7" i="45"/>
  <c r="C17" i="44"/>
  <c r="C13" i="44"/>
  <c r="C7" i="44"/>
  <c r="G18" i="44"/>
  <c r="I1995" i="49"/>
  <c r="I1940" i="49"/>
  <c r="C15" i="44"/>
  <c r="C8" i="44"/>
  <c r="C6" i="44"/>
  <c r="I2212" i="49"/>
  <c r="I2194" i="49"/>
  <c r="I2057" i="49"/>
  <c r="I1975" i="49"/>
  <c r="J7" i="45"/>
  <c r="R22" i="48"/>
  <c r="G20" i="44"/>
  <c r="C9" i="44"/>
  <c r="G15" i="44"/>
  <c r="N12" i="46"/>
  <c r="G22" i="44"/>
  <c r="R17" i="47"/>
  <c r="F5" i="45"/>
  <c r="G14" i="44"/>
  <c r="C10" i="44"/>
  <c r="V22" i="48"/>
  <c r="G4" i="44"/>
  <c r="V17" i="47"/>
  <c r="G12" i="44"/>
  <c r="I2022" i="49"/>
  <c r="C5" i="44"/>
  <c r="G13" i="44"/>
  <c r="I2116" i="49"/>
  <c r="G21" i="44"/>
  <c r="C19" i="44"/>
  <c r="J12" i="46"/>
  <c r="F7" i="45"/>
  <c r="J17" i="47"/>
  <c r="C18" i="44"/>
  <c r="G17" i="44"/>
  <c r="I2143" i="49"/>
  <c r="I1957" i="49"/>
  <c r="C11" i="44"/>
  <c r="C20" i="44"/>
  <c r="G19" i="44"/>
  <c r="I2095" i="49"/>
  <c r="F17" i="47"/>
  <c r="G6" i="44"/>
  <c r="F12" i="46"/>
  <c r="G11" i="44"/>
  <c r="V7" i="45"/>
  <c r="G7" i="44"/>
  <c r="I2259" i="49"/>
  <c r="T30" i="51" l="1"/>
  <c r="U30" i="51" s="1"/>
  <c r="P30" i="51"/>
  <c r="Q30" i="51" s="1"/>
  <c r="A31" i="51"/>
  <c r="B30" i="51"/>
  <c r="P28" i="50"/>
  <c r="Q28" i="50" s="1"/>
  <c r="T28" i="50"/>
  <c r="U28" i="50" s="1"/>
  <c r="B28" i="50"/>
  <c r="A29" i="50"/>
  <c r="H1819" i="49"/>
  <c r="H1840" i="49"/>
  <c r="H1958" i="49"/>
  <c r="H2144" i="49"/>
  <c r="H1996" i="49"/>
  <c r="H2213" i="49"/>
  <c r="H1976" i="49"/>
  <c r="H1859" i="49"/>
  <c r="H2058" i="49"/>
  <c r="H2233" i="49"/>
  <c r="H2260" i="49"/>
  <c r="H2096" i="49"/>
  <c r="H2077" i="49"/>
  <c r="H2023" i="49"/>
  <c r="H1907" i="49"/>
  <c r="H1818" i="49"/>
  <c r="H2117" i="49"/>
  <c r="H1821" i="49"/>
  <c r="H1880" i="49"/>
  <c r="H1941" i="49"/>
  <c r="F1837" i="49"/>
  <c r="F1838" i="49"/>
  <c r="F1839" i="49"/>
  <c r="F1840" i="49"/>
  <c r="F1858" i="49"/>
  <c r="F1859" i="49"/>
  <c r="F1878" i="49"/>
  <c r="F1879" i="49"/>
  <c r="F1880" i="49"/>
  <c r="F1906" i="49"/>
  <c r="F1907" i="49"/>
  <c r="F2077" i="49"/>
  <c r="F2096" i="49"/>
  <c r="F2117" i="49"/>
  <c r="F2144" i="49"/>
  <c r="F2195" i="49"/>
  <c r="F1941" i="49"/>
  <c r="F1958" i="49"/>
  <c r="F1976" i="49"/>
  <c r="F1996" i="49"/>
  <c r="F2023" i="49"/>
  <c r="F2213" i="49"/>
  <c r="F2233" i="49"/>
  <c r="F2260" i="49"/>
  <c r="F1857" i="49"/>
  <c r="F2058" i="49"/>
  <c r="F1820" i="49"/>
  <c r="F1821" i="49"/>
  <c r="F1819" i="49"/>
  <c r="F1818" i="49"/>
  <c r="T24" i="48"/>
  <c r="U24" i="48" s="1"/>
  <c r="P24" i="48"/>
  <c r="Q24" i="48" s="1"/>
  <c r="L24" i="48"/>
  <c r="M24" i="48" s="1"/>
  <c r="A25" i="48"/>
  <c r="B24" i="48"/>
  <c r="T19" i="47"/>
  <c r="U19" i="47" s="1"/>
  <c r="P19" i="47"/>
  <c r="Q19" i="47" s="1"/>
  <c r="L19" i="47"/>
  <c r="M19" i="47" s="1"/>
  <c r="H19" i="47"/>
  <c r="I19" i="47" s="1"/>
  <c r="D19" i="47"/>
  <c r="E19" i="47" s="1"/>
  <c r="A20" i="47"/>
  <c r="B19" i="47"/>
  <c r="T14" i="46"/>
  <c r="U14" i="46" s="1"/>
  <c r="P14" i="46"/>
  <c r="Q14" i="46" s="1"/>
  <c r="L14" i="46"/>
  <c r="M14" i="46" s="1"/>
  <c r="H14" i="46"/>
  <c r="I14" i="46" s="1"/>
  <c r="D14" i="46"/>
  <c r="E14" i="46" s="1"/>
  <c r="A15" i="46"/>
  <c r="B14" i="46"/>
  <c r="T9" i="45"/>
  <c r="U9" i="45" s="1"/>
  <c r="P9" i="45"/>
  <c r="Q9" i="45" s="1"/>
  <c r="L9" i="45"/>
  <c r="M9" i="45" s="1"/>
  <c r="H9" i="45"/>
  <c r="I9" i="45" s="1"/>
  <c r="D9" i="45"/>
  <c r="E9" i="45" s="1"/>
  <c r="A10" i="45"/>
  <c r="B9" i="45"/>
  <c r="A5" i="44"/>
  <c r="V29" i="51"/>
  <c r="R29" i="51"/>
  <c r="R27" i="50"/>
  <c r="V27" i="50"/>
  <c r="I1996" i="49"/>
  <c r="I1941" i="49"/>
  <c r="I2233" i="49"/>
  <c r="I1878" i="49"/>
  <c r="R13" i="46"/>
  <c r="F18" i="47"/>
  <c r="I2213" i="49"/>
  <c r="V8" i="45"/>
  <c r="I2077" i="49"/>
  <c r="I1879" i="49"/>
  <c r="N23" i="48"/>
  <c r="I1907" i="49"/>
  <c r="I1859" i="49"/>
  <c r="V13" i="46"/>
  <c r="R18" i="47"/>
  <c r="I2096" i="49"/>
  <c r="I1840" i="49"/>
  <c r="I1858" i="49"/>
  <c r="R8" i="45"/>
  <c r="I1958" i="49"/>
  <c r="I2023" i="49"/>
  <c r="I1857" i="49"/>
  <c r="I1976" i="49"/>
  <c r="C4" i="44"/>
  <c r="R23" i="48"/>
  <c r="I2117" i="49"/>
  <c r="I2144" i="49"/>
  <c r="F13" i="46"/>
  <c r="J8" i="45"/>
  <c r="V23" i="48"/>
  <c r="I1838" i="49"/>
  <c r="I1820" i="49"/>
  <c r="I1818" i="49"/>
  <c r="N13" i="46"/>
  <c r="I1837" i="49"/>
  <c r="I1821" i="49"/>
  <c r="I2260" i="49"/>
  <c r="N18" i="47"/>
  <c r="I1819" i="49"/>
  <c r="I1839" i="49"/>
  <c r="F8" i="45"/>
  <c r="N8" i="45"/>
  <c r="I1880" i="49"/>
  <c r="I1906" i="49"/>
  <c r="I2195" i="49"/>
  <c r="V18" i="47"/>
  <c r="J13" i="46"/>
  <c r="J18" i="47"/>
  <c r="I2058" i="49"/>
  <c r="T31" i="51" l="1"/>
  <c r="U31" i="51" s="1"/>
  <c r="P31" i="51"/>
  <c r="Q31" i="51" s="1"/>
  <c r="B31" i="51"/>
  <c r="A32" i="51"/>
  <c r="P29" i="50"/>
  <c r="Q29" i="50" s="1"/>
  <c r="T29" i="50"/>
  <c r="U29" i="50" s="1"/>
  <c r="A30" i="50"/>
  <c r="B29" i="50"/>
  <c r="H1942" i="49"/>
  <c r="H2024" i="49"/>
  <c r="H1959" i="49"/>
  <c r="H1841" i="49"/>
  <c r="H1997" i="49"/>
  <c r="H1881" i="49"/>
  <c r="H2145" i="49"/>
  <c r="H2214" i="49"/>
  <c r="H2234" i="49"/>
  <c r="H1860" i="49"/>
  <c r="H1977" i="49"/>
  <c r="H2097" i="49"/>
  <c r="H1908" i="49"/>
  <c r="H2078" i="49"/>
  <c r="H2261" i="49"/>
  <c r="H1822" i="49"/>
  <c r="H2118" i="49"/>
  <c r="H2059" i="49"/>
  <c r="F1841" i="49"/>
  <c r="F1860" i="49"/>
  <c r="F1881" i="49"/>
  <c r="F1908" i="49"/>
  <c r="F2078" i="49"/>
  <c r="F2097" i="49"/>
  <c r="F2118" i="49"/>
  <c r="F2145" i="49"/>
  <c r="F1942" i="49"/>
  <c r="F1959" i="49"/>
  <c r="F1977" i="49"/>
  <c r="F1997" i="49"/>
  <c r="F2024" i="49"/>
  <c r="F2214" i="49"/>
  <c r="F2234" i="49"/>
  <c r="F2261" i="49"/>
  <c r="F2059" i="49"/>
  <c r="F1822" i="49"/>
  <c r="T25" i="48"/>
  <c r="U25" i="48" s="1"/>
  <c r="P25" i="48"/>
  <c r="Q25" i="48" s="1"/>
  <c r="L25" i="48"/>
  <c r="M25" i="48" s="1"/>
  <c r="A26" i="48"/>
  <c r="B25" i="48"/>
  <c r="T20" i="47"/>
  <c r="U20" i="47" s="1"/>
  <c r="P20" i="47"/>
  <c r="Q20" i="47" s="1"/>
  <c r="L20" i="47"/>
  <c r="M20" i="47" s="1"/>
  <c r="H20" i="47"/>
  <c r="I20" i="47" s="1"/>
  <c r="D20" i="47"/>
  <c r="E20" i="47" s="1"/>
  <c r="A21" i="47"/>
  <c r="B20" i="47"/>
  <c r="T15" i="46"/>
  <c r="U15" i="46" s="1"/>
  <c r="P15" i="46"/>
  <c r="Q15" i="46" s="1"/>
  <c r="L15" i="46"/>
  <c r="M15" i="46" s="1"/>
  <c r="H15" i="46"/>
  <c r="I15" i="46" s="1"/>
  <c r="D15" i="46"/>
  <c r="E15" i="46" s="1"/>
  <c r="A16" i="46"/>
  <c r="B15" i="46"/>
  <c r="T10" i="45"/>
  <c r="U10" i="45" s="1"/>
  <c r="P10" i="45"/>
  <c r="Q10" i="45" s="1"/>
  <c r="L10" i="45"/>
  <c r="M10" i="45" s="1"/>
  <c r="H10" i="45"/>
  <c r="I10" i="45" s="1"/>
  <c r="D10" i="45"/>
  <c r="E10" i="45" s="1"/>
  <c r="A11" i="45"/>
  <c r="B10" i="45"/>
  <c r="L5" i="44"/>
  <c r="M5" i="44" s="1"/>
  <c r="H5" i="44"/>
  <c r="I5" i="44" s="1"/>
  <c r="D5" i="44"/>
  <c r="E5" i="44" s="1"/>
  <c r="A6" i="44"/>
  <c r="B5" i="44"/>
  <c r="V30" i="51"/>
  <c r="R30" i="51"/>
  <c r="R28" i="50"/>
  <c r="V28" i="50"/>
  <c r="I2078" i="49"/>
  <c r="N19" i="47"/>
  <c r="I2214" i="49"/>
  <c r="I2118" i="49"/>
  <c r="I2261" i="49"/>
  <c r="N14" i="46"/>
  <c r="R19" i="47"/>
  <c r="V19" i="47"/>
  <c r="I1841" i="49"/>
  <c r="I2145" i="49"/>
  <c r="I1908" i="49"/>
  <c r="V24" i="48"/>
  <c r="I1860" i="49"/>
  <c r="I2234" i="49"/>
  <c r="R24" i="48"/>
  <c r="I1881" i="49"/>
  <c r="V14" i="46"/>
  <c r="J9" i="45"/>
  <c r="R9" i="45"/>
  <c r="I1942" i="49"/>
  <c r="N9" i="45"/>
  <c r="J14" i="46"/>
  <c r="N5" i="44"/>
  <c r="I2097" i="49"/>
  <c r="I2024" i="49"/>
  <c r="V9" i="45"/>
  <c r="I1822" i="49"/>
  <c r="F9" i="45"/>
  <c r="I2059" i="49"/>
  <c r="F19" i="47"/>
  <c r="J19" i="47"/>
  <c r="N25" i="48"/>
  <c r="I1997" i="49"/>
  <c r="I1977" i="49"/>
  <c r="R14" i="46"/>
  <c r="N24" i="48"/>
  <c r="F14" i="46"/>
  <c r="I1959" i="49"/>
  <c r="P32" i="51" l="1"/>
  <c r="Q32" i="51" s="1"/>
  <c r="T32" i="51"/>
  <c r="U32" i="51" s="1"/>
  <c r="B32" i="51"/>
  <c r="A33" i="51"/>
  <c r="P30" i="50"/>
  <c r="Q30" i="50" s="1"/>
  <c r="T30" i="50"/>
  <c r="U30" i="50" s="1"/>
  <c r="B30" i="50"/>
  <c r="A31" i="50"/>
  <c r="H1861" i="49"/>
  <c r="H1842" i="49"/>
  <c r="H2060" i="49"/>
  <c r="H1823" i="49"/>
  <c r="H2262" i="49"/>
  <c r="H1998" i="49"/>
  <c r="H1882" i="49"/>
  <c r="H1909" i="49"/>
  <c r="H2025" i="49"/>
  <c r="H2098" i="49"/>
  <c r="H1742" i="49"/>
  <c r="H2146" i="49"/>
  <c r="H1943" i="49"/>
  <c r="H2079" i="49"/>
  <c r="H2235" i="49"/>
  <c r="H1978" i="49"/>
  <c r="H2215" i="49"/>
  <c r="H1960" i="49"/>
  <c r="H2119" i="49"/>
  <c r="H2216" i="49"/>
  <c r="F1842" i="49"/>
  <c r="F1861" i="49"/>
  <c r="F1882" i="49"/>
  <c r="F1909" i="49"/>
  <c r="F2079" i="49"/>
  <c r="F2098" i="49"/>
  <c r="F2119" i="49"/>
  <c r="F2146" i="49"/>
  <c r="F1943" i="49"/>
  <c r="F1960" i="49"/>
  <c r="F1978" i="49"/>
  <c r="F1998" i="49"/>
  <c r="F2025" i="49"/>
  <c r="F2215" i="49"/>
  <c r="F2235" i="49"/>
  <c r="F2262" i="49"/>
  <c r="F2060" i="49"/>
  <c r="F1823" i="49"/>
  <c r="T26" i="48"/>
  <c r="U26" i="48" s="1"/>
  <c r="P26" i="48"/>
  <c r="Q26" i="48" s="1"/>
  <c r="A27" i="48"/>
  <c r="B26" i="48"/>
  <c r="T21" i="47"/>
  <c r="U21" i="47" s="1"/>
  <c r="P21" i="47"/>
  <c r="Q21" i="47" s="1"/>
  <c r="L21" i="47"/>
  <c r="M21" i="47" s="1"/>
  <c r="H21" i="47"/>
  <c r="I21" i="47" s="1"/>
  <c r="D21" i="47"/>
  <c r="E21" i="47" s="1"/>
  <c r="A22" i="47"/>
  <c r="B21" i="47"/>
  <c r="T16" i="46"/>
  <c r="U16" i="46" s="1"/>
  <c r="P16" i="46"/>
  <c r="Q16" i="46" s="1"/>
  <c r="L16" i="46"/>
  <c r="M16" i="46" s="1"/>
  <c r="H16" i="46"/>
  <c r="I16" i="46" s="1"/>
  <c r="D16" i="46"/>
  <c r="E16" i="46" s="1"/>
  <c r="A17" i="46"/>
  <c r="B16" i="46"/>
  <c r="T11" i="45"/>
  <c r="U11" i="45" s="1"/>
  <c r="P11" i="45"/>
  <c r="Q11" i="45" s="1"/>
  <c r="L11" i="45"/>
  <c r="M11" i="45" s="1"/>
  <c r="H11" i="45"/>
  <c r="I11" i="45" s="1"/>
  <c r="D11" i="45"/>
  <c r="E11" i="45" s="1"/>
  <c r="A12" i="45"/>
  <c r="B11" i="45"/>
  <c r="T6" i="44"/>
  <c r="U6" i="44" s="1"/>
  <c r="P6" i="44"/>
  <c r="Q6" i="44" s="1"/>
  <c r="L6" i="44"/>
  <c r="M6" i="44" s="1"/>
  <c r="H6" i="44"/>
  <c r="I6" i="44" s="1"/>
  <c r="D6" i="44"/>
  <c r="E6" i="44" s="1"/>
  <c r="A7" i="44"/>
  <c r="B6" i="44"/>
  <c r="R31" i="51"/>
  <c r="R32" i="51"/>
  <c r="V31" i="51"/>
  <c r="R29" i="50"/>
  <c r="V29" i="50"/>
  <c r="R25" i="48"/>
  <c r="I1960" i="49"/>
  <c r="I1882" i="49"/>
  <c r="I1943" i="49"/>
  <c r="N20" i="47"/>
  <c r="R10" i="45"/>
  <c r="I1978" i="49"/>
  <c r="J15" i="46"/>
  <c r="I1861" i="49"/>
  <c r="F10" i="45"/>
  <c r="N15" i="46"/>
  <c r="V10" i="45"/>
  <c r="I1842" i="49"/>
  <c r="V25" i="48"/>
  <c r="I2119" i="49"/>
  <c r="R15" i="46"/>
  <c r="I2235" i="49"/>
  <c r="I2215" i="49"/>
  <c r="V6" i="44"/>
  <c r="N10" i="45"/>
  <c r="I1998" i="49"/>
  <c r="I2146" i="49"/>
  <c r="I2025" i="49"/>
  <c r="F15" i="46"/>
  <c r="I2098" i="49"/>
  <c r="F20" i="47"/>
  <c r="J10" i="45"/>
  <c r="I1909" i="49"/>
  <c r="I2262" i="49"/>
  <c r="V20" i="47"/>
  <c r="J20" i="47"/>
  <c r="V15" i="46"/>
  <c r="R6" i="44"/>
  <c r="I1823" i="49"/>
  <c r="R20" i="47"/>
  <c r="I2079" i="49"/>
  <c r="I2060" i="49"/>
  <c r="T33" i="51" l="1"/>
  <c r="U33" i="51" s="1"/>
  <c r="A34" i="51"/>
  <c r="B33" i="51"/>
  <c r="T31" i="50"/>
  <c r="U31" i="50" s="1"/>
  <c r="P31" i="50"/>
  <c r="Q31" i="50" s="1"/>
  <c r="A32" i="50"/>
  <c r="B31" i="50"/>
  <c r="H1790" i="49"/>
  <c r="H2099" i="49"/>
  <c r="H2061" i="49"/>
  <c r="H2263" i="49"/>
  <c r="H2147" i="49"/>
  <c r="H2080" i="49"/>
  <c r="H1944" i="49"/>
  <c r="H2120" i="49"/>
  <c r="H1999" i="49"/>
  <c r="H2236" i="49"/>
  <c r="H1883" i="49"/>
  <c r="H1824" i="49"/>
  <c r="H2026" i="49"/>
  <c r="H1843" i="49"/>
  <c r="H1862" i="49"/>
  <c r="H1979" i="49"/>
  <c r="H1910" i="49"/>
  <c r="H1961" i="49"/>
  <c r="H1763" i="49"/>
  <c r="F1843" i="49"/>
  <c r="F1862" i="49"/>
  <c r="F1883" i="49"/>
  <c r="F1910" i="49"/>
  <c r="F2080" i="49"/>
  <c r="F2099" i="49"/>
  <c r="F2120" i="49"/>
  <c r="F2147" i="49"/>
  <c r="F2216" i="49"/>
  <c r="F1944" i="49"/>
  <c r="F1961" i="49"/>
  <c r="F1979" i="49"/>
  <c r="F1999" i="49"/>
  <c r="F2026" i="49"/>
  <c r="F2236" i="49"/>
  <c r="F2263" i="49"/>
  <c r="F2061" i="49"/>
  <c r="F1824" i="49"/>
  <c r="T27" i="48"/>
  <c r="U27" i="48" s="1"/>
  <c r="P27" i="48"/>
  <c r="Q27" i="48" s="1"/>
  <c r="A28" i="48"/>
  <c r="B27" i="48"/>
  <c r="T22" i="47"/>
  <c r="U22" i="47" s="1"/>
  <c r="P22" i="47"/>
  <c r="Q22" i="47" s="1"/>
  <c r="L22" i="47"/>
  <c r="M22" i="47" s="1"/>
  <c r="H22" i="47"/>
  <c r="I22" i="47" s="1"/>
  <c r="D22" i="47"/>
  <c r="E22" i="47" s="1"/>
  <c r="A23" i="47"/>
  <c r="B22" i="47"/>
  <c r="T17" i="46"/>
  <c r="U17" i="46" s="1"/>
  <c r="P17" i="46"/>
  <c r="Q17" i="46" s="1"/>
  <c r="L17" i="46"/>
  <c r="M17" i="46" s="1"/>
  <c r="H17" i="46"/>
  <c r="I17" i="46" s="1"/>
  <c r="D17" i="46"/>
  <c r="E17" i="46" s="1"/>
  <c r="A18" i="46"/>
  <c r="B17" i="46"/>
  <c r="T12" i="45"/>
  <c r="U12" i="45" s="1"/>
  <c r="P12" i="45"/>
  <c r="Q12" i="45" s="1"/>
  <c r="L12" i="45"/>
  <c r="M12" i="45" s="1"/>
  <c r="H12" i="45"/>
  <c r="I12" i="45" s="1"/>
  <c r="D12" i="45"/>
  <c r="E12" i="45" s="1"/>
  <c r="A13" i="45"/>
  <c r="B12" i="45"/>
  <c r="H4" i="44"/>
  <c r="I4" i="44" s="1"/>
  <c r="T7" i="44"/>
  <c r="U7" i="44" s="1"/>
  <c r="P7" i="44"/>
  <c r="Q7" i="44" s="1"/>
  <c r="L7" i="44"/>
  <c r="M7" i="44" s="1"/>
  <c r="H7" i="44"/>
  <c r="I7" i="44" s="1"/>
  <c r="D7" i="44"/>
  <c r="E7" i="44" s="1"/>
  <c r="A8" i="44"/>
  <c r="B7" i="44"/>
  <c r="V32" i="51"/>
  <c r="V33" i="51"/>
  <c r="V30" i="50"/>
  <c r="R30" i="50"/>
  <c r="R31" i="50"/>
  <c r="I2263" i="49"/>
  <c r="I1979" i="49"/>
  <c r="I1944" i="49"/>
  <c r="N21" i="47"/>
  <c r="J4" i="44"/>
  <c r="R11" i="45"/>
  <c r="V11" i="45"/>
  <c r="R16" i="46"/>
  <c r="V26" i="48"/>
  <c r="V21" i="47"/>
  <c r="I2236" i="49"/>
  <c r="I1824" i="49"/>
  <c r="F21" i="47"/>
  <c r="N16" i="46"/>
  <c r="I1843" i="49"/>
  <c r="I1961" i="49"/>
  <c r="I1999" i="49"/>
  <c r="I2216" i="49"/>
  <c r="R21" i="47"/>
  <c r="J6" i="44"/>
  <c r="J21" i="47"/>
  <c r="J5" i="44"/>
  <c r="F11" i="45"/>
  <c r="I2120" i="49"/>
  <c r="F6" i="44"/>
  <c r="I2099" i="49"/>
  <c r="N6" i="44"/>
  <c r="R26" i="48"/>
  <c r="I1862" i="49"/>
  <c r="I2061" i="49"/>
  <c r="N11" i="45"/>
  <c r="J16" i="46"/>
  <c r="I2147" i="49"/>
  <c r="F16" i="46"/>
  <c r="I2026" i="49"/>
  <c r="V16" i="46"/>
  <c r="I1883" i="49"/>
  <c r="F22" i="47"/>
  <c r="I2080" i="49"/>
  <c r="I1910" i="49"/>
  <c r="J11" i="45"/>
  <c r="A35" i="51" l="1"/>
  <c r="B34" i="51"/>
  <c r="T32" i="50"/>
  <c r="U32" i="50" s="1"/>
  <c r="B32" i="50"/>
  <c r="A33" i="50"/>
  <c r="H1723" i="49"/>
  <c r="H1884" i="49"/>
  <c r="H1945" i="49"/>
  <c r="H1911" i="49"/>
  <c r="H2237" i="49"/>
  <c r="H1725" i="49"/>
  <c r="H1980" i="49"/>
  <c r="H1724" i="49"/>
  <c r="H2121" i="49"/>
  <c r="H2100" i="49"/>
  <c r="H1743" i="49"/>
  <c r="H2081" i="49"/>
  <c r="H1708" i="49"/>
  <c r="H2027" i="49"/>
  <c r="H2062" i="49"/>
  <c r="H2148" i="49"/>
  <c r="H1844" i="49"/>
  <c r="H1962" i="49"/>
  <c r="H2264" i="49"/>
  <c r="H1825" i="49"/>
  <c r="H2000" i="49"/>
  <c r="H2063" i="49"/>
  <c r="H1863" i="49"/>
  <c r="F1844" i="49"/>
  <c r="F1863" i="49"/>
  <c r="F1884" i="49"/>
  <c r="F1911" i="49"/>
  <c r="F2081" i="49"/>
  <c r="F2100" i="49"/>
  <c r="F2121" i="49"/>
  <c r="F2148" i="49"/>
  <c r="F1945" i="49"/>
  <c r="F1962" i="49"/>
  <c r="F1980" i="49"/>
  <c r="F2000" i="49"/>
  <c r="F2027" i="49"/>
  <c r="F2237" i="49"/>
  <c r="F2264" i="49"/>
  <c r="F2062" i="49"/>
  <c r="F1825" i="49"/>
  <c r="T28" i="48"/>
  <c r="U28" i="48" s="1"/>
  <c r="P28" i="48"/>
  <c r="Q28" i="48" s="1"/>
  <c r="A29" i="48"/>
  <c r="B28" i="48"/>
  <c r="T23" i="47"/>
  <c r="U23" i="47" s="1"/>
  <c r="P23" i="47"/>
  <c r="Q23" i="47" s="1"/>
  <c r="L23" i="47"/>
  <c r="M23" i="47" s="1"/>
  <c r="H23" i="47"/>
  <c r="I23" i="47" s="1"/>
  <c r="A24" i="47"/>
  <c r="B23" i="47"/>
  <c r="T18" i="46"/>
  <c r="U18" i="46" s="1"/>
  <c r="P18" i="46"/>
  <c r="Q18" i="46" s="1"/>
  <c r="L18" i="46"/>
  <c r="M18" i="46" s="1"/>
  <c r="H18" i="46"/>
  <c r="I18" i="46" s="1"/>
  <c r="D18" i="46"/>
  <c r="E18" i="46" s="1"/>
  <c r="A19" i="46"/>
  <c r="B18" i="46"/>
  <c r="T13" i="45"/>
  <c r="U13" i="45" s="1"/>
  <c r="P13" i="45"/>
  <c r="Q13" i="45" s="1"/>
  <c r="L13" i="45"/>
  <c r="M13" i="45" s="1"/>
  <c r="H13" i="45"/>
  <c r="I13" i="45" s="1"/>
  <c r="D13" i="45"/>
  <c r="E13" i="45" s="1"/>
  <c r="A14" i="45"/>
  <c r="B13" i="45"/>
  <c r="D4" i="44"/>
  <c r="E4" i="44" s="1"/>
  <c r="T8" i="44"/>
  <c r="U8" i="44" s="1"/>
  <c r="P8" i="44"/>
  <c r="Q8" i="44" s="1"/>
  <c r="L8" i="44"/>
  <c r="M8" i="44" s="1"/>
  <c r="H8" i="44"/>
  <c r="I8" i="44" s="1"/>
  <c r="D8" i="44"/>
  <c r="E8" i="44" s="1"/>
  <c r="A9" i="44"/>
  <c r="B8" i="44"/>
  <c r="B4" i="44"/>
  <c r="V31" i="50"/>
  <c r="V32" i="50"/>
  <c r="G8" i="43"/>
  <c r="S17" i="43"/>
  <c r="N7" i="44"/>
  <c r="O6" i="43"/>
  <c r="S12" i="43"/>
  <c r="O14" i="43"/>
  <c r="S31" i="43"/>
  <c r="G11" i="43"/>
  <c r="C13" i="43"/>
  <c r="I1884" i="49"/>
  <c r="I2000" i="49"/>
  <c r="S25" i="43"/>
  <c r="I1911" i="49"/>
  <c r="K9" i="43"/>
  <c r="S11" i="43"/>
  <c r="C16" i="43"/>
  <c r="C18" i="43"/>
  <c r="I1863" i="49"/>
  <c r="S26" i="43"/>
  <c r="J22" i="47"/>
  <c r="O10" i="43"/>
  <c r="O30" i="43"/>
  <c r="F12" i="45"/>
  <c r="O13" i="43"/>
  <c r="C21" i="43"/>
  <c r="O26" i="43"/>
  <c r="G9" i="43"/>
  <c r="K22" i="43"/>
  <c r="O20" i="43"/>
  <c r="S6" i="43"/>
  <c r="F17" i="46"/>
  <c r="C20" i="43"/>
  <c r="O23" i="43"/>
  <c r="K16" i="43"/>
  <c r="S20" i="43"/>
  <c r="C6" i="43"/>
  <c r="J23" i="47"/>
  <c r="S14" i="43"/>
  <c r="C14" i="43"/>
  <c r="K25" i="43"/>
  <c r="S13" i="43"/>
  <c r="C5" i="43"/>
  <c r="G4" i="43"/>
  <c r="C8" i="43"/>
  <c r="C11" i="43"/>
  <c r="S16" i="43"/>
  <c r="K21" i="43"/>
  <c r="K12" i="43"/>
  <c r="I1844" i="49"/>
  <c r="O18" i="43"/>
  <c r="I2264" i="49"/>
  <c r="G10" i="43"/>
  <c r="O16" i="43"/>
  <c r="C12" i="43"/>
  <c r="R27" i="48"/>
  <c r="J17" i="46"/>
  <c r="S15" i="43"/>
  <c r="R7" i="44"/>
  <c r="G15" i="43"/>
  <c r="I2121" i="49"/>
  <c r="S21" i="43"/>
  <c r="V27" i="48"/>
  <c r="O5" i="43"/>
  <c r="S28" i="43"/>
  <c r="N22" i="47"/>
  <c r="I2027" i="49"/>
  <c r="I1962" i="49"/>
  <c r="G7" i="43"/>
  <c r="S23" i="43"/>
  <c r="S18" i="43"/>
  <c r="G19" i="43"/>
  <c r="V22" i="47"/>
  <c r="S32" i="43"/>
  <c r="K5" i="43"/>
  <c r="G21" i="43"/>
  <c r="K13" i="43"/>
  <c r="V12" i="45"/>
  <c r="K23" i="43"/>
  <c r="G18" i="43"/>
  <c r="R22" i="47"/>
  <c r="O24" i="43"/>
  <c r="F7" i="44"/>
  <c r="R17" i="46"/>
  <c r="I1825" i="49"/>
  <c r="O9" i="43"/>
  <c r="K19" i="43"/>
  <c r="G12" i="43"/>
  <c r="I2062" i="49"/>
  <c r="R12" i="45"/>
  <c r="C17" i="43"/>
  <c r="S7" i="43"/>
  <c r="G5" i="43"/>
  <c r="V7" i="44"/>
  <c r="S27" i="43"/>
  <c r="I2237" i="49"/>
  <c r="K18" i="43"/>
  <c r="O19" i="43"/>
  <c r="F5" i="44"/>
  <c r="O28" i="43"/>
  <c r="S8" i="43"/>
  <c r="I2148" i="49"/>
  <c r="C19" i="43"/>
  <c r="C22" i="43"/>
  <c r="I1945" i="49"/>
  <c r="S10" i="43"/>
  <c r="G16" i="43"/>
  <c r="S22" i="43"/>
  <c r="S30" i="43"/>
  <c r="K11" i="43"/>
  <c r="O29" i="43"/>
  <c r="N12" i="45"/>
  <c r="O11" i="43"/>
  <c r="S19" i="43"/>
  <c r="K15" i="43"/>
  <c r="G13" i="43"/>
  <c r="G14" i="43"/>
  <c r="C15" i="43"/>
  <c r="G23" i="43"/>
  <c r="N17" i="46"/>
  <c r="I2100" i="49"/>
  <c r="K20" i="43"/>
  <c r="O21" i="43"/>
  <c r="I2081" i="49"/>
  <c r="G17" i="43"/>
  <c r="O22" i="43"/>
  <c r="O15" i="43"/>
  <c r="K7" i="43"/>
  <c r="K24" i="43"/>
  <c r="K8" i="43"/>
  <c r="O25" i="43"/>
  <c r="O17" i="43"/>
  <c r="K6" i="43"/>
  <c r="O12" i="43"/>
  <c r="I1980" i="49"/>
  <c r="G20" i="43"/>
  <c r="S24" i="43"/>
  <c r="C9" i="43"/>
  <c r="C10" i="43"/>
  <c r="O8" i="43"/>
  <c r="V17" i="46"/>
  <c r="F4" i="44"/>
  <c r="J12" i="45"/>
  <c r="K17" i="43"/>
  <c r="O7" i="43"/>
  <c r="C7" i="43"/>
  <c r="G22" i="43"/>
  <c r="S29" i="43"/>
  <c r="K10" i="43"/>
  <c r="O27" i="43"/>
  <c r="K14" i="43"/>
  <c r="O31" i="43"/>
  <c r="S9" i="43"/>
  <c r="G6" i="43"/>
  <c r="J7" i="44"/>
  <c r="A36" i="51" l="1"/>
  <c r="B35" i="51"/>
  <c r="B33" i="50"/>
  <c r="A34" i="50"/>
  <c r="H1963" i="49"/>
  <c r="H1885" i="49"/>
  <c r="H2001" i="49"/>
  <c r="H1946" i="49"/>
  <c r="H2265" i="49"/>
  <c r="H1791" i="49"/>
  <c r="H1845" i="49"/>
  <c r="H1981" i="49"/>
  <c r="H1707" i="49"/>
  <c r="H2082" i="49"/>
  <c r="H1826" i="49"/>
  <c r="H1726" i="49"/>
  <c r="H2238" i="49"/>
  <c r="H1764" i="49"/>
  <c r="H1709" i="49"/>
  <c r="H2149" i="49"/>
  <c r="H1744" i="49"/>
  <c r="H2101" i="49"/>
  <c r="H1864" i="49"/>
  <c r="H1706" i="49"/>
  <c r="H2083" i="49"/>
  <c r="H1912" i="49"/>
  <c r="H2028" i="49"/>
  <c r="H2122" i="49"/>
  <c r="F1845" i="49"/>
  <c r="F1864" i="49"/>
  <c r="F1885" i="49"/>
  <c r="F1912" i="49"/>
  <c r="F2082" i="49"/>
  <c r="F2101" i="49"/>
  <c r="F2122" i="49"/>
  <c r="F2149" i="49"/>
  <c r="F1742" i="49"/>
  <c r="F1763" i="49"/>
  <c r="F1708" i="49"/>
  <c r="F1790" i="49"/>
  <c r="F1723" i="49"/>
  <c r="F1724" i="49"/>
  <c r="F1725" i="49"/>
  <c r="F1743" i="49"/>
  <c r="F1709" i="49"/>
  <c r="F1726" i="49"/>
  <c r="F1744" i="49"/>
  <c r="F1764" i="49"/>
  <c r="F1791" i="49"/>
  <c r="F1707" i="49"/>
  <c r="F1706" i="49"/>
  <c r="F1946" i="49"/>
  <c r="F1963" i="49"/>
  <c r="F1981" i="49"/>
  <c r="F2001" i="49"/>
  <c r="F2028" i="49"/>
  <c r="F2238" i="49"/>
  <c r="F2265" i="49"/>
  <c r="F2063" i="49"/>
  <c r="F1826" i="49"/>
  <c r="T29" i="48"/>
  <c r="U29" i="48" s="1"/>
  <c r="P29" i="48"/>
  <c r="Q29" i="48" s="1"/>
  <c r="A30" i="48"/>
  <c r="B29" i="48"/>
  <c r="T24" i="47"/>
  <c r="U24" i="47" s="1"/>
  <c r="P24" i="47"/>
  <c r="Q24" i="47" s="1"/>
  <c r="L24" i="47"/>
  <c r="M24" i="47" s="1"/>
  <c r="A25" i="47"/>
  <c r="B24" i="47"/>
  <c r="T19" i="46"/>
  <c r="U19" i="46" s="1"/>
  <c r="P19" i="46"/>
  <c r="Q19" i="46" s="1"/>
  <c r="L19" i="46"/>
  <c r="M19" i="46" s="1"/>
  <c r="H19" i="46"/>
  <c r="I19" i="46" s="1"/>
  <c r="D19" i="46"/>
  <c r="E19" i="46" s="1"/>
  <c r="A20" i="46"/>
  <c r="B19" i="46"/>
  <c r="T14" i="45"/>
  <c r="U14" i="45" s="1"/>
  <c r="P14" i="45"/>
  <c r="Q14" i="45" s="1"/>
  <c r="L14" i="45"/>
  <c r="M14" i="45" s="1"/>
  <c r="H14" i="45"/>
  <c r="I14" i="45" s="1"/>
  <c r="D14" i="45"/>
  <c r="E14" i="45" s="1"/>
  <c r="A15" i="45"/>
  <c r="B14" i="45"/>
  <c r="T9" i="44"/>
  <c r="U9" i="44" s="1"/>
  <c r="P9" i="44"/>
  <c r="Q9" i="44" s="1"/>
  <c r="L9" i="44"/>
  <c r="M9" i="44" s="1"/>
  <c r="H9" i="44"/>
  <c r="I9" i="44" s="1"/>
  <c r="D9" i="44"/>
  <c r="E9" i="44" s="1"/>
  <c r="A10" i="44"/>
  <c r="B9" i="44"/>
  <c r="A5" i="43"/>
  <c r="I1744" i="49"/>
  <c r="F8" i="44"/>
  <c r="I2101" i="49"/>
  <c r="J18" i="46"/>
  <c r="I1708" i="49"/>
  <c r="V18" i="46"/>
  <c r="I1726" i="49"/>
  <c r="R18" i="46"/>
  <c r="I2238" i="49"/>
  <c r="N8" i="44"/>
  <c r="I1724" i="49"/>
  <c r="J13" i="45"/>
  <c r="V13" i="45"/>
  <c r="I1707" i="49"/>
  <c r="I1763" i="49"/>
  <c r="R8" i="44"/>
  <c r="I2082" i="49"/>
  <c r="I1706" i="49"/>
  <c r="I1725" i="49"/>
  <c r="I1864" i="49"/>
  <c r="I1723" i="49"/>
  <c r="I1845" i="49"/>
  <c r="I1946" i="49"/>
  <c r="V28" i="48"/>
  <c r="R28" i="48"/>
  <c r="I2001" i="49"/>
  <c r="V8" i="44"/>
  <c r="J8" i="44"/>
  <c r="I1742" i="49"/>
  <c r="I1791" i="49"/>
  <c r="I1963" i="49"/>
  <c r="N23" i="47"/>
  <c r="C4" i="43"/>
  <c r="F13" i="45"/>
  <c r="I2122" i="49"/>
  <c r="I1826" i="49"/>
  <c r="V23" i="47"/>
  <c r="I1885" i="49"/>
  <c r="I1709" i="49"/>
  <c r="R23" i="47"/>
  <c r="I1764" i="49"/>
  <c r="I2265" i="49"/>
  <c r="R13" i="45"/>
  <c r="I1912" i="49"/>
  <c r="I2149" i="49"/>
  <c r="I1743" i="49"/>
  <c r="F18" i="46"/>
  <c r="N13" i="45"/>
  <c r="I2063" i="49"/>
  <c r="I1981" i="49"/>
  <c r="I2028" i="49"/>
  <c r="I1790" i="49"/>
  <c r="N18" i="46"/>
  <c r="A37" i="51" l="1"/>
  <c r="B37" i="51" s="1"/>
  <c r="B36" i="51"/>
  <c r="A35" i="50"/>
  <c r="B34" i="50"/>
  <c r="H1964" i="49"/>
  <c r="H2266" i="49"/>
  <c r="H1913" i="49"/>
  <c r="H1710" i="49"/>
  <c r="H1947" i="49"/>
  <c r="H1982" i="49"/>
  <c r="H2002" i="49"/>
  <c r="H2029" i="49"/>
  <c r="H1765" i="49"/>
  <c r="H1827" i="49"/>
  <c r="H2239" i="49"/>
  <c r="H2150" i="49"/>
  <c r="H2102" i="49"/>
  <c r="H1727" i="49"/>
  <c r="H1846" i="49"/>
  <c r="H2123" i="49"/>
  <c r="H1792" i="49"/>
  <c r="H1886" i="49"/>
  <c r="H1745" i="49"/>
  <c r="H1865" i="49"/>
  <c r="F1846" i="49"/>
  <c r="F1865" i="49"/>
  <c r="F1886" i="49"/>
  <c r="F1913" i="49"/>
  <c r="F2102" i="49"/>
  <c r="F2123" i="49"/>
  <c r="F2150" i="49"/>
  <c r="F1710" i="49"/>
  <c r="F1727" i="49"/>
  <c r="F1745" i="49"/>
  <c r="F1765" i="49"/>
  <c r="F1792" i="49"/>
  <c r="F1947" i="49"/>
  <c r="F1964" i="49"/>
  <c r="F1982" i="49"/>
  <c r="F2002" i="49"/>
  <c r="F2029" i="49"/>
  <c r="F2239" i="49"/>
  <c r="F2266" i="49"/>
  <c r="F2083" i="49"/>
  <c r="F1827" i="49"/>
  <c r="T30" i="48"/>
  <c r="U30" i="48" s="1"/>
  <c r="P30" i="48"/>
  <c r="Q30" i="48" s="1"/>
  <c r="A31" i="48"/>
  <c r="B30" i="48"/>
  <c r="T25" i="47"/>
  <c r="U25" i="47" s="1"/>
  <c r="P25" i="47"/>
  <c r="Q25" i="47" s="1"/>
  <c r="L25" i="47"/>
  <c r="M25" i="47" s="1"/>
  <c r="A26" i="47"/>
  <c r="B25" i="47"/>
  <c r="T20" i="46"/>
  <c r="U20" i="46" s="1"/>
  <c r="P20" i="46"/>
  <c r="Q20" i="46" s="1"/>
  <c r="L20" i="46"/>
  <c r="M20" i="46" s="1"/>
  <c r="H20" i="46"/>
  <c r="I20" i="46" s="1"/>
  <c r="D20" i="46"/>
  <c r="E20" i="46" s="1"/>
  <c r="A21" i="46"/>
  <c r="B20" i="46"/>
  <c r="T15" i="45"/>
  <c r="U15" i="45" s="1"/>
  <c r="P15" i="45"/>
  <c r="Q15" i="45" s="1"/>
  <c r="L15" i="45"/>
  <c r="M15" i="45" s="1"/>
  <c r="H15" i="45"/>
  <c r="I15" i="45" s="1"/>
  <c r="D15" i="45"/>
  <c r="E15" i="45" s="1"/>
  <c r="A16" i="45"/>
  <c r="B15" i="45"/>
  <c r="T10" i="44"/>
  <c r="U10" i="44" s="1"/>
  <c r="P10" i="44"/>
  <c r="Q10" i="44" s="1"/>
  <c r="L10" i="44"/>
  <c r="M10" i="44" s="1"/>
  <c r="H10" i="44"/>
  <c r="I10" i="44" s="1"/>
  <c r="D10" i="44"/>
  <c r="E10" i="44" s="1"/>
  <c r="A11" i="44"/>
  <c r="B10" i="44"/>
  <c r="P5" i="43"/>
  <c r="Q5" i="43" s="1"/>
  <c r="L5" i="43"/>
  <c r="M5" i="43" s="1"/>
  <c r="H5" i="43"/>
  <c r="I5" i="43" s="1"/>
  <c r="D5" i="43"/>
  <c r="E5" i="43" s="1"/>
  <c r="A6" i="43"/>
  <c r="B5" i="43"/>
  <c r="V29" i="48"/>
  <c r="R19" i="46"/>
  <c r="V14" i="45"/>
  <c r="I1727" i="49"/>
  <c r="I1913" i="49"/>
  <c r="I2123" i="49"/>
  <c r="I2083" i="49"/>
  <c r="I1710" i="49"/>
  <c r="N5" i="43"/>
  <c r="I2102" i="49"/>
  <c r="F9" i="44"/>
  <c r="I2002" i="49"/>
  <c r="J19" i="46"/>
  <c r="I2239" i="49"/>
  <c r="N9" i="44"/>
  <c r="V19" i="46"/>
  <c r="R9" i="44"/>
  <c r="I1964" i="49"/>
  <c r="F14" i="45"/>
  <c r="I2266" i="49"/>
  <c r="N14" i="45"/>
  <c r="I2150" i="49"/>
  <c r="I1947" i="49"/>
  <c r="J9" i="44"/>
  <c r="I1765" i="49"/>
  <c r="I1827" i="49"/>
  <c r="R14" i="45"/>
  <c r="I2029" i="49"/>
  <c r="I1982" i="49"/>
  <c r="V9" i="44"/>
  <c r="V24" i="47"/>
  <c r="J14" i="45"/>
  <c r="F20" i="46"/>
  <c r="F19" i="46"/>
  <c r="N25" i="47"/>
  <c r="R29" i="48"/>
  <c r="I1745" i="49"/>
  <c r="N24" i="47"/>
  <c r="I1865" i="49"/>
  <c r="R24" i="47"/>
  <c r="I1846" i="49"/>
  <c r="N19" i="46"/>
  <c r="I1886" i="49"/>
  <c r="R5" i="43"/>
  <c r="I1792" i="49"/>
  <c r="A36" i="50" l="1"/>
  <c r="B35" i="50"/>
  <c r="H1866" i="49"/>
  <c r="H1728" i="49"/>
  <c r="H1630" i="49"/>
  <c r="H1887" i="49"/>
  <c r="H1828" i="49"/>
  <c r="H2124" i="49"/>
  <c r="H2030" i="49"/>
  <c r="H2103" i="49"/>
  <c r="H1766" i="49"/>
  <c r="H2267" i="49"/>
  <c r="H1793" i="49"/>
  <c r="H2151" i="49"/>
  <c r="H2240" i="49"/>
  <c r="H1746" i="49"/>
  <c r="H1948" i="49"/>
  <c r="H1914" i="49"/>
  <c r="H2104" i="49"/>
  <c r="H1965" i="49"/>
  <c r="H1651" i="49"/>
  <c r="H2003" i="49"/>
  <c r="H1847" i="49"/>
  <c r="H1949" i="49"/>
  <c r="H1711" i="49"/>
  <c r="H1983" i="49"/>
  <c r="F1847" i="49"/>
  <c r="F1866" i="49"/>
  <c r="F1887" i="49"/>
  <c r="F1914" i="49"/>
  <c r="F2103" i="49"/>
  <c r="F2124" i="49"/>
  <c r="F2151" i="49"/>
  <c r="F1711" i="49"/>
  <c r="F1728" i="49"/>
  <c r="F1746" i="49"/>
  <c r="F1766" i="49"/>
  <c r="F1793" i="49"/>
  <c r="F1948" i="49"/>
  <c r="F1965" i="49"/>
  <c r="F1983" i="49"/>
  <c r="F2003" i="49"/>
  <c r="F2030" i="49"/>
  <c r="F2240" i="49"/>
  <c r="F2267" i="49"/>
  <c r="F1828" i="49"/>
  <c r="T31" i="48"/>
  <c r="U31" i="48" s="1"/>
  <c r="P31" i="48"/>
  <c r="Q31" i="48" s="1"/>
  <c r="A32" i="48"/>
  <c r="B31" i="48"/>
  <c r="T26" i="47"/>
  <c r="U26" i="47" s="1"/>
  <c r="P26" i="47"/>
  <c r="Q26" i="47" s="1"/>
  <c r="A27" i="47"/>
  <c r="B26" i="47"/>
  <c r="T21" i="46"/>
  <c r="U21" i="46" s="1"/>
  <c r="P21" i="46"/>
  <c r="Q21" i="46" s="1"/>
  <c r="L21" i="46"/>
  <c r="M21" i="46" s="1"/>
  <c r="H21" i="46"/>
  <c r="I21" i="46" s="1"/>
  <c r="A22" i="46"/>
  <c r="B21" i="46"/>
  <c r="T16" i="45"/>
  <c r="U16" i="45" s="1"/>
  <c r="P16" i="45"/>
  <c r="Q16" i="45" s="1"/>
  <c r="L16" i="45"/>
  <c r="M16" i="45" s="1"/>
  <c r="H16" i="45"/>
  <c r="I16" i="45" s="1"/>
  <c r="D16" i="45"/>
  <c r="E16" i="45" s="1"/>
  <c r="A17" i="45"/>
  <c r="B16" i="45"/>
  <c r="T11" i="44"/>
  <c r="U11" i="44" s="1"/>
  <c r="P11" i="44"/>
  <c r="Q11" i="44" s="1"/>
  <c r="L11" i="44"/>
  <c r="M11" i="44" s="1"/>
  <c r="H11" i="44"/>
  <c r="I11" i="44" s="1"/>
  <c r="D11" i="44"/>
  <c r="E11" i="44" s="1"/>
  <c r="A12" i="44"/>
  <c r="B11" i="44"/>
  <c r="T6" i="43"/>
  <c r="U6" i="43" s="1"/>
  <c r="P6" i="43"/>
  <c r="Q6" i="43" s="1"/>
  <c r="L6" i="43"/>
  <c r="M6" i="43" s="1"/>
  <c r="H6" i="43"/>
  <c r="I6" i="43" s="1"/>
  <c r="D6" i="43"/>
  <c r="E6" i="43" s="1"/>
  <c r="A7" i="43"/>
  <c r="B6" i="43"/>
  <c r="N10" i="44"/>
  <c r="V15" i="45"/>
  <c r="I2267" i="49"/>
  <c r="I2030" i="49"/>
  <c r="I1948" i="49"/>
  <c r="F15" i="45"/>
  <c r="R10" i="44"/>
  <c r="I2240" i="49"/>
  <c r="I2151" i="49"/>
  <c r="I1746" i="49"/>
  <c r="J20" i="46"/>
  <c r="R20" i="46"/>
  <c r="J10" i="44"/>
  <c r="I1887" i="49"/>
  <c r="R25" i="47"/>
  <c r="I1847" i="49"/>
  <c r="V25" i="47"/>
  <c r="V30" i="48"/>
  <c r="R30" i="48"/>
  <c r="I1766" i="49"/>
  <c r="I1711" i="49"/>
  <c r="I1965" i="49"/>
  <c r="V10" i="44"/>
  <c r="I1793" i="49"/>
  <c r="I2103" i="49"/>
  <c r="I2003" i="49"/>
  <c r="F10" i="44"/>
  <c r="V20" i="46"/>
  <c r="I1866" i="49"/>
  <c r="I1728" i="49"/>
  <c r="I1828" i="49"/>
  <c r="I1983" i="49"/>
  <c r="N20" i="46"/>
  <c r="J15" i="45"/>
  <c r="I1914" i="49"/>
  <c r="I2124" i="49"/>
  <c r="N15" i="45"/>
  <c r="R15" i="45"/>
  <c r="A37" i="50" l="1"/>
  <c r="B36" i="50"/>
  <c r="H2004" i="49"/>
  <c r="H1867" i="49"/>
  <c r="H1794" i="49"/>
  <c r="H1767" i="49"/>
  <c r="H1848" i="49"/>
  <c r="H1984" i="49"/>
  <c r="H1915" i="49"/>
  <c r="H2268" i="49"/>
  <c r="H2241" i="49"/>
  <c r="H1712" i="49"/>
  <c r="H2031" i="49"/>
  <c r="H1966" i="49"/>
  <c r="H2152" i="49"/>
  <c r="H1747" i="49"/>
  <c r="H1729" i="49"/>
  <c r="H1829" i="49"/>
  <c r="H2125" i="49"/>
  <c r="H1888" i="49"/>
  <c r="F1848" i="49"/>
  <c r="F1867" i="49"/>
  <c r="F1888" i="49"/>
  <c r="F1915" i="49"/>
  <c r="F2125" i="49"/>
  <c r="F2152" i="49"/>
  <c r="F1949" i="49"/>
  <c r="F1712" i="49"/>
  <c r="F1729" i="49"/>
  <c r="F1747" i="49"/>
  <c r="F1767" i="49"/>
  <c r="F1794" i="49"/>
  <c r="F1966" i="49"/>
  <c r="F1984" i="49"/>
  <c r="F2004" i="49"/>
  <c r="F2031" i="49"/>
  <c r="F2241" i="49"/>
  <c r="F2268" i="49"/>
  <c r="F2104" i="49"/>
  <c r="F1829" i="49"/>
  <c r="T32" i="48"/>
  <c r="U32" i="48" s="1"/>
  <c r="P32" i="48"/>
  <c r="Q32" i="48" s="1"/>
  <c r="A33" i="48"/>
  <c r="B32" i="48"/>
  <c r="T27" i="47"/>
  <c r="U27" i="47" s="1"/>
  <c r="P27" i="47"/>
  <c r="Q27" i="47" s="1"/>
  <c r="A28" i="47"/>
  <c r="B27" i="47"/>
  <c r="T22" i="46"/>
  <c r="U22" i="46" s="1"/>
  <c r="P22" i="46"/>
  <c r="Q22" i="46" s="1"/>
  <c r="L22" i="46"/>
  <c r="M22" i="46" s="1"/>
  <c r="H22" i="46"/>
  <c r="I22" i="46" s="1"/>
  <c r="A23" i="46"/>
  <c r="B22" i="46"/>
  <c r="T17" i="45"/>
  <c r="U17" i="45" s="1"/>
  <c r="P17" i="45"/>
  <c r="Q17" i="45" s="1"/>
  <c r="L17" i="45"/>
  <c r="M17" i="45" s="1"/>
  <c r="H17" i="45"/>
  <c r="I17" i="45" s="1"/>
  <c r="D17" i="45"/>
  <c r="E17" i="45" s="1"/>
  <c r="A18" i="45"/>
  <c r="B17" i="45"/>
  <c r="T12" i="44"/>
  <c r="U12" i="44" s="1"/>
  <c r="P12" i="44"/>
  <c r="Q12" i="44" s="1"/>
  <c r="L12" i="44"/>
  <c r="M12" i="44" s="1"/>
  <c r="H12" i="44"/>
  <c r="I12" i="44" s="1"/>
  <c r="D12" i="44"/>
  <c r="E12" i="44" s="1"/>
  <c r="A13" i="44"/>
  <c r="B12" i="44"/>
  <c r="H4" i="43"/>
  <c r="I4" i="43" s="1"/>
  <c r="T7" i="43"/>
  <c r="U7" i="43" s="1"/>
  <c r="P7" i="43"/>
  <c r="Q7" i="43" s="1"/>
  <c r="L7" i="43"/>
  <c r="M7" i="43" s="1"/>
  <c r="H7" i="43"/>
  <c r="I7" i="43" s="1"/>
  <c r="D7" i="43"/>
  <c r="E7" i="43" s="1"/>
  <c r="A8" i="43"/>
  <c r="B7" i="43"/>
  <c r="J22" i="46"/>
  <c r="I2241" i="49"/>
  <c r="J16" i="45"/>
  <c r="J5" i="43"/>
  <c r="I1712" i="49"/>
  <c r="V31" i="48"/>
  <c r="R11" i="44"/>
  <c r="F11" i="44"/>
  <c r="I1915" i="49"/>
  <c r="I2152" i="49"/>
  <c r="I1729" i="49"/>
  <c r="N16" i="45"/>
  <c r="I1767" i="49"/>
  <c r="F16" i="45"/>
  <c r="I1949" i="49"/>
  <c r="N11" i="44"/>
  <c r="N6" i="43"/>
  <c r="I1984" i="49"/>
  <c r="J6" i="43"/>
  <c r="I2031" i="49"/>
  <c r="J21" i="46"/>
  <c r="N21" i="46"/>
  <c r="J4" i="43"/>
  <c r="I2004" i="49"/>
  <c r="R21" i="46"/>
  <c r="I1794" i="49"/>
  <c r="J11" i="44"/>
  <c r="R16" i="45"/>
  <c r="I1747" i="49"/>
  <c r="I1829" i="49"/>
  <c r="R32" i="48"/>
  <c r="R31" i="48"/>
  <c r="V21" i="46"/>
  <c r="V16" i="45"/>
  <c r="R26" i="47"/>
  <c r="I2125" i="49"/>
  <c r="I1848" i="49"/>
  <c r="I1867" i="49"/>
  <c r="I2268" i="49"/>
  <c r="V6" i="43"/>
  <c r="I2104" i="49"/>
  <c r="R6" i="43"/>
  <c r="I1888" i="49"/>
  <c r="V26" i="47"/>
  <c r="I1966" i="49"/>
  <c r="V11" i="44"/>
  <c r="F6" i="43"/>
  <c r="A38" i="50" l="1"/>
  <c r="B37" i="50"/>
  <c r="H2005" i="49"/>
  <c r="H1652" i="49"/>
  <c r="H2126" i="49"/>
  <c r="H1968" i="49"/>
  <c r="H1593" i="49"/>
  <c r="H1610" i="49"/>
  <c r="H2243" i="49"/>
  <c r="H1768" i="49"/>
  <c r="H1730" i="49"/>
  <c r="H1713" i="49"/>
  <c r="H1889" i="49"/>
  <c r="H1868" i="49"/>
  <c r="H2032" i="49"/>
  <c r="H1748" i="49"/>
  <c r="H1967" i="49"/>
  <c r="H1612" i="49"/>
  <c r="H1611" i="49"/>
  <c r="H2153" i="49"/>
  <c r="H1916" i="49"/>
  <c r="H1679" i="49"/>
  <c r="H2269" i="49"/>
  <c r="H1795" i="49"/>
  <c r="H1985" i="49"/>
  <c r="H2242" i="49"/>
  <c r="H1830" i="49"/>
  <c r="H1849" i="49"/>
  <c r="H1631" i="49"/>
  <c r="F1593" i="49"/>
  <c r="F1849" i="49"/>
  <c r="F1868" i="49"/>
  <c r="F1889" i="49"/>
  <c r="F1916" i="49"/>
  <c r="F2126" i="49"/>
  <c r="F2153" i="49"/>
  <c r="F1713" i="49"/>
  <c r="F1730" i="49"/>
  <c r="F1748" i="49"/>
  <c r="F1768" i="49"/>
  <c r="F1795" i="49"/>
  <c r="F1967" i="49"/>
  <c r="F1985" i="49"/>
  <c r="F2005" i="49"/>
  <c r="F2032" i="49"/>
  <c r="F2242" i="49"/>
  <c r="F2269" i="49"/>
  <c r="F1830" i="49"/>
  <c r="T33" i="48"/>
  <c r="U33" i="48" s="1"/>
  <c r="A34" i="48"/>
  <c r="B33" i="48"/>
  <c r="T28" i="47"/>
  <c r="U28" i="47" s="1"/>
  <c r="P28" i="47"/>
  <c r="Q28" i="47" s="1"/>
  <c r="A29" i="47"/>
  <c r="B28" i="47"/>
  <c r="T23" i="46"/>
  <c r="U23" i="46" s="1"/>
  <c r="P23" i="46"/>
  <c r="Q23" i="46" s="1"/>
  <c r="L23" i="46"/>
  <c r="M23" i="46" s="1"/>
  <c r="A24" i="46"/>
  <c r="B23" i="46"/>
  <c r="T18" i="45"/>
  <c r="U18" i="45" s="1"/>
  <c r="P18" i="45"/>
  <c r="Q18" i="45" s="1"/>
  <c r="L18" i="45"/>
  <c r="M18" i="45" s="1"/>
  <c r="H18" i="45"/>
  <c r="I18" i="45" s="1"/>
  <c r="D18" i="45"/>
  <c r="E18" i="45" s="1"/>
  <c r="A19" i="45"/>
  <c r="B18" i="45"/>
  <c r="T13" i="44"/>
  <c r="U13" i="44" s="1"/>
  <c r="P13" i="44"/>
  <c r="Q13" i="44" s="1"/>
  <c r="L13" i="44"/>
  <c r="M13" i="44" s="1"/>
  <c r="H13" i="44"/>
  <c r="I13" i="44" s="1"/>
  <c r="D13" i="44"/>
  <c r="E13" i="44" s="1"/>
  <c r="A14" i="44"/>
  <c r="B13" i="44"/>
  <c r="D4" i="43"/>
  <c r="E4" i="43" s="1"/>
  <c r="T8" i="43"/>
  <c r="U8" i="43" s="1"/>
  <c r="P8" i="43"/>
  <c r="Q8" i="43" s="1"/>
  <c r="L8" i="43"/>
  <c r="M8" i="43" s="1"/>
  <c r="H8" i="43"/>
  <c r="I8" i="43" s="1"/>
  <c r="D8" i="43"/>
  <c r="E8" i="43" s="1"/>
  <c r="A9" i="43"/>
  <c r="B8" i="43"/>
  <c r="B4" i="43"/>
  <c r="G13" i="42"/>
  <c r="S11" i="42"/>
  <c r="O8" i="42"/>
  <c r="C18" i="42"/>
  <c r="S15" i="42"/>
  <c r="N22" i="46"/>
  <c r="O26" i="42"/>
  <c r="O15" i="42"/>
  <c r="O30" i="42"/>
  <c r="O28" i="42"/>
  <c r="S32" i="42"/>
  <c r="S28" i="42"/>
  <c r="C12" i="42"/>
  <c r="V7" i="43"/>
  <c r="K12" i="42"/>
  <c r="G14" i="42"/>
  <c r="I2005" i="49"/>
  <c r="S30" i="42"/>
  <c r="O16" i="42"/>
  <c r="C11" i="42"/>
  <c r="F4" i="43"/>
  <c r="I1593" i="49"/>
  <c r="G22" i="42"/>
  <c r="S12" i="42"/>
  <c r="O9" i="42"/>
  <c r="C8" i="42"/>
  <c r="C7" i="42"/>
  <c r="S9" i="42"/>
  <c r="S22" i="42"/>
  <c r="O6" i="42"/>
  <c r="I2032" i="49"/>
  <c r="C6" i="42"/>
  <c r="R7" i="43"/>
  <c r="N12" i="44"/>
  <c r="O13" i="42"/>
  <c r="O12" i="42"/>
  <c r="F5" i="43"/>
  <c r="O22" i="42"/>
  <c r="V32" i="48"/>
  <c r="I2126" i="49"/>
  <c r="G17" i="42"/>
  <c r="I1730" i="49"/>
  <c r="R27" i="47"/>
  <c r="O11" i="42"/>
  <c r="S7" i="42"/>
  <c r="C10" i="42"/>
  <c r="S24" i="42"/>
  <c r="V17" i="45"/>
  <c r="V12" i="44"/>
  <c r="G20" i="42"/>
  <c r="J7" i="43"/>
  <c r="O20" i="42"/>
  <c r="I1967" i="49"/>
  <c r="O7" i="42"/>
  <c r="F12" i="44"/>
  <c r="I1889" i="49"/>
  <c r="S14" i="42"/>
  <c r="I1830" i="49"/>
  <c r="S29" i="42"/>
  <c r="C14" i="42"/>
  <c r="I1985" i="49"/>
  <c r="K16" i="42"/>
  <c r="F7" i="43"/>
  <c r="K14" i="42"/>
  <c r="O19" i="42"/>
  <c r="O18" i="42"/>
  <c r="V33" i="48"/>
  <c r="J17" i="45"/>
  <c r="R12" i="44"/>
  <c r="S33" i="42"/>
  <c r="O14" i="42"/>
  <c r="G18" i="42"/>
  <c r="K11" i="42"/>
  <c r="K21" i="42"/>
  <c r="K10" i="42"/>
  <c r="I1916" i="49"/>
  <c r="G5" i="42"/>
  <c r="O32" i="42"/>
  <c r="S6" i="42"/>
  <c r="G9" i="42"/>
  <c r="O24" i="42"/>
  <c r="O27" i="42"/>
  <c r="C17" i="42"/>
  <c r="K9" i="42"/>
  <c r="S25" i="42"/>
  <c r="O29" i="42"/>
  <c r="G19" i="42"/>
  <c r="S13" i="42"/>
  <c r="J12" i="44"/>
  <c r="R22" i="46"/>
  <c r="I1795" i="49"/>
  <c r="S10" i="42"/>
  <c r="N17" i="45"/>
  <c r="I2242" i="49"/>
  <c r="O17" i="42"/>
  <c r="K8" i="42"/>
  <c r="K22" i="42"/>
  <c r="S16" i="42"/>
  <c r="K24" i="42"/>
  <c r="I1868" i="49"/>
  <c r="S18" i="42"/>
  <c r="S17" i="42"/>
  <c r="R17" i="45"/>
  <c r="O25" i="42"/>
  <c r="C20" i="42"/>
  <c r="G15" i="42"/>
  <c r="G7" i="42"/>
  <c r="O23" i="42"/>
  <c r="C19" i="42"/>
  <c r="G11" i="42"/>
  <c r="K19" i="42"/>
  <c r="I1713" i="49"/>
  <c r="G12" i="42"/>
  <c r="C15" i="42"/>
  <c r="S19" i="42"/>
  <c r="S21" i="42"/>
  <c r="C9" i="42"/>
  <c r="S27" i="42"/>
  <c r="C5" i="42"/>
  <c r="I2269" i="49"/>
  <c r="K17" i="42"/>
  <c r="G16" i="42"/>
  <c r="O10" i="42"/>
  <c r="G10" i="42"/>
  <c r="K13" i="42"/>
  <c r="S31" i="42"/>
  <c r="C16" i="42"/>
  <c r="F17" i="45"/>
  <c r="K5" i="42"/>
  <c r="K15" i="42"/>
  <c r="V27" i="47"/>
  <c r="O21" i="42"/>
  <c r="I2153" i="49"/>
  <c r="G4" i="42"/>
  <c r="O31" i="42"/>
  <c r="K6" i="42"/>
  <c r="K25" i="42"/>
  <c r="S23" i="42"/>
  <c r="K18" i="42"/>
  <c r="K20" i="42"/>
  <c r="G6" i="42"/>
  <c r="I1849" i="49"/>
  <c r="S20" i="42"/>
  <c r="G8" i="42"/>
  <c r="C13" i="42"/>
  <c r="K7" i="42"/>
  <c r="G21" i="42"/>
  <c r="K23" i="42"/>
  <c r="S26" i="42"/>
  <c r="N7" i="43"/>
  <c r="I1768" i="49"/>
  <c r="V22" i="46"/>
  <c r="I1748" i="49"/>
  <c r="S8" i="42"/>
  <c r="A39" i="50" l="1"/>
  <c r="B38" i="50"/>
  <c r="H1731" i="49"/>
  <c r="H2271" i="49"/>
  <c r="H2033" i="49"/>
  <c r="H1850" i="49"/>
  <c r="H1749" i="49"/>
  <c r="H1890" i="49"/>
  <c r="H1613" i="49"/>
  <c r="H1714" i="49"/>
  <c r="H1592" i="49"/>
  <c r="H2006" i="49"/>
  <c r="H2270" i="49"/>
  <c r="H1591" i="49"/>
  <c r="H2154" i="49"/>
  <c r="H1769" i="49"/>
  <c r="H1680" i="49"/>
  <c r="H2127" i="49"/>
  <c r="H1986" i="49"/>
  <c r="H1594" i="49"/>
  <c r="H1917" i="49"/>
  <c r="H1869" i="49"/>
  <c r="H1831" i="49"/>
  <c r="H1796" i="49"/>
  <c r="H1632" i="49"/>
  <c r="H1653" i="49"/>
  <c r="F1610" i="49"/>
  <c r="F1611" i="49"/>
  <c r="F1612" i="49"/>
  <c r="F1613" i="49"/>
  <c r="F1631" i="49"/>
  <c r="F1632" i="49"/>
  <c r="F1651" i="49"/>
  <c r="F1652" i="49"/>
  <c r="F1653" i="49"/>
  <c r="F1679" i="49"/>
  <c r="F1680" i="49"/>
  <c r="F1850" i="49"/>
  <c r="F1869" i="49"/>
  <c r="F1890" i="49"/>
  <c r="F1917" i="49"/>
  <c r="F2127" i="49"/>
  <c r="F2154" i="49"/>
  <c r="F1968" i="49"/>
  <c r="F2243" i="49"/>
  <c r="F1714" i="49"/>
  <c r="F1731" i="49"/>
  <c r="F1749" i="49"/>
  <c r="F1769" i="49"/>
  <c r="F1796" i="49"/>
  <c r="F1986" i="49"/>
  <c r="F2006" i="49"/>
  <c r="F2033" i="49"/>
  <c r="F2270" i="49"/>
  <c r="F1630" i="49"/>
  <c r="F1831" i="49"/>
  <c r="F1594" i="49"/>
  <c r="F1592" i="49"/>
  <c r="F1591" i="49"/>
  <c r="A35" i="48"/>
  <c r="B34" i="48"/>
  <c r="T29" i="47"/>
  <c r="U29" i="47" s="1"/>
  <c r="P29" i="47"/>
  <c r="Q29" i="47" s="1"/>
  <c r="A30" i="47"/>
  <c r="B29" i="47"/>
  <c r="T24" i="46"/>
  <c r="U24" i="46" s="1"/>
  <c r="P24" i="46"/>
  <c r="Q24" i="46" s="1"/>
  <c r="L24" i="46"/>
  <c r="M24" i="46" s="1"/>
  <c r="A25" i="46"/>
  <c r="B24" i="46"/>
  <c r="T19" i="45"/>
  <c r="U19" i="45" s="1"/>
  <c r="P19" i="45"/>
  <c r="Q19" i="45" s="1"/>
  <c r="L19" i="45"/>
  <c r="M19" i="45" s="1"/>
  <c r="H19" i="45"/>
  <c r="I19" i="45" s="1"/>
  <c r="D19" i="45"/>
  <c r="E19" i="45" s="1"/>
  <c r="A20" i="45"/>
  <c r="B19" i="45"/>
  <c r="T14" i="44"/>
  <c r="U14" i="44" s="1"/>
  <c r="P14" i="44"/>
  <c r="Q14" i="44" s="1"/>
  <c r="L14" i="44"/>
  <c r="M14" i="44" s="1"/>
  <c r="H14" i="44"/>
  <c r="I14" i="44" s="1"/>
  <c r="D14" i="44"/>
  <c r="E14" i="44" s="1"/>
  <c r="A15" i="44"/>
  <c r="B14" i="44"/>
  <c r="T9" i="43"/>
  <c r="U9" i="43" s="1"/>
  <c r="P9" i="43"/>
  <c r="Q9" i="43" s="1"/>
  <c r="L9" i="43"/>
  <c r="M9" i="43" s="1"/>
  <c r="H9" i="43"/>
  <c r="I9" i="43" s="1"/>
  <c r="D9" i="43"/>
  <c r="E9" i="43" s="1"/>
  <c r="A10" i="43"/>
  <c r="B9" i="43"/>
  <c r="A5" i="42"/>
  <c r="I1831" i="49"/>
  <c r="I1630" i="49"/>
  <c r="R28" i="47"/>
  <c r="I1613" i="49"/>
  <c r="F13" i="44"/>
  <c r="I1651" i="49"/>
  <c r="V18" i="45"/>
  <c r="I1652" i="49"/>
  <c r="I1890" i="49"/>
  <c r="I1731" i="49"/>
  <c r="N8" i="43"/>
  <c r="I1749" i="49"/>
  <c r="I1680" i="49"/>
  <c r="I1986" i="49"/>
  <c r="J13" i="44"/>
  <c r="I2006" i="49"/>
  <c r="I1612" i="49"/>
  <c r="I1591" i="49"/>
  <c r="V8" i="43"/>
  <c r="I1653" i="49"/>
  <c r="I1631" i="49"/>
  <c r="R13" i="44"/>
  <c r="I1714" i="49"/>
  <c r="I1610" i="49"/>
  <c r="N13" i="44"/>
  <c r="I1850" i="49"/>
  <c r="I1594" i="49"/>
  <c r="I1968" i="49"/>
  <c r="I2127" i="49"/>
  <c r="F18" i="45"/>
  <c r="I2270" i="49"/>
  <c r="V23" i="46"/>
  <c r="N18" i="45"/>
  <c r="R8" i="43"/>
  <c r="I2033" i="49"/>
  <c r="V28" i="47"/>
  <c r="R23" i="46"/>
  <c r="I1917" i="49"/>
  <c r="F8" i="43"/>
  <c r="C4" i="42"/>
  <c r="I1611" i="49"/>
  <c r="N23" i="46"/>
  <c r="J18" i="45"/>
  <c r="I1869" i="49"/>
  <c r="I2154" i="49"/>
  <c r="I1679" i="49"/>
  <c r="R18" i="45"/>
  <c r="I1796" i="49"/>
  <c r="I1769" i="49"/>
  <c r="V13" i="44"/>
  <c r="I1592" i="49"/>
  <c r="J8" i="43"/>
  <c r="I2243" i="49"/>
  <c r="I1632" i="49"/>
  <c r="B39" i="50" l="1"/>
  <c r="A40" i="50"/>
  <c r="H1770" i="49"/>
  <c r="H1797" i="49"/>
  <c r="H1891" i="49"/>
  <c r="H1851" i="49"/>
  <c r="H1681" i="49"/>
  <c r="H1987" i="49"/>
  <c r="H1918" i="49"/>
  <c r="H2128" i="49"/>
  <c r="H1870" i="49"/>
  <c r="H1715" i="49"/>
  <c r="H1832" i="49"/>
  <c r="H2034" i="49"/>
  <c r="H1595" i="49"/>
  <c r="H1732" i="49"/>
  <c r="H2155" i="49"/>
  <c r="H1614" i="49"/>
  <c r="H1654" i="49"/>
  <c r="H1750" i="49"/>
  <c r="H1633" i="49"/>
  <c r="H2007" i="49"/>
  <c r="F1614" i="49"/>
  <c r="F1633" i="49"/>
  <c r="F1654" i="49"/>
  <c r="F1681" i="49"/>
  <c r="F1851" i="49"/>
  <c r="F1870" i="49"/>
  <c r="F1891" i="49"/>
  <c r="F1918" i="49"/>
  <c r="F2128" i="49"/>
  <c r="F2155" i="49"/>
  <c r="F1715" i="49"/>
  <c r="F1732" i="49"/>
  <c r="F1750" i="49"/>
  <c r="F1770" i="49"/>
  <c r="F1797" i="49"/>
  <c r="F1987" i="49"/>
  <c r="F2007" i="49"/>
  <c r="F2034" i="49"/>
  <c r="F2271" i="49"/>
  <c r="F1832" i="49"/>
  <c r="F1595" i="49"/>
  <c r="A36" i="48"/>
  <c r="B35" i="48"/>
  <c r="T30" i="47"/>
  <c r="U30" i="47" s="1"/>
  <c r="P30" i="47"/>
  <c r="Q30" i="47" s="1"/>
  <c r="A31" i="47"/>
  <c r="B30" i="47"/>
  <c r="T25" i="46"/>
  <c r="U25" i="46" s="1"/>
  <c r="P25" i="46"/>
  <c r="Q25" i="46" s="1"/>
  <c r="L25" i="46"/>
  <c r="M25" i="46" s="1"/>
  <c r="A26" i="46"/>
  <c r="B25" i="46"/>
  <c r="T20" i="45"/>
  <c r="U20" i="45" s="1"/>
  <c r="P20" i="45"/>
  <c r="Q20" i="45" s="1"/>
  <c r="L20" i="45"/>
  <c r="M20" i="45" s="1"/>
  <c r="H20" i="45"/>
  <c r="I20" i="45" s="1"/>
  <c r="D20" i="45"/>
  <c r="E20" i="45" s="1"/>
  <c r="A21" i="45"/>
  <c r="B20" i="45"/>
  <c r="T15" i="44"/>
  <c r="U15" i="44" s="1"/>
  <c r="P15" i="44"/>
  <c r="Q15" i="44" s="1"/>
  <c r="L15" i="44"/>
  <c r="M15" i="44" s="1"/>
  <c r="H15" i="44"/>
  <c r="I15" i="44" s="1"/>
  <c r="D15" i="44"/>
  <c r="E15" i="44" s="1"/>
  <c r="A16" i="44"/>
  <c r="B15" i="44"/>
  <c r="T10" i="43"/>
  <c r="U10" i="43" s="1"/>
  <c r="P10" i="43"/>
  <c r="Q10" i="43" s="1"/>
  <c r="L10" i="43"/>
  <c r="M10" i="43" s="1"/>
  <c r="H10" i="43"/>
  <c r="I10" i="43" s="1"/>
  <c r="D10" i="43"/>
  <c r="E10" i="43" s="1"/>
  <c r="A11" i="43"/>
  <c r="B10" i="43"/>
  <c r="L5" i="42"/>
  <c r="M5" i="42" s="1"/>
  <c r="H5" i="42"/>
  <c r="I5" i="42" s="1"/>
  <c r="D5" i="42"/>
  <c r="E5" i="42" s="1"/>
  <c r="A6" i="42"/>
  <c r="B5" i="42"/>
  <c r="J9" i="43"/>
  <c r="J14" i="44"/>
  <c r="I2128" i="49"/>
  <c r="I1614" i="49"/>
  <c r="I1681" i="49"/>
  <c r="R19" i="45"/>
  <c r="I2007" i="49"/>
  <c r="F9" i="43"/>
  <c r="I1750" i="49"/>
  <c r="R24" i="46"/>
  <c r="I1851" i="49"/>
  <c r="N19" i="45"/>
  <c r="I2155" i="49"/>
  <c r="V9" i="43"/>
  <c r="N14" i="44"/>
  <c r="V14" i="44"/>
  <c r="I1654" i="49"/>
  <c r="V29" i="47"/>
  <c r="I1732" i="49"/>
  <c r="I1832" i="49"/>
  <c r="R14" i="44"/>
  <c r="I2034" i="49"/>
  <c r="V24" i="46"/>
  <c r="I1891" i="49"/>
  <c r="I1595" i="49"/>
  <c r="I1797" i="49"/>
  <c r="N9" i="43"/>
  <c r="V19" i="45"/>
  <c r="I1715" i="49"/>
  <c r="I1987" i="49"/>
  <c r="I1918" i="49"/>
  <c r="J19" i="45"/>
  <c r="I1770" i="49"/>
  <c r="I1633" i="49"/>
  <c r="N5" i="42"/>
  <c r="R9" i="43"/>
  <c r="F19" i="45"/>
  <c r="F14" i="44"/>
  <c r="I2271" i="49"/>
  <c r="R29" i="47"/>
  <c r="I1870" i="49"/>
  <c r="N24" i="46"/>
  <c r="N25" i="46"/>
  <c r="A41" i="50" l="1"/>
  <c r="B41" i="50" s="1"/>
  <c r="B40" i="50"/>
  <c r="H1716" i="49"/>
  <c r="H1655" i="49"/>
  <c r="H1892" i="49"/>
  <c r="H1596" i="49"/>
  <c r="H1871" i="49"/>
  <c r="H2156" i="49"/>
  <c r="H1833" i="49"/>
  <c r="H2008" i="49"/>
  <c r="H1989" i="49"/>
  <c r="H1733" i="49"/>
  <c r="H1988" i="49"/>
  <c r="H1852" i="49"/>
  <c r="H1615" i="49"/>
  <c r="H1515" i="49"/>
  <c r="H1634" i="49"/>
  <c r="H2129" i="49"/>
  <c r="H1751" i="49"/>
  <c r="H1919" i="49"/>
  <c r="H2035" i="49"/>
  <c r="H1771" i="49"/>
  <c r="H1798" i="49"/>
  <c r="H1682" i="49"/>
  <c r="F1615" i="49"/>
  <c r="F1634" i="49"/>
  <c r="F1655" i="49"/>
  <c r="F1682" i="49"/>
  <c r="F1852" i="49"/>
  <c r="F1871" i="49"/>
  <c r="F1892" i="49"/>
  <c r="F1919" i="49"/>
  <c r="F2129" i="49"/>
  <c r="F2156" i="49"/>
  <c r="F1716" i="49"/>
  <c r="F1733" i="49"/>
  <c r="F1751" i="49"/>
  <c r="F1771" i="49"/>
  <c r="F1798" i="49"/>
  <c r="F1988" i="49"/>
  <c r="F2008" i="49"/>
  <c r="F2035" i="49"/>
  <c r="F1833" i="49"/>
  <c r="F1596" i="49"/>
  <c r="A37" i="48"/>
  <c r="B36" i="48"/>
  <c r="T31" i="47"/>
  <c r="U31" i="47" s="1"/>
  <c r="P31" i="47"/>
  <c r="Q31" i="47" s="1"/>
  <c r="A32" i="47"/>
  <c r="B31" i="47"/>
  <c r="T26" i="46"/>
  <c r="U26" i="46" s="1"/>
  <c r="P26" i="46"/>
  <c r="Q26" i="46" s="1"/>
  <c r="A27" i="46"/>
  <c r="B26" i="46"/>
  <c r="T21" i="45"/>
  <c r="U21" i="45" s="1"/>
  <c r="P21" i="45"/>
  <c r="Q21" i="45" s="1"/>
  <c r="L21" i="45"/>
  <c r="M21" i="45" s="1"/>
  <c r="H21" i="45"/>
  <c r="I21" i="45" s="1"/>
  <c r="D21" i="45"/>
  <c r="E21" i="45" s="1"/>
  <c r="A22" i="45"/>
  <c r="B21" i="45"/>
  <c r="T16" i="44"/>
  <c r="U16" i="44" s="1"/>
  <c r="P16" i="44"/>
  <c r="Q16" i="44" s="1"/>
  <c r="L16" i="44"/>
  <c r="M16" i="44" s="1"/>
  <c r="H16" i="44"/>
  <c r="I16" i="44" s="1"/>
  <c r="D16" i="44"/>
  <c r="E16" i="44" s="1"/>
  <c r="A17" i="44"/>
  <c r="B16" i="44"/>
  <c r="T11" i="43"/>
  <c r="U11" i="43" s="1"/>
  <c r="P11" i="43"/>
  <c r="Q11" i="43" s="1"/>
  <c r="L11" i="43"/>
  <c r="M11" i="43" s="1"/>
  <c r="H11" i="43"/>
  <c r="I11" i="43" s="1"/>
  <c r="D11" i="43"/>
  <c r="E11" i="43" s="1"/>
  <c r="A12" i="43"/>
  <c r="B11" i="43"/>
  <c r="T6" i="42"/>
  <c r="U6" i="42" s="1"/>
  <c r="P6" i="42"/>
  <c r="Q6" i="42" s="1"/>
  <c r="L6" i="42"/>
  <c r="M6" i="42" s="1"/>
  <c r="H6" i="42"/>
  <c r="I6" i="42" s="1"/>
  <c r="D6" i="42"/>
  <c r="E6" i="42" s="1"/>
  <c r="A7" i="42"/>
  <c r="B6" i="42"/>
  <c r="I1716" i="49"/>
  <c r="R25" i="46"/>
  <c r="I2008" i="49"/>
  <c r="I1919" i="49"/>
  <c r="J15" i="44"/>
  <c r="I1988" i="49"/>
  <c r="I1682" i="49"/>
  <c r="V20" i="45"/>
  <c r="R6" i="42"/>
  <c r="R31" i="47"/>
  <c r="F10" i="43"/>
  <c r="V15" i="44"/>
  <c r="I1596" i="49"/>
  <c r="I1634" i="49"/>
  <c r="I1655" i="49"/>
  <c r="I1798" i="49"/>
  <c r="I2035" i="49"/>
  <c r="I1615" i="49"/>
  <c r="R15" i="44"/>
  <c r="J10" i="43"/>
  <c r="I1871" i="49"/>
  <c r="I1751" i="49"/>
  <c r="I2156" i="49"/>
  <c r="V30" i="47"/>
  <c r="I2129" i="49"/>
  <c r="F15" i="44"/>
  <c r="V6" i="42"/>
  <c r="F20" i="45"/>
  <c r="V10" i="43"/>
  <c r="N20" i="45"/>
  <c r="N10" i="43"/>
  <c r="R30" i="47"/>
  <c r="I1733" i="49"/>
  <c r="I1833" i="49"/>
  <c r="R20" i="45"/>
  <c r="N15" i="44"/>
  <c r="I1892" i="49"/>
  <c r="I1852" i="49"/>
  <c r="J20" i="45"/>
  <c r="V25" i="46"/>
  <c r="R10" i="43"/>
  <c r="I1771" i="49"/>
  <c r="H1597" i="49" l="1"/>
  <c r="H1872" i="49"/>
  <c r="H1635" i="49"/>
  <c r="H1853" i="49"/>
  <c r="H2157" i="49"/>
  <c r="H2009" i="49"/>
  <c r="H1683" i="49"/>
  <c r="H2130" i="49"/>
  <c r="H1772" i="49"/>
  <c r="H1656" i="49"/>
  <c r="H1536" i="49"/>
  <c r="H1834" i="49"/>
  <c r="H1893" i="49"/>
  <c r="H1752" i="49"/>
  <c r="H1734" i="49"/>
  <c r="H1920" i="49"/>
  <c r="H1563" i="49"/>
  <c r="H2131" i="49"/>
  <c r="H2036" i="49"/>
  <c r="H1799" i="49"/>
  <c r="H1616" i="49"/>
  <c r="H1717" i="49"/>
  <c r="F1616" i="49"/>
  <c r="F1635" i="49"/>
  <c r="F1656" i="49"/>
  <c r="F1683" i="49"/>
  <c r="F1853" i="49"/>
  <c r="F1872" i="49"/>
  <c r="F1893" i="49"/>
  <c r="F1920" i="49"/>
  <c r="F2130" i="49"/>
  <c r="F2157" i="49"/>
  <c r="F1989" i="49"/>
  <c r="F1717" i="49"/>
  <c r="F1734" i="49"/>
  <c r="F1752" i="49"/>
  <c r="F1772" i="49"/>
  <c r="F1799" i="49"/>
  <c r="F2009" i="49"/>
  <c r="F2036" i="49"/>
  <c r="F1834" i="49"/>
  <c r="F1597" i="49"/>
  <c r="A38" i="48"/>
  <c r="B37" i="48"/>
  <c r="T32" i="47"/>
  <c r="U32" i="47" s="1"/>
  <c r="A33" i="47"/>
  <c r="B32" i="47"/>
  <c r="T27" i="46"/>
  <c r="U27" i="46" s="1"/>
  <c r="P27" i="46"/>
  <c r="Q27" i="46" s="1"/>
  <c r="A28" i="46"/>
  <c r="B27" i="46"/>
  <c r="T22" i="45"/>
  <c r="U22" i="45" s="1"/>
  <c r="P22" i="45"/>
  <c r="Q22" i="45" s="1"/>
  <c r="L22" i="45"/>
  <c r="M22" i="45" s="1"/>
  <c r="H22" i="45"/>
  <c r="I22" i="45" s="1"/>
  <c r="D22" i="45"/>
  <c r="E22" i="45" s="1"/>
  <c r="A23" i="45"/>
  <c r="B22" i="45"/>
  <c r="T17" i="44"/>
  <c r="U17" i="44" s="1"/>
  <c r="P17" i="44"/>
  <c r="Q17" i="44" s="1"/>
  <c r="L17" i="44"/>
  <c r="M17" i="44" s="1"/>
  <c r="H17" i="44"/>
  <c r="I17" i="44" s="1"/>
  <c r="D17" i="44"/>
  <c r="E17" i="44" s="1"/>
  <c r="A18" i="44"/>
  <c r="B17" i="44"/>
  <c r="T12" i="43"/>
  <c r="U12" i="43" s="1"/>
  <c r="P12" i="43"/>
  <c r="Q12" i="43" s="1"/>
  <c r="L12" i="43"/>
  <c r="M12" i="43" s="1"/>
  <c r="H12" i="43"/>
  <c r="I12" i="43" s="1"/>
  <c r="D12" i="43"/>
  <c r="E12" i="43" s="1"/>
  <c r="A13" i="43"/>
  <c r="B12" i="43"/>
  <c r="H4" i="42"/>
  <c r="I4" i="42" s="1"/>
  <c r="T7" i="42"/>
  <c r="U7" i="42" s="1"/>
  <c r="P7" i="42"/>
  <c r="Q7" i="42" s="1"/>
  <c r="L7" i="42"/>
  <c r="M7" i="42" s="1"/>
  <c r="H7" i="42"/>
  <c r="I7" i="42" s="1"/>
  <c r="D7" i="42"/>
  <c r="E7" i="42" s="1"/>
  <c r="A8" i="42"/>
  <c r="B7" i="42"/>
  <c r="I1597" i="49"/>
  <c r="I1920" i="49"/>
  <c r="V32" i="47"/>
  <c r="I1656" i="49"/>
  <c r="F11" i="43"/>
  <c r="R11" i="43"/>
  <c r="I1717" i="49"/>
  <c r="J5" i="42"/>
  <c r="I1616" i="49"/>
  <c r="I1989" i="49"/>
  <c r="I2157" i="49"/>
  <c r="V26" i="46"/>
  <c r="I2036" i="49"/>
  <c r="I1872" i="49"/>
  <c r="J4" i="42"/>
  <c r="F16" i="44"/>
  <c r="F22" i="45"/>
  <c r="I2009" i="49"/>
  <c r="F21" i="45"/>
  <c r="N11" i="43"/>
  <c r="V21" i="45"/>
  <c r="I1799" i="49"/>
  <c r="I1772" i="49"/>
  <c r="J11" i="43"/>
  <c r="I1853" i="49"/>
  <c r="I1683" i="49"/>
  <c r="R16" i="44"/>
  <c r="J16" i="44"/>
  <c r="J21" i="45"/>
  <c r="I2130" i="49"/>
  <c r="V11" i="43"/>
  <c r="R21" i="45"/>
  <c r="J6" i="42"/>
  <c r="N21" i="45"/>
  <c r="N16" i="44"/>
  <c r="V31" i="47"/>
  <c r="I1893" i="49"/>
  <c r="I1752" i="49"/>
  <c r="R26" i="46"/>
  <c r="N6" i="42"/>
  <c r="F6" i="42"/>
  <c r="V16" i="44"/>
  <c r="I1635" i="49"/>
  <c r="I1734" i="49"/>
  <c r="I1834" i="49"/>
  <c r="H1498" i="49" l="1"/>
  <c r="H1598" i="49"/>
  <c r="H1636" i="49"/>
  <c r="H1854" i="49"/>
  <c r="H2010" i="49"/>
  <c r="H1617" i="49"/>
  <c r="H2158" i="49"/>
  <c r="H1735" i="49"/>
  <c r="H1773" i="49"/>
  <c r="H1921" i="49"/>
  <c r="H1497" i="49"/>
  <c r="H1753" i="49"/>
  <c r="H1657" i="49"/>
  <c r="H1836" i="49"/>
  <c r="H1894" i="49"/>
  <c r="H1718" i="49"/>
  <c r="H1835" i="49"/>
  <c r="H2159" i="49"/>
  <c r="H1481" i="49"/>
  <c r="H2037" i="49"/>
  <c r="H1800" i="49"/>
  <c r="H1496" i="49"/>
  <c r="H1873" i="49"/>
  <c r="H1684" i="49"/>
  <c r="H1516" i="49"/>
  <c r="F1617" i="49"/>
  <c r="F1636" i="49"/>
  <c r="F1657" i="49"/>
  <c r="F1684" i="49"/>
  <c r="F1854" i="49"/>
  <c r="F1873" i="49"/>
  <c r="F1894" i="49"/>
  <c r="F1921" i="49"/>
  <c r="F2158" i="49"/>
  <c r="F1718" i="49"/>
  <c r="F1735" i="49"/>
  <c r="F1753" i="49"/>
  <c r="F1773" i="49"/>
  <c r="F1800" i="49"/>
  <c r="F2010" i="49"/>
  <c r="F2037" i="49"/>
  <c r="F2131" i="49"/>
  <c r="F1835" i="49"/>
  <c r="F1598" i="49"/>
  <c r="A39" i="48"/>
  <c r="B38" i="48"/>
  <c r="A34" i="47"/>
  <c r="B33" i="47"/>
  <c r="T28" i="46"/>
  <c r="U28" i="46" s="1"/>
  <c r="P28" i="46"/>
  <c r="Q28" i="46" s="1"/>
  <c r="A29" i="46"/>
  <c r="B28" i="46"/>
  <c r="T23" i="45"/>
  <c r="U23" i="45" s="1"/>
  <c r="P23" i="45"/>
  <c r="Q23" i="45" s="1"/>
  <c r="L23" i="45"/>
  <c r="M23" i="45" s="1"/>
  <c r="H23" i="45"/>
  <c r="I23" i="45" s="1"/>
  <c r="A24" i="45"/>
  <c r="B23" i="45"/>
  <c r="T18" i="44"/>
  <c r="U18" i="44" s="1"/>
  <c r="P18" i="44"/>
  <c r="Q18" i="44" s="1"/>
  <c r="L18" i="44"/>
  <c r="M18" i="44" s="1"/>
  <c r="H18" i="44"/>
  <c r="I18" i="44" s="1"/>
  <c r="D18" i="44"/>
  <c r="E18" i="44" s="1"/>
  <c r="A19" i="44"/>
  <c r="B18" i="44"/>
  <c r="T13" i="43"/>
  <c r="U13" i="43" s="1"/>
  <c r="P13" i="43"/>
  <c r="Q13" i="43" s="1"/>
  <c r="L13" i="43"/>
  <c r="M13" i="43" s="1"/>
  <c r="H13" i="43"/>
  <c r="I13" i="43" s="1"/>
  <c r="D13" i="43"/>
  <c r="E13" i="43" s="1"/>
  <c r="A14" i="43"/>
  <c r="B13" i="43"/>
  <c r="D4" i="42"/>
  <c r="E4" i="42" s="1"/>
  <c r="T8" i="42"/>
  <c r="U8" i="42" s="1"/>
  <c r="P8" i="42"/>
  <c r="Q8" i="42" s="1"/>
  <c r="L8" i="42"/>
  <c r="M8" i="42" s="1"/>
  <c r="H8" i="42"/>
  <c r="I8" i="42" s="1"/>
  <c r="D8" i="42"/>
  <c r="E8" i="42" s="1"/>
  <c r="A9" i="42"/>
  <c r="B8" i="42"/>
  <c r="B4" i="42"/>
  <c r="F17" i="44"/>
  <c r="K14" i="41"/>
  <c r="S9" i="41"/>
  <c r="C16" i="41"/>
  <c r="S10" i="41"/>
  <c r="S32" i="41"/>
  <c r="O9" i="41"/>
  <c r="G17" i="41"/>
  <c r="G21" i="41"/>
  <c r="S7" i="41"/>
  <c r="J7" i="42"/>
  <c r="I1753" i="49"/>
  <c r="I2037" i="49"/>
  <c r="C17" i="41"/>
  <c r="S13" i="41"/>
  <c r="C7" i="41"/>
  <c r="O27" i="41"/>
  <c r="G19" i="41"/>
  <c r="K21" i="41"/>
  <c r="V27" i="46"/>
  <c r="G16" i="41"/>
  <c r="V12" i="43"/>
  <c r="I1873" i="49"/>
  <c r="S17" i="41"/>
  <c r="S18" i="41"/>
  <c r="F4" i="42"/>
  <c r="G9" i="41"/>
  <c r="S25" i="41"/>
  <c r="C10" i="41"/>
  <c r="C22" i="41"/>
  <c r="I1835" i="49"/>
  <c r="S11" i="41"/>
  <c r="O7" i="41"/>
  <c r="J17" i="44"/>
  <c r="C12" i="41"/>
  <c r="I1718" i="49"/>
  <c r="I1684" i="49"/>
  <c r="I2010" i="49"/>
  <c r="F7" i="42"/>
  <c r="R7" i="42"/>
  <c r="C8" i="41"/>
  <c r="K12" i="41"/>
  <c r="S6" i="41"/>
  <c r="O23" i="41"/>
  <c r="K16" i="41"/>
  <c r="K25" i="41"/>
  <c r="O8" i="41"/>
  <c r="G6" i="41"/>
  <c r="V7" i="42"/>
  <c r="S19" i="41"/>
  <c r="O10" i="41"/>
  <c r="O28" i="41"/>
  <c r="I1657" i="49"/>
  <c r="G8" i="41"/>
  <c r="J23" i="45"/>
  <c r="G15" i="41"/>
  <c r="N17" i="44"/>
  <c r="C6" i="41"/>
  <c r="S31" i="41"/>
  <c r="I1894" i="49"/>
  <c r="S29" i="41"/>
  <c r="K17" i="41"/>
  <c r="S12" i="41"/>
  <c r="O21" i="41"/>
  <c r="K9" i="41"/>
  <c r="S14" i="41"/>
  <c r="R12" i="43"/>
  <c r="O20" i="41"/>
  <c r="C11" i="41"/>
  <c r="K23" i="41"/>
  <c r="O16" i="41"/>
  <c r="O11" i="41"/>
  <c r="O5" i="41"/>
  <c r="K7" i="41"/>
  <c r="S8" i="41"/>
  <c r="R17" i="44"/>
  <c r="I1598" i="49"/>
  <c r="O19" i="41"/>
  <c r="K15" i="41"/>
  <c r="S15" i="41"/>
  <c r="S30" i="41"/>
  <c r="N12" i="43"/>
  <c r="S21" i="41"/>
  <c r="R27" i="46"/>
  <c r="I1636" i="49"/>
  <c r="S22" i="41"/>
  <c r="V22" i="45"/>
  <c r="G4" i="41"/>
  <c r="N7" i="42"/>
  <c r="O15" i="41"/>
  <c r="I2158" i="49"/>
  <c r="O14" i="41"/>
  <c r="F12" i="43"/>
  <c r="K22" i="41"/>
  <c r="I1800" i="49"/>
  <c r="K10" i="41"/>
  <c r="O22" i="41"/>
  <c r="O6" i="41"/>
  <c r="C21" i="41"/>
  <c r="I1773" i="49"/>
  <c r="S20" i="41"/>
  <c r="K13" i="41"/>
  <c r="K11" i="41"/>
  <c r="G12" i="41"/>
  <c r="J22" i="45"/>
  <c r="K6" i="41"/>
  <c r="K8" i="41"/>
  <c r="C19" i="41"/>
  <c r="G20" i="41"/>
  <c r="I1735" i="49"/>
  <c r="O30" i="41"/>
  <c r="S23" i="41"/>
  <c r="K24" i="41"/>
  <c r="O26" i="41"/>
  <c r="C9" i="41"/>
  <c r="C18" i="41"/>
  <c r="J12" i="43"/>
  <c r="K20" i="41"/>
  <c r="O18" i="41"/>
  <c r="G22" i="41"/>
  <c r="G18" i="41"/>
  <c r="C20" i="41"/>
  <c r="R22" i="45"/>
  <c r="K5" i="41"/>
  <c r="C14" i="41"/>
  <c r="O29" i="41"/>
  <c r="G11" i="41"/>
  <c r="S28" i="41"/>
  <c r="I1617" i="49"/>
  <c r="O17" i="41"/>
  <c r="O12" i="41"/>
  <c r="O24" i="41"/>
  <c r="K18" i="41"/>
  <c r="O31" i="41"/>
  <c r="C13" i="41"/>
  <c r="G10" i="41"/>
  <c r="G14" i="41"/>
  <c r="K19" i="41"/>
  <c r="S26" i="41"/>
  <c r="G23" i="41"/>
  <c r="S24" i="41"/>
  <c r="S27" i="41"/>
  <c r="O13" i="41"/>
  <c r="G5" i="41"/>
  <c r="C15" i="41"/>
  <c r="S16" i="41"/>
  <c r="F5" i="42"/>
  <c r="C5" i="41"/>
  <c r="G7" i="41"/>
  <c r="I1921" i="49"/>
  <c r="G13" i="41"/>
  <c r="V17" i="44"/>
  <c r="O25" i="41"/>
  <c r="I2131" i="49"/>
  <c r="I1854" i="49"/>
  <c r="N22" i="45"/>
  <c r="H1855" i="49" l="1"/>
  <c r="H1719" i="49"/>
  <c r="H1685" i="49"/>
  <c r="H1736" i="49"/>
  <c r="H1801" i="49"/>
  <c r="H2038" i="49"/>
  <c r="H1922" i="49"/>
  <c r="H1564" i="49"/>
  <c r="H1479" i="49"/>
  <c r="H1599" i="49"/>
  <c r="H1517" i="49"/>
  <c r="H1499" i="49"/>
  <c r="H1774" i="49"/>
  <c r="H1856" i="49"/>
  <c r="H1754" i="49"/>
  <c r="H1482" i="49"/>
  <c r="H1618" i="49"/>
  <c r="H1480" i="49"/>
  <c r="H1537" i="49"/>
  <c r="H1874" i="49"/>
  <c r="H2011" i="49"/>
  <c r="H1895" i="49"/>
  <c r="H1658" i="49"/>
  <c r="H1637" i="49"/>
  <c r="F1618" i="49"/>
  <c r="F1637" i="49"/>
  <c r="F1658" i="49"/>
  <c r="F1685" i="49"/>
  <c r="F1855" i="49"/>
  <c r="F1874" i="49"/>
  <c r="F1895" i="49"/>
  <c r="F1922" i="49"/>
  <c r="F2159" i="49"/>
  <c r="F1515" i="49"/>
  <c r="F1536" i="49"/>
  <c r="F1481" i="49"/>
  <c r="F1563" i="49"/>
  <c r="F1496" i="49"/>
  <c r="F1497" i="49"/>
  <c r="F1498" i="49"/>
  <c r="F1516" i="49"/>
  <c r="F1482" i="49"/>
  <c r="F1499" i="49"/>
  <c r="F1517" i="49"/>
  <c r="F1537" i="49"/>
  <c r="F1564" i="49"/>
  <c r="F1480" i="49"/>
  <c r="F1479" i="49"/>
  <c r="F1719" i="49"/>
  <c r="F1736" i="49"/>
  <c r="F1754" i="49"/>
  <c r="F1774" i="49"/>
  <c r="F1801" i="49"/>
  <c r="F2011" i="49"/>
  <c r="F2038" i="49"/>
  <c r="F1836" i="49"/>
  <c r="F1599" i="49"/>
  <c r="A40" i="48"/>
  <c r="B39" i="48"/>
  <c r="A35" i="47"/>
  <c r="B34" i="47"/>
  <c r="T29" i="46"/>
  <c r="U29" i="46" s="1"/>
  <c r="P29" i="46"/>
  <c r="Q29" i="46" s="1"/>
  <c r="A30" i="46"/>
  <c r="B29" i="46"/>
  <c r="T24" i="45"/>
  <c r="U24" i="45" s="1"/>
  <c r="P24" i="45"/>
  <c r="Q24" i="45" s="1"/>
  <c r="L24" i="45"/>
  <c r="M24" i="45" s="1"/>
  <c r="A25" i="45"/>
  <c r="B24" i="45"/>
  <c r="T19" i="44"/>
  <c r="U19" i="44" s="1"/>
  <c r="P19" i="44"/>
  <c r="Q19" i="44" s="1"/>
  <c r="L19" i="44"/>
  <c r="M19" i="44" s="1"/>
  <c r="H19" i="44"/>
  <c r="I19" i="44" s="1"/>
  <c r="D19" i="44"/>
  <c r="E19" i="44" s="1"/>
  <c r="A20" i="44"/>
  <c r="B19" i="44"/>
  <c r="T14" i="43"/>
  <c r="U14" i="43" s="1"/>
  <c r="P14" i="43"/>
  <c r="Q14" i="43" s="1"/>
  <c r="L14" i="43"/>
  <c r="M14" i="43" s="1"/>
  <c r="H14" i="43"/>
  <c r="I14" i="43" s="1"/>
  <c r="D14" i="43"/>
  <c r="E14" i="43" s="1"/>
  <c r="A15" i="43"/>
  <c r="B14" i="43"/>
  <c r="T9" i="42"/>
  <c r="U9" i="42" s="1"/>
  <c r="P9" i="42"/>
  <c r="Q9" i="42" s="1"/>
  <c r="L9" i="42"/>
  <c r="M9" i="42" s="1"/>
  <c r="H9" i="42"/>
  <c r="I9" i="42" s="1"/>
  <c r="D9" i="42"/>
  <c r="E9" i="42" s="1"/>
  <c r="A10" i="42"/>
  <c r="B9" i="42"/>
  <c r="A5" i="41"/>
  <c r="A6" i="41" s="1"/>
  <c r="B4" i="41"/>
  <c r="A5" i="40"/>
  <c r="I1536" i="49"/>
  <c r="S27" i="40"/>
  <c r="I1564" i="49"/>
  <c r="R8" i="42"/>
  <c r="C14" i="40"/>
  <c r="S24" i="40"/>
  <c r="S31" i="40"/>
  <c r="R23" i="45"/>
  <c r="O18" i="40"/>
  <c r="K12" i="40"/>
  <c r="K6" i="40"/>
  <c r="O31" i="40"/>
  <c r="K19" i="40"/>
  <c r="S21" i="40"/>
  <c r="I1499" i="49"/>
  <c r="C10" i="40"/>
  <c r="O29" i="40"/>
  <c r="I1482" i="49"/>
  <c r="G20" i="40"/>
  <c r="I1658" i="49"/>
  <c r="S15" i="40"/>
  <c r="K21" i="40"/>
  <c r="S19" i="40"/>
  <c r="S23" i="40"/>
  <c r="G10" i="40"/>
  <c r="K17" i="40"/>
  <c r="O26" i="40"/>
  <c r="J18" i="44"/>
  <c r="S8" i="40"/>
  <c r="O16" i="40"/>
  <c r="C8" i="40"/>
  <c r="K13" i="40"/>
  <c r="I1754" i="49"/>
  <c r="I1618" i="49"/>
  <c r="G8" i="40"/>
  <c r="J13" i="43"/>
  <c r="I1515" i="49"/>
  <c r="O32" i="40"/>
  <c r="G15" i="40"/>
  <c r="C6" i="40"/>
  <c r="I2038" i="49"/>
  <c r="K9" i="40"/>
  <c r="I1537" i="49"/>
  <c r="C4" i="41"/>
  <c r="I1895" i="49"/>
  <c r="I2011" i="49"/>
  <c r="G16" i="40"/>
  <c r="I1516" i="49"/>
  <c r="C12" i="40"/>
  <c r="O12" i="40"/>
  <c r="O30" i="40"/>
  <c r="K16" i="40"/>
  <c r="I1922" i="49"/>
  <c r="G22" i="40"/>
  <c r="O24" i="40"/>
  <c r="I1498" i="49"/>
  <c r="S13" i="40"/>
  <c r="K11" i="40"/>
  <c r="F8" i="42"/>
  <c r="S25" i="40"/>
  <c r="I1736" i="49"/>
  <c r="C17" i="40"/>
  <c r="K15" i="40"/>
  <c r="I1719" i="49"/>
  <c r="I1480" i="49"/>
  <c r="G14" i="40"/>
  <c r="S28" i="40"/>
  <c r="S18" i="40"/>
  <c r="K22" i="40"/>
  <c r="G18" i="40"/>
  <c r="G12" i="40"/>
  <c r="C4" i="40"/>
  <c r="O21" i="40"/>
  <c r="O9" i="40"/>
  <c r="S12" i="40"/>
  <c r="I1481" i="49"/>
  <c r="V23" i="45"/>
  <c r="I1774" i="49"/>
  <c r="C20" i="40"/>
  <c r="N8" i="42"/>
  <c r="C15" i="40"/>
  <c r="K14" i="40"/>
  <c r="K8" i="40"/>
  <c r="C9" i="40"/>
  <c r="S30" i="40"/>
  <c r="K7" i="40"/>
  <c r="S14" i="40"/>
  <c r="O23" i="40"/>
  <c r="I1874" i="49"/>
  <c r="O14" i="40"/>
  <c r="I1496" i="49"/>
  <c r="K24" i="40"/>
  <c r="I1563" i="49"/>
  <c r="S26" i="40"/>
  <c r="S20" i="40"/>
  <c r="G19" i="40"/>
  <c r="S11" i="40"/>
  <c r="I1685" i="49"/>
  <c r="O10" i="40"/>
  <c r="G5" i="40"/>
  <c r="G7" i="40"/>
  <c r="R28" i="46"/>
  <c r="I1497" i="49"/>
  <c r="O6" i="40"/>
  <c r="S22" i="40"/>
  <c r="S7" i="40"/>
  <c r="K10" i="40"/>
  <c r="O20" i="40"/>
  <c r="G4" i="40"/>
  <c r="O27" i="40"/>
  <c r="I1855" i="49"/>
  <c r="N23" i="45"/>
  <c r="I1479" i="49"/>
  <c r="O11" i="40"/>
  <c r="O7" i="40"/>
  <c r="C5" i="40"/>
  <c r="S16" i="40"/>
  <c r="K5" i="40"/>
  <c r="K25" i="40"/>
  <c r="R13" i="43"/>
  <c r="O25" i="40"/>
  <c r="G21" i="40"/>
  <c r="G17" i="40"/>
  <c r="O15" i="40"/>
  <c r="G13" i="40"/>
  <c r="S9" i="40"/>
  <c r="O22" i="40"/>
  <c r="S10" i="40"/>
  <c r="S17" i="40"/>
  <c r="O13" i="40"/>
  <c r="N18" i="44"/>
  <c r="C19" i="40"/>
  <c r="I1637" i="49"/>
  <c r="V28" i="46"/>
  <c r="F18" i="44"/>
  <c r="C7" i="40"/>
  <c r="S32" i="40"/>
  <c r="C16" i="40"/>
  <c r="K23" i="40"/>
  <c r="O8" i="40"/>
  <c r="S29" i="40"/>
  <c r="G11" i="40"/>
  <c r="G6" i="40"/>
  <c r="I1836" i="49"/>
  <c r="O17" i="40"/>
  <c r="J8" i="42"/>
  <c r="N13" i="43"/>
  <c r="S33" i="40"/>
  <c r="S6" i="40"/>
  <c r="C13" i="40"/>
  <c r="I2159" i="49"/>
  <c r="I1801" i="49"/>
  <c r="I1599" i="49"/>
  <c r="K18" i="40"/>
  <c r="I1517" i="49"/>
  <c r="V13" i="43"/>
  <c r="F13" i="43"/>
  <c r="G9" i="40"/>
  <c r="K20" i="40"/>
  <c r="O19" i="40"/>
  <c r="O28" i="40"/>
  <c r="C11" i="40"/>
  <c r="V18" i="44"/>
  <c r="V8" i="42"/>
  <c r="C18" i="40"/>
  <c r="R18" i="44"/>
  <c r="H1775" i="49" l="1"/>
  <c r="H1755" i="49"/>
  <c r="H1600" i="49"/>
  <c r="H2012" i="49"/>
  <c r="H1538" i="49"/>
  <c r="H1518" i="49"/>
  <c r="H1483" i="49"/>
  <c r="H1500" i="49"/>
  <c r="H1737" i="49"/>
  <c r="H1720" i="49"/>
  <c r="H1565" i="49"/>
  <c r="H1638" i="49"/>
  <c r="H1619" i="49"/>
  <c r="H1875" i="49"/>
  <c r="H1802" i="49"/>
  <c r="H1686" i="49"/>
  <c r="H1659" i="49"/>
  <c r="H1923" i="49"/>
  <c r="H1896" i="49"/>
  <c r="H2039" i="49"/>
  <c r="F1619" i="49"/>
  <c r="F1638" i="49"/>
  <c r="F1659" i="49"/>
  <c r="F1686" i="49"/>
  <c r="F1875" i="49"/>
  <c r="F1896" i="49"/>
  <c r="F1923" i="49"/>
  <c r="F1483" i="49"/>
  <c r="F1500" i="49"/>
  <c r="F1518" i="49"/>
  <c r="F1538" i="49"/>
  <c r="F1565" i="49"/>
  <c r="F1720" i="49"/>
  <c r="F1737" i="49"/>
  <c r="F1755" i="49"/>
  <c r="F1775" i="49"/>
  <c r="F1802" i="49"/>
  <c r="F2012" i="49"/>
  <c r="F2039" i="49"/>
  <c r="F1856" i="49"/>
  <c r="F1600" i="49"/>
  <c r="B40" i="48"/>
  <c r="A36" i="47"/>
  <c r="B35" i="47"/>
  <c r="T30" i="46"/>
  <c r="U30" i="46" s="1"/>
  <c r="P30" i="46"/>
  <c r="Q30" i="46" s="1"/>
  <c r="A31" i="46"/>
  <c r="B30" i="46"/>
  <c r="T25" i="45"/>
  <c r="U25" i="45" s="1"/>
  <c r="P25" i="45"/>
  <c r="Q25" i="45" s="1"/>
  <c r="L25" i="45"/>
  <c r="M25" i="45" s="1"/>
  <c r="A26" i="45"/>
  <c r="B25" i="45"/>
  <c r="T20" i="44"/>
  <c r="U20" i="44" s="1"/>
  <c r="P20" i="44"/>
  <c r="Q20" i="44" s="1"/>
  <c r="L20" i="44"/>
  <c r="M20" i="44" s="1"/>
  <c r="H20" i="44"/>
  <c r="I20" i="44" s="1"/>
  <c r="D20" i="44"/>
  <c r="E20" i="44" s="1"/>
  <c r="A21" i="44"/>
  <c r="B20" i="44"/>
  <c r="T15" i="43"/>
  <c r="U15" i="43" s="1"/>
  <c r="P15" i="43"/>
  <c r="Q15" i="43" s="1"/>
  <c r="L15" i="43"/>
  <c r="M15" i="43" s="1"/>
  <c r="H15" i="43"/>
  <c r="I15" i="43" s="1"/>
  <c r="D15" i="43"/>
  <c r="E15" i="43" s="1"/>
  <c r="A16" i="43"/>
  <c r="B15" i="43"/>
  <c r="T10" i="42"/>
  <c r="U10" i="42" s="1"/>
  <c r="P10" i="42"/>
  <c r="Q10" i="42" s="1"/>
  <c r="L10" i="42"/>
  <c r="M10" i="42" s="1"/>
  <c r="H10" i="42"/>
  <c r="I10" i="42" s="1"/>
  <c r="D10" i="42"/>
  <c r="E10" i="42" s="1"/>
  <c r="A11" i="42"/>
  <c r="B10" i="42"/>
  <c r="D4" i="41"/>
  <c r="E4" i="41" s="1"/>
  <c r="H4" i="41"/>
  <c r="I4" i="41" s="1"/>
  <c r="D5" i="41"/>
  <c r="E5" i="41" s="1"/>
  <c r="H5" i="41"/>
  <c r="I5" i="41" s="1"/>
  <c r="L5" i="41"/>
  <c r="M5" i="41" s="1"/>
  <c r="P5" i="41"/>
  <c r="Q5" i="41" s="1"/>
  <c r="D6" i="41"/>
  <c r="E6" i="41" s="1"/>
  <c r="H6" i="41"/>
  <c r="I6" i="41" s="1"/>
  <c r="L6" i="41"/>
  <c r="M6" i="41" s="1"/>
  <c r="P6" i="41"/>
  <c r="Q6" i="41" s="1"/>
  <c r="T6" i="41"/>
  <c r="U6" i="41" s="1"/>
  <c r="A7" i="41"/>
  <c r="B6" i="41"/>
  <c r="B5" i="41"/>
  <c r="L5" i="40"/>
  <c r="M5" i="40" s="1"/>
  <c r="H5" i="40"/>
  <c r="I5" i="40" s="1"/>
  <c r="D5" i="40"/>
  <c r="E5" i="40" s="1"/>
  <c r="A6" i="40"/>
  <c r="B5" i="40"/>
  <c r="N14" i="43"/>
  <c r="I2039" i="49"/>
  <c r="N25" i="45"/>
  <c r="R9" i="42"/>
  <c r="J4" i="41"/>
  <c r="I1500" i="49"/>
  <c r="I1518" i="49"/>
  <c r="N5" i="40"/>
  <c r="I1619" i="49"/>
  <c r="N9" i="42"/>
  <c r="V14" i="43"/>
  <c r="F9" i="42"/>
  <c r="I2012" i="49"/>
  <c r="R14" i="43"/>
  <c r="R5" i="41"/>
  <c r="I1659" i="49"/>
  <c r="J9" i="42"/>
  <c r="I1483" i="49"/>
  <c r="N24" i="45"/>
  <c r="I1802" i="49"/>
  <c r="I1720" i="49"/>
  <c r="J19" i="44"/>
  <c r="V9" i="42"/>
  <c r="I1638" i="49"/>
  <c r="R24" i="45"/>
  <c r="F5" i="41"/>
  <c r="J5" i="41"/>
  <c r="V19" i="44"/>
  <c r="I1686" i="49"/>
  <c r="I1923" i="49"/>
  <c r="I1565" i="49"/>
  <c r="F20" i="44"/>
  <c r="F14" i="43"/>
  <c r="I1856" i="49"/>
  <c r="I1775" i="49"/>
  <c r="F4" i="41"/>
  <c r="I1896" i="49"/>
  <c r="V24" i="45"/>
  <c r="R19" i="44"/>
  <c r="N19" i="44"/>
  <c r="J14" i="43"/>
  <c r="I1875" i="49"/>
  <c r="R29" i="46"/>
  <c r="I1600" i="49"/>
  <c r="I1538" i="49"/>
  <c r="F19" i="44"/>
  <c r="N5" i="41"/>
  <c r="I1755" i="49"/>
  <c r="V29" i="46"/>
  <c r="I1737" i="49"/>
  <c r="H1403" i="49" l="1"/>
  <c r="H1738" i="49"/>
  <c r="H1364" i="49"/>
  <c r="H1288" i="49"/>
  <c r="H1721" i="49"/>
  <c r="H1722" i="49"/>
  <c r="H1877" i="49"/>
  <c r="H1365" i="49"/>
  <c r="H1803" i="49"/>
  <c r="H2013" i="49"/>
  <c r="H1876" i="49"/>
  <c r="H1756" i="49"/>
  <c r="H1601" i="49"/>
  <c r="H2040" i="49"/>
  <c r="H1384" i="49"/>
  <c r="H1501" i="49"/>
  <c r="H1776" i="49"/>
  <c r="H1660" i="49"/>
  <c r="H1620" i="49"/>
  <c r="H1484" i="49"/>
  <c r="H1424" i="49"/>
  <c r="H1897" i="49"/>
  <c r="H1539" i="49"/>
  <c r="H1687" i="49"/>
  <c r="H1924" i="49"/>
  <c r="H1383" i="49"/>
  <c r="H1566" i="49"/>
  <c r="H1639" i="49"/>
  <c r="H1519" i="49"/>
  <c r="F1384" i="49"/>
  <c r="F1383" i="49"/>
  <c r="F1424" i="49"/>
  <c r="F1620" i="49"/>
  <c r="F1639" i="49"/>
  <c r="F1660" i="49"/>
  <c r="F1687" i="49"/>
  <c r="F1876" i="49"/>
  <c r="F1897" i="49"/>
  <c r="F1924" i="49"/>
  <c r="F1484" i="49"/>
  <c r="F1501" i="49"/>
  <c r="F1519" i="49"/>
  <c r="F1539" i="49"/>
  <c r="F1566" i="49"/>
  <c r="F1721" i="49"/>
  <c r="F1738" i="49"/>
  <c r="F1756" i="49"/>
  <c r="F1776" i="49"/>
  <c r="F1803" i="49"/>
  <c r="F2013" i="49"/>
  <c r="F2040" i="49"/>
  <c r="F1403" i="49"/>
  <c r="F1601" i="49"/>
  <c r="F1365" i="49"/>
  <c r="F1364" i="49"/>
  <c r="A37" i="47"/>
  <c r="B36" i="47"/>
  <c r="T31" i="46"/>
  <c r="U31" i="46" s="1"/>
  <c r="P31" i="46"/>
  <c r="Q31" i="46" s="1"/>
  <c r="A32" i="46"/>
  <c r="B31" i="46"/>
  <c r="T26" i="45"/>
  <c r="U26" i="45" s="1"/>
  <c r="P26" i="45"/>
  <c r="Q26" i="45" s="1"/>
  <c r="A27" i="45"/>
  <c r="B26" i="45"/>
  <c r="T21" i="44"/>
  <c r="U21" i="44" s="1"/>
  <c r="P21" i="44"/>
  <c r="Q21" i="44" s="1"/>
  <c r="L21" i="44"/>
  <c r="M21" i="44" s="1"/>
  <c r="H21" i="44"/>
  <c r="I21" i="44" s="1"/>
  <c r="A22" i="44"/>
  <c r="B21" i="44"/>
  <c r="T16" i="43"/>
  <c r="U16" i="43" s="1"/>
  <c r="P16" i="43"/>
  <c r="Q16" i="43" s="1"/>
  <c r="L16" i="43"/>
  <c r="M16" i="43" s="1"/>
  <c r="H16" i="43"/>
  <c r="I16" i="43" s="1"/>
  <c r="D16" i="43"/>
  <c r="E16" i="43" s="1"/>
  <c r="A17" i="43"/>
  <c r="B16" i="43"/>
  <c r="T11" i="42"/>
  <c r="U11" i="42" s="1"/>
  <c r="P11" i="42"/>
  <c r="Q11" i="42" s="1"/>
  <c r="L11" i="42"/>
  <c r="M11" i="42" s="1"/>
  <c r="H11" i="42"/>
  <c r="I11" i="42" s="1"/>
  <c r="D11" i="42"/>
  <c r="E11" i="42" s="1"/>
  <c r="A12" i="42"/>
  <c r="B11" i="42"/>
  <c r="T7" i="41"/>
  <c r="U7" i="41" s="1"/>
  <c r="P7" i="41"/>
  <c r="Q7" i="41" s="1"/>
  <c r="L7" i="41"/>
  <c r="M7" i="41" s="1"/>
  <c r="H7" i="41"/>
  <c r="I7" i="41" s="1"/>
  <c r="D7" i="41"/>
  <c r="E7" i="41" s="1"/>
  <c r="A8" i="41"/>
  <c r="B7" i="41"/>
  <c r="T6" i="40"/>
  <c r="U6" i="40" s="1"/>
  <c r="P6" i="40"/>
  <c r="Q6" i="40" s="1"/>
  <c r="L6" i="40"/>
  <c r="M6" i="40" s="1"/>
  <c r="H6" i="40"/>
  <c r="I6" i="40" s="1"/>
  <c r="D6" i="40"/>
  <c r="E6" i="40" s="1"/>
  <c r="A7" i="40"/>
  <c r="B6" i="40"/>
  <c r="V15" i="43"/>
  <c r="R30" i="46"/>
  <c r="I2040" i="49"/>
  <c r="V20" i="44"/>
  <c r="I1519" i="49"/>
  <c r="I1365" i="49"/>
  <c r="I1403" i="49"/>
  <c r="I1424" i="49"/>
  <c r="I1721" i="49"/>
  <c r="R10" i="42"/>
  <c r="I1539" i="49"/>
  <c r="J6" i="41"/>
  <c r="I1803" i="49"/>
  <c r="I1756" i="49"/>
  <c r="N6" i="41"/>
  <c r="N10" i="42"/>
  <c r="I1687" i="49"/>
  <c r="J10" i="42"/>
  <c r="V6" i="41"/>
  <c r="F10" i="42"/>
  <c r="V10" i="42"/>
  <c r="I1776" i="49"/>
  <c r="V30" i="46"/>
  <c r="I1383" i="49"/>
  <c r="J15" i="43"/>
  <c r="R6" i="41"/>
  <c r="I1364" i="49"/>
  <c r="R6" i="40"/>
  <c r="I2013" i="49"/>
  <c r="I1484" i="49"/>
  <c r="F6" i="41"/>
  <c r="I1897" i="49"/>
  <c r="I1501" i="49"/>
  <c r="I1620" i="49"/>
  <c r="J20" i="44"/>
  <c r="R25" i="45"/>
  <c r="I1876" i="49"/>
  <c r="I1660" i="49"/>
  <c r="I1924" i="49"/>
  <c r="I1566" i="49"/>
  <c r="N15" i="43"/>
  <c r="R20" i="44"/>
  <c r="R15" i="43"/>
  <c r="V6" i="40"/>
  <c r="N20" i="44"/>
  <c r="I1384" i="49"/>
  <c r="F15" i="43"/>
  <c r="V25" i="45"/>
  <c r="I1639" i="49"/>
  <c r="I1738" i="49"/>
  <c r="I1601" i="49"/>
  <c r="H1425" i="49" l="1"/>
  <c r="H1502" i="49"/>
  <c r="H1385" i="49"/>
  <c r="H2041" i="49"/>
  <c r="H2014" i="49"/>
  <c r="H1757" i="49"/>
  <c r="H1739" i="49"/>
  <c r="H1485" i="49"/>
  <c r="H1777" i="49"/>
  <c r="H1621" i="49"/>
  <c r="H1452" i="49"/>
  <c r="H1567" i="49"/>
  <c r="H1804" i="49"/>
  <c r="H1309" i="49"/>
  <c r="H1336" i="49"/>
  <c r="H1520" i="49"/>
  <c r="H1366" i="49"/>
  <c r="H1640" i="49"/>
  <c r="H1602" i="49"/>
  <c r="H1688" i="49"/>
  <c r="H1898" i="49"/>
  <c r="H1925" i="49"/>
  <c r="H1661" i="49"/>
  <c r="H1404" i="49"/>
  <c r="H1540" i="49"/>
  <c r="F1385" i="49"/>
  <c r="F1404" i="49"/>
  <c r="F1425" i="49"/>
  <c r="F1621" i="49"/>
  <c r="F1640" i="49"/>
  <c r="F1661" i="49"/>
  <c r="F1688" i="49"/>
  <c r="F1898" i="49"/>
  <c r="F1925" i="49"/>
  <c r="F1722" i="49"/>
  <c r="F1485" i="49"/>
  <c r="F1502" i="49"/>
  <c r="F1520" i="49"/>
  <c r="F1540" i="49"/>
  <c r="F1567" i="49"/>
  <c r="F1739" i="49"/>
  <c r="F1757" i="49"/>
  <c r="F1777" i="49"/>
  <c r="F1804" i="49"/>
  <c r="F2014" i="49"/>
  <c r="F2041" i="49"/>
  <c r="F1452" i="49"/>
  <c r="F1877" i="49"/>
  <c r="F1602" i="49"/>
  <c r="F1366" i="49"/>
  <c r="A38" i="47"/>
  <c r="B37" i="47"/>
  <c r="T32" i="46"/>
  <c r="U32" i="46" s="1"/>
  <c r="P32" i="46"/>
  <c r="Q32" i="46" s="1"/>
  <c r="A33" i="46"/>
  <c r="B32" i="46"/>
  <c r="T27" i="45"/>
  <c r="U27" i="45" s="1"/>
  <c r="P27" i="45"/>
  <c r="Q27" i="45" s="1"/>
  <c r="A28" i="45"/>
  <c r="B27" i="45"/>
  <c r="T22" i="44"/>
  <c r="U22" i="44" s="1"/>
  <c r="P22" i="44"/>
  <c r="Q22" i="44" s="1"/>
  <c r="L22" i="44"/>
  <c r="M22" i="44" s="1"/>
  <c r="H22" i="44"/>
  <c r="I22" i="44" s="1"/>
  <c r="A23" i="44"/>
  <c r="B22" i="44"/>
  <c r="T17" i="43"/>
  <c r="U17" i="43" s="1"/>
  <c r="P17" i="43"/>
  <c r="Q17" i="43" s="1"/>
  <c r="L17" i="43"/>
  <c r="M17" i="43" s="1"/>
  <c r="H17" i="43"/>
  <c r="I17" i="43" s="1"/>
  <c r="D17" i="43"/>
  <c r="E17" i="43" s="1"/>
  <c r="A18" i="43"/>
  <c r="B17" i="43"/>
  <c r="T12" i="42"/>
  <c r="U12" i="42" s="1"/>
  <c r="P12" i="42"/>
  <c r="Q12" i="42" s="1"/>
  <c r="L12" i="42"/>
  <c r="M12" i="42" s="1"/>
  <c r="H12" i="42"/>
  <c r="I12" i="42" s="1"/>
  <c r="D12" i="42"/>
  <c r="E12" i="42" s="1"/>
  <c r="A13" i="42"/>
  <c r="B12" i="42"/>
  <c r="T8" i="41"/>
  <c r="U8" i="41" s="1"/>
  <c r="P8" i="41"/>
  <c r="Q8" i="41" s="1"/>
  <c r="L8" i="41"/>
  <c r="M8" i="41" s="1"/>
  <c r="H8" i="41"/>
  <c r="I8" i="41" s="1"/>
  <c r="D8" i="41"/>
  <c r="E8" i="41" s="1"/>
  <c r="A9" i="41"/>
  <c r="B8" i="41"/>
  <c r="H4" i="40"/>
  <c r="I4" i="40" s="1"/>
  <c r="T7" i="40"/>
  <c r="U7" i="40" s="1"/>
  <c r="P7" i="40"/>
  <c r="Q7" i="40" s="1"/>
  <c r="L7" i="40"/>
  <c r="M7" i="40" s="1"/>
  <c r="H7" i="40"/>
  <c r="I7" i="40" s="1"/>
  <c r="D7" i="40"/>
  <c r="E7" i="40" s="1"/>
  <c r="A8" i="40"/>
  <c r="B7" i="40"/>
  <c r="R11" i="42"/>
  <c r="I1567" i="49"/>
  <c r="I1898" i="49"/>
  <c r="J6" i="40"/>
  <c r="J5" i="40"/>
  <c r="I1404" i="49"/>
  <c r="R26" i="45"/>
  <c r="I1425" i="49"/>
  <c r="I1452" i="49"/>
  <c r="N7" i="41"/>
  <c r="J11" i="42"/>
  <c r="N16" i="43"/>
  <c r="R16" i="43"/>
  <c r="I2014" i="49"/>
  <c r="I1485" i="49"/>
  <c r="V16" i="43"/>
  <c r="I1877" i="49"/>
  <c r="J7" i="41"/>
  <c r="F16" i="43"/>
  <c r="V21" i="44"/>
  <c r="I1621" i="49"/>
  <c r="I1739" i="49"/>
  <c r="I1757" i="49"/>
  <c r="I1925" i="49"/>
  <c r="F7" i="41"/>
  <c r="I1366" i="49"/>
  <c r="R21" i="44"/>
  <c r="I1640" i="49"/>
  <c r="J22" i="44"/>
  <c r="I1502" i="49"/>
  <c r="R31" i="46"/>
  <c r="I1661" i="49"/>
  <c r="I1688" i="49"/>
  <c r="V11" i="42"/>
  <c r="R32" i="46"/>
  <c r="F6" i="40"/>
  <c r="J16" i="43"/>
  <c r="I1540" i="49"/>
  <c r="I1602" i="49"/>
  <c r="I2041" i="49"/>
  <c r="N11" i="42"/>
  <c r="I1804" i="49"/>
  <c r="I1520" i="49"/>
  <c r="I1385" i="49"/>
  <c r="V26" i="45"/>
  <c r="I1722" i="49"/>
  <c r="J21" i="44"/>
  <c r="F11" i="42"/>
  <c r="N21" i="44"/>
  <c r="J4" i="40"/>
  <c r="I1777" i="49"/>
  <c r="V31" i="46"/>
  <c r="N6" i="40"/>
  <c r="V7" i="41"/>
  <c r="R7" i="41"/>
  <c r="H1689" i="49" l="1"/>
  <c r="H1778" i="49"/>
  <c r="H1805" i="49"/>
  <c r="H1254" i="49"/>
  <c r="H1271" i="49"/>
  <c r="H1899" i="49"/>
  <c r="H1269" i="49"/>
  <c r="H1568" i="49"/>
  <c r="H1541" i="49"/>
  <c r="H1622" i="49"/>
  <c r="H1270" i="49"/>
  <c r="H1521" i="49"/>
  <c r="H1641" i="49"/>
  <c r="H1426" i="49"/>
  <c r="H2016" i="49"/>
  <c r="H1367" i="49"/>
  <c r="H1603" i="49"/>
  <c r="H2015" i="49"/>
  <c r="H1662" i="49"/>
  <c r="H1453" i="49"/>
  <c r="H1758" i="49"/>
  <c r="H1503" i="49"/>
  <c r="H1486" i="49"/>
  <c r="H1405" i="49"/>
  <c r="H1926" i="49"/>
  <c r="H1386" i="49"/>
  <c r="H2042" i="49"/>
  <c r="H1740" i="49"/>
  <c r="H1741" i="49"/>
  <c r="H1289" i="49"/>
  <c r="F1386" i="49"/>
  <c r="F1405" i="49"/>
  <c r="F1426" i="49"/>
  <c r="F1453" i="49"/>
  <c r="F1622" i="49"/>
  <c r="F1641" i="49"/>
  <c r="F1662" i="49"/>
  <c r="F1689" i="49"/>
  <c r="F1899" i="49"/>
  <c r="F1926" i="49"/>
  <c r="F1486" i="49"/>
  <c r="F1503" i="49"/>
  <c r="F1521" i="49"/>
  <c r="F1541" i="49"/>
  <c r="F1568" i="49"/>
  <c r="F1740" i="49"/>
  <c r="F1758" i="49"/>
  <c r="F1778" i="49"/>
  <c r="F1805" i="49"/>
  <c r="F2015" i="49"/>
  <c r="F2042" i="49"/>
  <c r="F1603" i="49"/>
  <c r="F1367" i="49"/>
  <c r="A39" i="47"/>
  <c r="B38" i="47"/>
  <c r="T33" i="46"/>
  <c r="U33" i="46" s="1"/>
  <c r="A34" i="46"/>
  <c r="B33" i="46"/>
  <c r="T28" i="45"/>
  <c r="U28" i="45" s="1"/>
  <c r="P28" i="45"/>
  <c r="Q28" i="45" s="1"/>
  <c r="A29" i="45"/>
  <c r="B28" i="45"/>
  <c r="T23" i="44"/>
  <c r="U23" i="44" s="1"/>
  <c r="P23" i="44"/>
  <c r="Q23" i="44" s="1"/>
  <c r="L23" i="44"/>
  <c r="M23" i="44" s="1"/>
  <c r="A24" i="44"/>
  <c r="B23" i="44"/>
  <c r="T18" i="43"/>
  <c r="U18" i="43" s="1"/>
  <c r="P18" i="43"/>
  <c r="Q18" i="43" s="1"/>
  <c r="L18" i="43"/>
  <c r="M18" i="43" s="1"/>
  <c r="H18" i="43"/>
  <c r="I18" i="43" s="1"/>
  <c r="D18" i="43"/>
  <c r="E18" i="43" s="1"/>
  <c r="A19" i="43"/>
  <c r="B18" i="43"/>
  <c r="T13" i="42"/>
  <c r="U13" i="42" s="1"/>
  <c r="P13" i="42"/>
  <c r="Q13" i="42" s="1"/>
  <c r="L13" i="42"/>
  <c r="M13" i="42" s="1"/>
  <c r="H13" i="42"/>
  <c r="I13" i="42" s="1"/>
  <c r="D13" i="42"/>
  <c r="E13" i="42" s="1"/>
  <c r="A14" i="42"/>
  <c r="B13" i="42"/>
  <c r="T9" i="41"/>
  <c r="U9" i="41" s="1"/>
  <c r="P9" i="41"/>
  <c r="Q9" i="41" s="1"/>
  <c r="L9" i="41"/>
  <c r="M9" i="41" s="1"/>
  <c r="H9" i="41"/>
  <c r="I9" i="41" s="1"/>
  <c r="D9" i="41"/>
  <c r="E9" i="41" s="1"/>
  <c r="A10" i="41"/>
  <c r="B9" i="41"/>
  <c r="D4" i="40"/>
  <c r="E4" i="40" s="1"/>
  <c r="T8" i="40"/>
  <c r="U8" i="40" s="1"/>
  <c r="P8" i="40"/>
  <c r="Q8" i="40" s="1"/>
  <c r="L8" i="40"/>
  <c r="M8" i="40" s="1"/>
  <c r="H8" i="40"/>
  <c r="I8" i="40" s="1"/>
  <c r="D8" i="40"/>
  <c r="E8" i="40" s="1"/>
  <c r="A9" i="40"/>
  <c r="B8" i="40"/>
  <c r="B4" i="40"/>
  <c r="S13" i="39"/>
  <c r="J12" i="42"/>
  <c r="G21" i="39"/>
  <c r="O27" i="39"/>
  <c r="S32" i="39"/>
  <c r="O17" i="39"/>
  <c r="I1386" i="49"/>
  <c r="F8" i="41"/>
  <c r="K14" i="39"/>
  <c r="O15" i="39"/>
  <c r="S31" i="39"/>
  <c r="K18" i="39"/>
  <c r="I1503" i="49"/>
  <c r="C6" i="39"/>
  <c r="I2015" i="49"/>
  <c r="G18" i="39"/>
  <c r="S28" i="39"/>
  <c r="C22" i="39"/>
  <c r="R12" i="42"/>
  <c r="S6" i="39"/>
  <c r="G10" i="39"/>
  <c r="I1641" i="49"/>
  <c r="R22" i="44"/>
  <c r="G19" i="39"/>
  <c r="V7" i="40"/>
  <c r="K16" i="39"/>
  <c r="S7" i="39"/>
  <c r="I1426" i="49"/>
  <c r="C17" i="39"/>
  <c r="C21" i="39"/>
  <c r="I2042" i="49"/>
  <c r="O19" i="39"/>
  <c r="I1405" i="49"/>
  <c r="G11" i="39"/>
  <c r="O7" i="39"/>
  <c r="O9" i="39"/>
  <c r="K23" i="39"/>
  <c r="R17" i="43"/>
  <c r="J17" i="43"/>
  <c r="O8" i="39"/>
  <c r="V12" i="42"/>
  <c r="O26" i="39"/>
  <c r="N22" i="44"/>
  <c r="S20" i="39"/>
  <c r="V33" i="46"/>
  <c r="O16" i="39"/>
  <c r="S17" i="39"/>
  <c r="S29" i="39"/>
  <c r="N17" i="43"/>
  <c r="O21" i="39"/>
  <c r="O13" i="39"/>
  <c r="G22" i="39"/>
  <c r="I1758" i="49"/>
  <c r="K9" i="39"/>
  <c r="K8" i="39"/>
  <c r="K13" i="39"/>
  <c r="O23" i="39"/>
  <c r="C12" i="39"/>
  <c r="O11" i="39"/>
  <c r="F17" i="43"/>
  <c r="O20" i="39"/>
  <c r="K24" i="39"/>
  <c r="G7" i="39"/>
  <c r="G5" i="39"/>
  <c r="C15" i="39"/>
  <c r="G23" i="39"/>
  <c r="S10" i="39"/>
  <c r="J8" i="41"/>
  <c r="K6" i="39"/>
  <c r="C14" i="39"/>
  <c r="S30" i="39"/>
  <c r="V27" i="45"/>
  <c r="K15" i="39"/>
  <c r="N8" i="41"/>
  <c r="O31" i="39"/>
  <c r="C13" i="39"/>
  <c r="C9" i="39"/>
  <c r="I1740" i="49"/>
  <c r="C20" i="39"/>
  <c r="F7" i="40"/>
  <c r="S24" i="39"/>
  <c r="K17" i="39"/>
  <c r="O24" i="39"/>
  <c r="V17" i="43"/>
  <c r="F4" i="40"/>
  <c r="R27" i="45"/>
  <c r="K11" i="39"/>
  <c r="C11" i="39"/>
  <c r="O22" i="39"/>
  <c r="G13" i="39"/>
  <c r="O10" i="39"/>
  <c r="G4" i="39"/>
  <c r="S19" i="39"/>
  <c r="V32" i="46"/>
  <c r="G16" i="39"/>
  <c r="G14" i="39"/>
  <c r="I1899" i="49"/>
  <c r="C5" i="39"/>
  <c r="G9" i="39"/>
  <c r="S27" i="39"/>
  <c r="S25" i="39"/>
  <c r="V22" i="44"/>
  <c r="I1486" i="49"/>
  <c r="K5" i="39"/>
  <c r="C19" i="39"/>
  <c r="J7" i="40"/>
  <c r="S18" i="39"/>
  <c r="C8" i="39"/>
  <c r="N12" i="42"/>
  <c r="O29" i="39"/>
  <c r="R8" i="41"/>
  <c r="I1689" i="49"/>
  <c r="O28" i="39"/>
  <c r="G8" i="39"/>
  <c r="N7" i="40"/>
  <c r="F5" i="40"/>
  <c r="K19" i="39"/>
  <c r="S16" i="39"/>
  <c r="S23" i="39"/>
  <c r="O6" i="39"/>
  <c r="I1541" i="49"/>
  <c r="O30" i="39"/>
  <c r="S14" i="39"/>
  <c r="I1521" i="49"/>
  <c r="S11" i="39"/>
  <c r="O18" i="39"/>
  <c r="K10" i="39"/>
  <c r="K20" i="39"/>
  <c r="F12" i="42"/>
  <c r="C10" i="39"/>
  <c r="V8" i="41"/>
  <c r="K25" i="39"/>
  <c r="K22" i="39"/>
  <c r="I1568" i="49"/>
  <c r="G17" i="39"/>
  <c r="G12" i="39"/>
  <c r="I1662" i="49"/>
  <c r="I1453" i="49"/>
  <c r="I1367" i="49"/>
  <c r="S26" i="39"/>
  <c r="R7" i="40"/>
  <c r="S15" i="39"/>
  <c r="G15" i="39"/>
  <c r="O25" i="39"/>
  <c r="C7" i="39"/>
  <c r="I1926" i="49"/>
  <c r="S9" i="39"/>
  <c r="I1622" i="49"/>
  <c r="C16" i="39"/>
  <c r="S22" i="39"/>
  <c r="K7" i="39"/>
  <c r="O14" i="39"/>
  <c r="S21" i="39"/>
  <c r="S12" i="39"/>
  <c r="I1603" i="49"/>
  <c r="S8" i="39"/>
  <c r="O5" i="39"/>
  <c r="C18" i="39"/>
  <c r="K21" i="39"/>
  <c r="O12" i="39"/>
  <c r="I1778" i="49"/>
  <c r="G6" i="39"/>
  <c r="G20" i="39"/>
  <c r="I1805" i="49"/>
  <c r="K12" i="39"/>
  <c r="H1569" i="49" l="1"/>
  <c r="H1504" i="49"/>
  <c r="H1255" i="49"/>
  <c r="H1272" i="49"/>
  <c r="H1387" i="49"/>
  <c r="H1368" i="49"/>
  <c r="H1406" i="49"/>
  <c r="H1454" i="49"/>
  <c r="H1642" i="49"/>
  <c r="H1927" i="49"/>
  <c r="H1337" i="49"/>
  <c r="H1487" i="49"/>
  <c r="H1604" i="49"/>
  <c r="H1290" i="49"/>
  <c r="H1427" i="49"/>
  <c r="H2043" i="49"/>
  <c r="H1252" i="49"/>
  <c r="H1253" i="49"/>
  <c r="H1759" i="49"/>
  <c r="H1690" i="49"/>
  <c r="H1663" i="49"/>
  <c r="H1623" i="49"/>
  <c r="H1779" i="49"/>
  <c r="H1542" i="49"/>
  <c r="H1900" i="49"/>
  <c r="H1522" i="49"/>
  <c r="H1806" i="49"/>
  <c r="H1310" i="49"/>
  <c r="H2044" i="49"/>
  <c r="F1387" i="49"/>
  <c r="F1406" i="49"/>
  <c r="F1427" i="49"/>
  <c r="F1454" i="49"/>
  <c r="F1623" i="49"/>
  <c r="F1642" i="49"/>
  <c r="F1663" i="49"/>
  <c r="F1690" i="49"/>
  <c r="F1900" i="49"/>
  <c r="F1927" i="49"/>
  <c r="F1741" i="49"/>
  <c r="F1288" i="49"/>
  <c r="F2016" i="49"/>
  <c r="F1309" i="49"/>
  <c r="F1254" i="49"/>
  <c r="F1336" i="49"/>
  <c r="F1269" i="49"/>
  <c r="F1270" i="49"/>
  <c r="F1271" i="49"/>
  <c r="F1289" i="49"/>
  <c r="F1255" i="49"/>
  <c r="F1272" i="49"/>
  <c r="F1290" i="49"/>
  <c r="F1310" i="49"/>
  <c r="F1337" i="49"/>
  <c r="F1253" i="49"/>
  <c r="F1252" i="49"/>
  <c r="F1487" i="49"/>
  <c r="F1504" i="49"/>
  <c r="F1522" i="49"/>
  <c r="F1542" i="49"/>
  <c r="F1569" i="49"/>
  <c r="F1759" i="49"/>
  <c r="F1779" i="49"/>
  <c r="F1806" i="49"/>
  <c r="F2043" i="49"/>
  <c r="F1604" i="49"/>
  <c r="F1368" i="49"/>
  <c r="A40" i="47"/>
  <c r="B39" i="47"/>
  <c r="A35" i="46"/>
  <c r="B34" i="46"/>
  <c r="T29" i="45"/>
  <c r="U29" i="45" s="1"/>
  <c r="P29" i="45"/>
  <c r="Q29" i="45" s="1"/>
  <c r="A30" i="45"/>
  <c r="B29" i="45"/>
  <c r="T24" i="44"/>
  <c r="U24" i="44" s="1"/>
  <c r="P24" i="44"/>
  <c r="Q24" i="44" s="1"/>
  <c r="L24" i="44"/>
  <c r="M24" i="44" s="1"/>
  <c r="A25" i="44"/>
  <c r="B24" i="44"/>
  <c r="T19" i="43"/>
  <c r="U19" i="43" s="1"/>
  <c r="P19" i="43"/>
  <c r="Q19" i="43" s="1"/>
  <c r="L19" i="43"/>
  <c r="M19" i="43" s="1"/>
  <c r="H19" i="43"/>
  <c r="I19" i="43" s="1"/>
  <c r="D19" i="43"/>
  <c r="E19" i="43" s="1"/>
  <c r="A20" i="43"/>
  <c r="B19" i="43"/>
  <c r="T14" i="42"/>
  <c r="U14" i="42" s="1"/>
  <c r="P14" i="42"/>
  <c r="Q14" i="42" s="1"/>
  <c r="L14" i="42"/>
  <c r="M14" i="42" s="1"/>
  <c r="H14" i="42"/>
  <c r="I14" i="42" s="1"/>
  <c r="D14" i="42"/>
  <c r="E14" i="42" s="1"/>
  <c r="A15" i="42"/>
  <c r="B14" i="42"/>
  <c r="T10" i="41"/>
  <c r="U10" i="41" s="1"/>
  <c r="P10" i="41"/>
  <c r="Q10" i="41" s="1"/>
  <c r="L10" i="41"/>
  <c r="M10" i="41" s="1"/>
  <c r="H10" i="41"/>
  <c r="I10" i="41" s="1"/>
  <c r="D10" i="41"/>
  <c r="E10" i="41" s="1"/>
  <c r="A11" i="41"/>
  <c r="B10" i="41"/>
  <c r="T9" i="40"/>
  <c r="U9" i="40" s="1"/>
  <c r="P9" i="40"/>
  <c r="Q9" i="40" s="1"/>
  <c r="L9" i="40"/>
  <c r="M9" i="40" s="1"/>
  <c r="H9" i="40"/>
  <c r="I9" i="40" s="1"/>
  <c r="D9" i="40"/>
  <c r="E9" i="40" s="1"/>
  <c r="A10" i="40"/>
  <c r="B9" i="40"/>
  <c r="A5" i="39"/>
  <c r="I1290" i="49"/>
  <c r="I1310" i="49"/>
  <c r="I1741" i="49"/>
  <c r="V8" i="40"/>
  <c r="I1663" i="49"/>
  <c r="I1406" i="49"/>
  <c r="I1487" i="49"/>
  <c r="I2043" i="49"/>
  <c r="I1642" i="49"/>
  <c r="I1387" i="49"/>
  <c r="I1270" i="49"/>
  <c r="V13" i="42"/>
  <c r="V18" i="43"/>
  <c r="V28" i="45"/>
  <c r="R28" i="45"/>
  <c r="R23" i="44"/>
  <c r="I2016" i="49"/>
  <c r="I1759" i="49"/>
  <c r="F8" i="40"/>
  <c r="I1255" i="49"/>
  <c r="R8" i="40"/>
  <c r="I1289" i="49"/>
  <c r="J18" i="43"/>
  <c r="I1269" i="49"/>
  <c r="I1900" i="49"/>
  <c r="I1336" i="49"/>
  <c r="I1542" i="49"/>
  <c r="V23" i="44"/>
  <c r="J9" i="41"/>
  <c r="I1309" i="49"/>
  <c r="V9" i="41"/>
  <c r="J13" i="42"/>
  <c r="I1454" i="49"/>
  <c r="I1779" i="49"/>
  <c r="I1427" i="49"/>
  <c r="I1806" i="49"/>
  <c r="C4" i="39"/>
  <c r="N13" i="42"/>
  <c r="R13" i="42"/>
  <c r="I1252" i="49"/>
  <c r="I1623" i="49"/>
  <c r="I1288" i="49"/>
  <c r="J8" i="40"/>
  <c r="I1253" i="49"/>
  <c r="I1254" i="49"/>
  <c r="F9" i="41"/>
  <c r="N23" i="44"/>
  <c r="I1271" i="49"/>
  <c r="I1504" i="49"/>
  <c r="R9" i="41"/>
  <c r="I1690" i="49"/>
  <c r="F13" i="42"/>
  <c r="I1604" i="49"/>
  <c r="I1272" i="49"/>
  <c r="I1569" i="49"/>
  <c r="N18" i="43"/>
  <c r="I1368" i="49"/>
  <c r="R18" i="43"/>
  <c r="I1337" i="49"/>
  <c r="I1522" i="49"/>
  <c r="F18" i="43"/>
  <c r="N8" i="40"/>
  <c r="N9" i="41"/>
  <c r="I1927" i="49"/>
  <c r="H1388" i="49" l="1"/>
  <c r="H1780" i="49"/>
  <c r="H1488" i="49"/>
  <c r="H1691" i="49"/>
  <c r="H1523" i="49"/>
  <c r="H1369" i="49"/>
  <c r="H1605" i="49"/>
  <c r="H1505" i="49"/>
  <c r="H1407" i="49"/>
  <c r="H1256" i="49"/>
  <c r="H1311" i="49"/>
  <c r="H1624" i="49"/>
  <c r="H1273" i="49"/>
  <c r="H1428" i="49"/>
  <c r="H1338" i="49"/>
  <c r="H1291" i="49"/>
  <c r="H1760" i="49"/>
  <c r="H1807" i="49"/>
  <c r="H1455" i="49"/>
  <c r="H1901" i="49"/>
  <c r="H1543" i="49"/>
  <c r="H1570" i="49"/>
  <c r="H1643" i="49"/>
  <c r="H1928" i="49"/>
  <c r="H1664" i="49"/>
  <c r="F1388" i="49"/>
  <c r="F1407" i="49"/>
  <c r="F1428" i="49"/>
  <c r="F1455" i="49"/>
  <c r="F1624" i="49"/>
  <c r="F1643" i="49"/>
  <c r="F1664" i="49"/>
  <c r="F1691" i="49"/>
  <c r="F1901" i="49"/>
  <c r="F1928" i="49"/>
  <c r="F1256" i="49"/>
  <c r="F1273" i="49"/>
  <c r="F1291" i="49"/>
  <c r="F1311" i="49"/>
  <c r="F1338" i="49"/>
  <c r="F1488" i="49"/>
  <c r="F1505" i="49"/>
  <c r="F1523" i="49"/>
  <c r="F1543" i="49"/>
  <c r="F1570" i="49"/>
  <c r="F1760" i="49"/>
  <c r="F1780" i="49"/>
  <c r="F1807" i="49"/>
  <c r="F2044" i="49"/>
  <c r="F1605" i="49"/>
  <c r="F1369" i="49"/>
  <c r="B40" i="47"/>
  <c r="A36" i="46"/>
  <c r="B35" i="46"/>
  <c r="T30" i="45"/>
  <c r="U30" i="45" s="1"/>
  <c r="P30" i="45"/>
  <c r="Q30" i="45" s="1"/>
  <c r="A31" i="45"/>
  <c r="B30" i="45"/>
  <c r="T25" i="44"/>
  <c r="U25" i="44" s="1"/>
  <c r="P25" i="44"/>
  <c r="Q25" i="44" s="1"/>
  <c r="L25" i="44"/>
  <c r="M25" i="44" s="1"/>
  <c r="A26" i="44"/>
  <c r="B25" i="44"/>
  <c r="T20" i="43"/>
  <c r="U20" i="43" s="1"/>
  <c r="P20" i="43"/>
  <c r="Q20" i="43" s="1"/>
  <c r="L20" i="43"/>
  <c r="M20" i="43" s="1"/>
  <c r="H20" i="43"/>
  <c r="I20" i="43" s="1"/>
  <c r="D20" i="43"/>
  <c r="E20" i="43" s="1"/>
  <c r="A21" i="43"/>
  <c r="B20" i="43"/>
  <c r="T15" i="42"/>
  <c r="U15" i="42" s="1"/>
  <c r="P15" i="42"/>
  <c r="Q15" i="42" s="1"/>
  <c r="L15" i="42"/>
  <c r="M15" i="42" s="1"/>
  <c r="H15" i="42"/>
  <c r="I15" i="42" s="1"/>
  <c r="D15" i="42"/>
  <c r="E15" i="42" s="1"/>
  <c r="A16" i="42"/>
  <c r="B15" i="42"/>
  <c r="T11" i="41"/>
  <c r="U11" i="41" s="1"/>
  <c r="P11" i="41"/>
  <c r="Q11" i="41" s="1"/>
  <c r="L11" i="41"/>
  <c r="M11" i="41" s="1"/>
  <c r="H11" i="41"/>
  <c r="I11" i="41" s="1"/>
  <c r="D11" i="41"/>
  <c r="E11" i="41" s="1"/>
  <c r="A12" i="41"/>
  <c r="B11" i="41"/>
  <c r="T10" i="40"/>
  <c r="U10" i="40" s="1"/>
  <c r="P10" i="40"/>
  <c r="Q10" i="40" s="1"/>
  <c r="L10" i="40"/>
  <c r="M10" i="40" s="1"/>
  <c r="H10" i="40"/>
  <c r="I10" i="40" s="1"/>
  <c r="D10" i="40"/>
  <c r="E10" i="40" s="1"/>
  <c r="A11" i="40"/>
  <c r="B10" i="40"/>
  <c r="P5" i="39"/>
  <c r="Q5" i="39" s="1"/>
  <c r="L5" i="39"/>
  <c r="M5" i="39" s="1"/>
  <c r="H5" i="39"/>
  <c r="I5" i="39" s="1"/>
  <c r="D5" i="39"/>
  <c r="E5" i="39" s="1"/>
  <c r="A6" i="39"/>
  <c r="B5" i="39"/>
  <c r="R10" i="41"/>
  <c r="I1643" i="49"/>
  <c r="R29" i="45"/>
  <c r="V29" i="45"/>
  <c r="I1543" i="49"/>
  <c r="I2044" i="49"/>
  <c r="I1605" i="49"/>
  <c r="N9" i="40"/>
  <c r="J14" i="42"/>
  <c r="I1928" i="49"/>
  <c r="V9" i="40"/>
  <c r="V24" i="44"/>
  <c r="V14" i="42"/>
  <c r="I1760" i="49"/>
  <c r="J10" i="41"/>
  <c r="N10" i="41"/>
  <c r="I1807" i="49"/>
  <c r="F14" i="42"/>
  <c r="I1388" i="49"/>
  <c r="I1311" i="49"/>
  <c r="N14" i="42"/>
  <c r="I1780" i="49"/>
  <c r="I1624" i="49"/>
  <c r="R24" i="44"/>
  <c r="N24" i="44"/>
  <c r="I1273" i="49"/>
  <c r="N5" i="39"/>
  <c r="R19" i="43"/>
  <c r="I1428" i="49"/>
  <c r="V10" i="41"/>
  <c r="F9" i="40"/>
  <c r="J9" i="40"/>
  <c r="I1291" i="49"/>
  <c r="F10" i="41"/>
  <c r="J19" i="43"/>
  <c r="I1256" i="49"/>
  <c r="I1488" i="49"/>
  <c r="I1691" i="49"/>
  <c r="R9" i="40"/>
  <c r="I1369" i="49"/>
  <c r="I1523" i="49"/>
  <c r="R14" i="42"/>
  <c r="R5" i="39"/>
  <c r="I1570" i="49"/>
  <c r="I1338" i="49"/>
  <c r="I1407" i="49"/>
  <c r="I1664" i="49"/>
  <c r="N19" i="43"/>
  <c r="N25" i="44"/>
  <c r="I1455" i="49"/>
  <c r="I1901" i="49"/>
  <c r="V19" i="43"/>
  <c r="I1505" i="49"/>
  <c r="F19" i="43"/>
  <c r="H1197" i="49" l="1"/>
  <c r="H1339" i="49"/>
  <c r="H1370" i="49"/>
  <c r="H1489" i="49"/>
  <c r="H1274" i="49"/>
  <c r="H1929" i="49"/>
  <c r="H1257" i="49"/>
  <c r="H1902" i="49"/>
  <c r="H1292" i="49"/>
  <c r="H1456" i="49"/>
  <c r="H1429" i="49"/>
  <c r="H1408" i="49"/>
  <c r="H1176" i="49"/>
  <c r="H1389" i="49"/>
  <c r="H1665" i="49"/>
  <c r="H1692" i="49"/>
  <c r="H1606" i="49"/>
  <c r="H1625" i="49"/>
  <c r="H1808" i="49"/>
  <c r="H1761" i="49"/>
  <c r="H1312" i="49"/>
  <c r="H1571" i="49"/>
  <c r="H1781" i="49"/>
  <c r="H1506" i="49"/>
  <c r="H1644" i="49"/>
  <c r="H1762" i="49"/>
  <c r="H1544" i="49"/>
  <c r="H1524" i="49"/>
  <c r="F1389" i="49"/>
  <c r="F1408" i="49"/>
  <c r="F1429" i="49"/>
  <c r="F1456" i="49"/>
  <c r="F1625" i="49"/>
  <c r="F1644" i="49"/>
  <c r="F1665" i="49"/>
  <c r="F1692" i="49"/>
  <c r="F1902" i="49"/>
  <c r="F1929" i="49"/>
  <c r="F1257" i="49"/>
  <c r="F1274" i="49"/>
  <c r="F1292" i="49"/>
  <c r="F1312" i="49"/>
  <c r="F1339" i="49"/>
  <c r="F1489" i="49"/>
  <c r="F1506" i="49"/>
  <c r="F1524" i="49"/>
  <c r="F1544" i="49"/>
  <c r="F1571" i="49"/>
  <c r="F1761" i="49"/>
  <c r="F1781" i="49"/>
  <c r="F1808" i="49"/>
  <c r="F1606" i="49"/>
  <c r="F1370" i="49"/>
  <c r="A37" i="46"/>
  <c r="B36" i="46"/>
  <c r="T31" i="45"/>
  <c r="U31" i="45" s="1"/>
  <c r="P31" i="45"/>
  <c r="Q31" i="45" s="1"/>
  <c r="A32" i="45"/>
  <c r="B31" i="45"/>
  <c r="T26" i="44"/>
  <c r="U26" i="44" s="1"/>
  <c r="P26" i="44"/>
  <c r="Q26" i="44" s="1"/>
  <c r="A27" i="44"/>
  <c r="B26" i="44"/>
  <c r="T21" i="43"/>
  <c r="U21" i="43" s="1"/>
  <c r="P21" i="43"/>
  <c r="Q21" i="43" s="1"/>
  <c r="L21" i="43"/>
  <c r="M21" i="43" s="1"/>
  <c r="H21" i="43"/>
  <c r="I21" i="43" s="1"/>
  <c r="D21" i="43"/>
  <c r="E21" i="43" s="1"/>
  <c r="A22" i="43"/>
  <c r="B21" i="43"/>
  <c r="T16" i="42"/>
  <c r="U16" i="42" s="1"/>
  <c r="P16" i="42"/>
  <c r="Q16" i="42" s="1"/>
  <c r="L16" i="42"/>
  <c r="M16" i="42" s="1"/>
  <c r="H16" i="42"/>
  <c r="I16" i="42" s="1"/>
  <c r="D16" i="42"/>
  <c r="E16" i="42" s="1"/>
  <c r="A17" i="42"/>
  <c r="B16" i="42"/>
  <c r="T12" i="41"/>
  <c r="U12" i="41" s="1"/>
  <c r="P12" i="41"/>
  <c r="Q12" i="41" s="1"/>
  <c r="L12" i="41"/>
  <c r="M12" i="41" s="1"/>
  <c r="H12" i="41"/>
  <c r="I12" i="41" s="1"/>
  <c r="D12" i="41"/>
  <c r="E12" i="41" s="1"/>
  <c r="A13" i="41"/>
  <c r="B12" i="41"/>
  <c r="T11" i="40"/>
  <c r="U11" i="40" s="1"/>
  <c r="P11" i="40"/>
  <c r="Q11" i="40" s="1"/>
  <c r="L11" i="40"/>
  <c r="M11" i="40" s="1"/>
  <c r="H11" i="40"/>
  <c r="I11" i="40" s="1"/>
  <c r="D11" i="40"/>
  <c r="E11" i="40" s="1"/>
  <c r="A12" i="40"/>
  <c r="B11" i="40"/>
  <c r="T6" i="39"/>
  <c r="U6" i="39" s="1"/>
  <c r="P6" i="39"/>
  <c r="Q6" i="39" s="1"/>
  <c r="L6" i="39"/>
  <c r="M6" i="39" s="1"/>
  <c r="H6" i="39"/>
  <c r="I6" i="39" s="1"/>
  <c r="D6" i="39"/>
  <c r="E6" i="39" s="1"/>
  <c r="A7" i="39"/>
  <c r="B6" i="39"/>
  <c r="J20" i="43"/>
  <c r="I1456" i="49"/>
  <c r="V20" i="43"/>
  <c r="R11" i="41"/>
  <c r="I1808" i="49"/>
  <c r="I1312" i="49"/>
  <c r="I1389" i="49"/>
  <c r="I1489" i="49"/>
  <c r="I1929" i="49"/>
  <c r="I1781" i="49"/>
  <c r="R25" i="44"/>
  <c r="N11" i="41"/>
  <c r="I1692" i="49"/>
  <c r="V11" i="41"/>
  <c r="F20" i="43"/>
  <c r="I1644" i="49"/>
  <c r="I1761" i="49"/>
  <c r="V30" i="45"/>
  <c r="I1274" i="49"/>
  <c r="R31" i="45"/>
  <c r="R10" i="40"/>
  <c r="I1524" i="49"/>
  <c r="J15" i="42"/>
  <c r="J11" i="41"/>
  <c r="N20" i="43"/>
  <c r="R30" i="45"/>
  <c r="I1339" i="49"/>
  <c r="I1665" i="49"/>
  <c r="I1606" i="49"/>
  <c r="I1625" i="49"/>
  <c r="N15" i="42"/>
  <c r="I1571" i="49"/>
  <c r="N10" i="40"/>
  <c r="F11" i="41"/>
  <c r="V25" i="44"/>
  <c r="F10" i="40"/>
  <c r="I1257" i="49"/>
  <c r="I1370" i="49"/>
  <c r="V10" i="40"/>
  <c r="I1429" i="49"/>
  <c r="I1544" i="49"/>
  <c r="I1408" i="49"/>
  <c r="I1902" i="49"/>
  <c r="I1506" i="49"/>
  <c r="F15" i="42"/>
  <c r="R15" i="42"/>
  <c r="J10" i="40"/>
  <c r="V15" i="42"/>
  <c r="I1292" i="49"/>
  <c r="R20" i="43"/>
  <c r="H1645" i="49" l="1"/>
  <c r="H1809" i="49"/>
  <c r="H1371" i="49"/>
  <c r="H1457" i="49"/>
  <c r="H1507" i="49"/>
  <c r="H1293" i="49"/>
  <c r="H1782" i="49"/>
  <c r="H1525" i="49"/>
  <c r="H1430" i="49"/>
  <c r="H1313" i="49"/>
  <c r="H1930" i="49"/>
  <c r="H1666" i="49"/>
  <c r="H1626" i="49"/>
  <c r="H1340" i="49"/>
  <c r="H1572" i="49"/>
  <c r="H1258" i="49"/>
  <c r="H1693" i="49"/>
  <c r="H1903" i="49"/>
  <c r="H1607" i="49"/>
  <c r="H1545" i="49"/>
  <c r="H1490" i="49"/>
  <c r="H1275" i="49"/>
  <c r="H1390" i="49"/>
  <c r="H1409" i="49"/>
  <c r="H1904" i="49"/>
  <c r="F1390" i="49"/>
  <c r="F1409" i="49"/>
  <c r="F1430" i="49"/>
  <c r="F1457" i="49"/>
  <c r="F1626" i="49"/>
  <c r="F1645" i="49"/>
  <c r="F1666" i="49"/>
  <c r="F1693" i="49"/>
  <c r="F1903" i="49"/>
  <c r="F1930" i="49"/>
  <c r="F1762" i="49"/>
  <c r="F1258" i="49"/>
  <c r="F1275" i="49"/>
  <c r="F1293" i="49"/>
  <c r="F1313" i="49"/>
  <c r="F1340" i="49"/>
  <c r="F1490" i="49"/>
  <c r="F1507" i="49"/>
  <c r="F1525" i="49"/>
  <c r="F1545" i="49"/>
  <c r="F1572" i="49"/>
  <c r="F1782" i="49"/>
  <c r="F1809" i="49"/>
  <c r="F1607" i="49"/>
  <c r="F1371" i="49"/>
  <c r="A38" i="46"/>
  <c r="B37" i="46"/>
  <c r="T32" i="45"/>
  <c r="U32" i="45" s="1"/>
  <c r="A33" i="45"/>
  <c r="B32" i="45"/>
  <c r="T27" i="44"/>
  <c r="U27" i="44" s="1"/>
  <c r="P27" i="44"/>
  <c r="Q27" i="44" s="1"/>
  <c r="A28" i="44"/>
  <c r="B27" i="44"/>
  <c r="T22" i="43"/>
  <c r="U22" i="43" s="1"/>
  <c r="P22" i="43"/>
  <c r="Q22" i="43" s="1"/>
  <c r="L22" i="43"/>
  <c r="M22" i="43" s="1"/>
  <c r="H22" i="43"/>
  <c r="I22" i="43" s="1"/>
  <c r="D22" i="43"/>
  <c r="E22" i="43" s="1"/>
  <c r="A23" i="43"/>
  <c r="B22" i="43"/>
  <c r="T17" i="42"/>
  <c r="U17" i="42" s="1"/>
  <c r="P17" i="42"/>
  <c r="Q17" i="42" s="1"/>
  <c r="L17" i="42"/>
  <c r="M17" i="42" s="1"/>
  <c r="H17" i="42"/>
  <c r="I17" i="42" s="1"/>
  <c r="D17" i="42"/>
  <c r="E17" i="42" s="1"/>
  <c r="A18" i="42"/>
  <c r="B17" i="42"/>
  <c r="T13" i="41"/>
  <c r="U13" i="41" s="1"/>
  <c r="P13" i="41"/>
  <c r="Q13" i="41" s="1"/>
  <c r="L13" i="41"/>
  <c r="M13" i="41" s="1"/>
  <c r="H13" i="41"/>
  <c r="I13" i="41" s="1"/>
  <c r="D13" i="41"/>
  <c r="E13" i="41" s="1"/>
  <c r="A14" i="41"/>
  <c r="B13" i="41"/>
  <c r="T12" i="40"/>
  <c r="U12" i="40" s="1"/>
  <c r="P12" i="40"/>
  <c r="Q12" i="40" s="1"/>
  <c r="L12" i="40"/>
  <c r="M12" i="40" s="1"/>
  <c r="H12" i="40"/>
  <c r="I12" i="40" s="1"/>
  <c r="D12" i="40"/>
  <c r="E12" i="40" s="1"/>
  <c r="A13" i="40"/>
  <c r="B12" i="40"/>
  <c r="H4" i="39"/>
  <c r="I4" i="39" s="1"/>
  <c r="T7" i="39"/>
  <c r="U7" i="39" s="1"/>
  <c r="P7" i="39"/>
  <c r="Q7" i="39" s="1"/>
  <c r="L7" i="39"/>
  <c r="M7" i="39" s="1"/>
  <c r="H7" i="39"/>
  <c r="I7" i="39" s="1"/>
  <c r="D7" i="39"/>
  <c r="E7" i="39" s="1"/>
  <c r="A8" i="39"/>
  <c r="B7" i="39"/>
  <c r="V21" i="43"/>
  <c r="V16" i="42"/>
  <c r="J11" i="40"/>
  <c r="F16" i="42"/>
  <c r="R12" i="41"/>
  <c r="N21" i="43"/>
  <c r="I1258" i="49"/>
  <c r="I1313" i="49"/>
  <c r="R16" i="42"/>
  <c r="R21" i="43"/>
  <c r="I1930" i="49"/>
  <c r="N6" i="39"/>
  <c r="I1693" i="49"/>
  <c r="I1545" i="49"/>
  <c r="I1275" i="49"/>
  <c r="J6" i="39"/>
  <c r="I1626" i="49"/>
  <c r="I1390" i="49"/>
  <c r="I1457" i="49"/>
  <c r="I1293" i="49"/>
  <c r="I1409" i="49"/>
  <c r="J12" i="41"/>
  <c r="I1782" i="49"/>
  <c r="N12" i="41"/>
  <c r="N11" i="40"/>
  <c r="I1525" i="49"/>
  <c r="R6" i="39"/>
  <c r="R11" i="40"/>
  <c r="I1340" i="49"/>
  <c r="F6" i="39"/>
  <c r="R26" i="44"/>
  <c r="F22" i="43"/>
  <c r="V32" i="45"/>
  <c r="F12" i="41"/>
  <c r="I1607" i="49"/>
  <c r="I1666" i="49"/>
  <c r="I1762" i="49"/>
  <c r="I1507" i="49"/>
  <c r="I1572" i="49"/>
  <c r="F11" i="40"/>
  <c r="J5" i="39"/>
  <c r="J21" i="43"/>
  <c r="V6" i="39"/>
  <c r="V31" i="45"/>
  <c r="V11" i="40"/>
  <c r="I1645" i="49"/>
  <c r="J16" i="42"/>
  <c r="I1809" i="49"/>
  <c r="I1903" i="49"/>
  <c r="I1371" i="49"/>
  <c r="I1430" i="49"/>
  <c r="V26" i="44"/>
  <c r="I1490" i="49"/>
  <c r="F21" i="43"/>
  <c r="N16" i="42"/>
  <c r="V12" i="41"/>
  <c r="J4" i="39"/>
  <c r="H1508" i="49" l="1"/>
  <c r="H1198" i="49"/>
  <c r="H1156" i="49"/>
  <c r="H1783" i="49"/>
  <c r="H1491" i="49"/>
  <c r="H1225" i="49"/>
  <c r="H1931" i="49"/>
  <c r="H1458" i="49"/>
  <c r="H1314" i="49"/>
  <c r="H1694" i="49"/>
  <c r="H1372" i="49"/>
  <c r="H1341" i="49"/>
  <c r="H1526" i="49"/>
  <c r="H1294" i="49"/>
  <c r="H1157" i="49"/>
  <c r="H1139" i="49"/>
  <c r="H1932" i="49"/>
  <c r="H1177" i="49"/>
  <c r="H1391" i="49"/>
  <c r="H1259" i="49"/>
  <c r="H1627" i="49"/>
  <c r="H1573" i="49"/>
  <c r="H1546" i="49"/>
  <c r="H1608" i="49"/>
  <c r="H1667" i="49"/>
  <c r="H1410" i="49"/>
  <c r="H1646" i="49"/>
  <c r="H1158" i="49"/>
  <c r="H1810" i="49"/>
  <c r="H1431" i="49"/>
  <c r="H1609" i="49"/>
  <c r="H1276" i="49"/>
  <c r="F1391" i="49"/>
  <c r="F1410" i="49"/>
  <c r="F1431" i="49"/>
  <c r="F1458" i="49"/>
  <c r="F1627" i="49"/>
  <c r="F1646" i="49"/>
  <c r="F1667" i="49"/>
  <c r="F1694" i="49"/>
  <c r="F1931" i="49"/>
  <c r="F1259" i="49"/>
  <c r="F1276" i="49"/>
  <c r="F1294" i="49"/>
  <c r="F1314" i="49"/>
  <c r="F1341" i="49"/>
  <c r="F1491" i="49"/>
  <c r="F1508" i="49"/>
  <c r="F1526" i="49"/>
  <c r="F1546" i="49"/>
  <c r="F1573" i="49"/>
  <c r="F1783" i="49"/>
  <c r="F1810" i="49"/>
  <c r="F1904" i="49"/>
  <c r="F1608" i="49"/>
  <c r="F1372" i="49"/>
  <c r="A39" i="46"/>
  <c r="B38" i="46"/>
  <c r="A34" i="45"/>
  <c r="B33" i="45"/>
  <c r="T28" i="44"/>
  <c r="U28" i="44" s="1"/>
  <c r="P28" i="44"/>
  <c r="Q28" i="44" s="1"/>
  <c r="A29" i="44"/>
  <c r="B28" i="44"/>
  <c r="T23" i="43"/>
  <c r="U23" i="43" s="1"/>
  <c r="P23" i="43"/>
  <c r="Q23" i="43" s="1"/>
  <c r="L23" i="43"/>
  <c r="M23" i="43" s="1"/>
  <c r="H23" i="43"/>
  <c r="I23" i="43" s="1"/>
  <c r="A24" i="43"/>
  <c r="B23" i="43"/>
  <c r="T18" i="42"/>
  <c r="U18" i="42" s="1"/>
  <c r="P18" i="42"/>
  <c r="Q18" i="42" s="1"/>
  <c r="L18" i="42"/>
  <c r="M18" i="42" s="1"/>
  <c r="H18" i="42"/>
  <c r="I18" i="42" s="1"/>
  <c r="D18" i="42"/>
  <c r="E18" i="42" s="1"/>
  <c r="A19" i="42"/>
  <c r="B18" i="42"/>
  <c r="T14" i="41"/>
  <c r="U14" i="41" s="1"/>
  <c r="P14" i="41"/>
  <c r="Q14" i="41" s="1"/>
  <c r="L14" i="41"/>
  <c r="M14" i="41" s="1"/>
  <c r="H14" i="41"/>
  <c r="I14" i="41" s="1"/>
  <c r="D14" i="41"/>
  <c r="E14" i="41" s="1"/>
  <c r="A15" i="41"/>
  <c r="B14" i="41"/>
  <c r="T13" i="40"/>
  <c r="U13" i="40" s="1"/>
  <c r="P13" i="40"/>
  <c r="Q13" i="40" s="1"/>
  <c r="L13" i="40"/>
  <c r="M13" i="40" s="1"/>
  <c r="H13" i="40"/>
  <c r="I13" i="40" s="1"/>
  <c r="D13" i="40"/>
  <c r="E13" i="40" s="1"/>
  <c r="A14" i="40"/>
  <c r="B13" i="40"/>
  <c r="D4" i="39"/>
  <c r="E4" i="39" s="1"/>
  <c r="T8" i="39"/>
  <c r="U8" i="39" s="1"/>
  <c r="P8" i="39"/>
  <c r="Q8" i="39" s="1"/>
  <c r="L8" i="39"/>
  <c r="M8" i="39" s="1"/>
  <c r="H8" i="39"/>
  <c r="I8" i="39" s="1"/>
  <c r="D8" i="39"/>
  <c r="E8" i="39" s="1"/>
  <c r="A9" i="39"/>
  <c r="B8" i="39"/>
  <c r="B4" i="39"/>
  <c r="G15" i="38"/>
  <c r="I1458" i="49"/>
  <c r="R7" i="39"/>
  <c r="V7" i="39"/>
  <c r="K8" i="38"/>
  <c r="S9" i="38"/>
  <c r="C9" i="38"/>
  <c r="I1627" i="49"/>
  <c r="I1573" i="49"/>
  <c r="O13" i="38"/>
  <c r="S28" i="38"/>
  <c r="G20" i="38"/>
  <c r="O16" i="38"/>
  <c r="C7" i="38"/>
  <c r="N13" i="41"/>
  <c r="O29" i="38"/>
  <c r="O18" i="38"/>
  <c r="O20" i="38"/>
  <c r="O27" i="38"/>
  <c r="G13" i="38"/>
  <c r="S33" i="38"/>
  <c r="K12" i="38"/>
  <c r="C12" i="38"/>
  <c r="O9" i="38"/>
  <c r="I1508" i="49"/>
  <c r="V13" i="41"/>
  <c r="N22" i="43"/>
  <c r="J12" i="40"/>
  <c r="K15" i="38"/>
  <c r="I1904" i="49"/>
  <c r="C5" i="38"/>
  <c r="N17" i="42"/>
  <c r="S26" i="38"/>
  <c r="O30" i="38"/>
  <c r="I1314" i="49"/>
  <c r="G11" i="38"/>
  <c r="J13" i="41"/>
  <c r="I1810" i="49"/>
  <c r="O6" i="38"/>
  <c r="G8" i="38"/>
  <c r="S16" i="38"/>
  <c r="C11" i="38"/>
  <c r="O26" i="38"/>
  <c r="S18" i="38"/>
  <c r="S27" i="38"/>
  <c r="K23" i="38"/>
  <c r="I1410" i="49"/>
  <c r="S10" i="38"/>
  <c r="I1276" i="49"/>
  <c r="O31" i="38"/>
  <c r="G21" i="38"/>
  <c r="I1667" i="49"/>
  <c r="N12" i="40"/>
  <c r="O7" i="38"/>
  <c r="S19" i="38"/>
  <c r="S8" i="38"/>
  <c r="K5" i="38"/>
  <c r="C6" i="38"/>
  <c r="I1546" i="49"/>
  <c r="J17" i="42"/>
  <c r="S25" i="38"/>
  <c r="C19" i="38"/>
  <c r="V22" i="43"/>
  <c r="O14" i="38"/>
  <c r="G5" i="38"/>
  <c r="C15" i="38"/>
  <c r="J23" i="43"/>
  <c r="I1694" i="49"/>
  <c r="O21" i="38"/>
  <c r="G19" i="38"/>
  <c r="S23" i="38"/>
  <c r="C10" i="38"/>
  <c r="K18" i="38"/>
  <c r="V27" i="44"/>
  <c r="S22" i="38"/>
  <c r="K13" i="38"/>
  <c r="O10" i="38"/>
  <c r="O22" i="38"/>
  <c r="G17" i="38"/>
  <c r="I1608" i="49"/>
  <c r="S30" i="38"/>
  <c r="I1526" i="49"/>
  <c r="G22" i="38"/>
  <c r="O19" i="38"/>
  <c r="K19" i="38"/>
  <c r="S20" i="38"/>
  <c r="I1646" i="49"/>
  <c r="S21" i="38"/>
  <c r="K6" i="38"/>
  <c r="S15" i="38"/>
  <c r="R12" i="40"/>
  <c r="F7" i="39"/>
  <c r="C13" i="38"/>
  <c r="S11" i="38"/>
  <c r="S31" i="38"/>
  <c r="O11" i="38"/>
  <c r="K11" i="38"/>
  <c r="S6" i="38"/>
  <c r="S24" i="38"/>
  <c r="S17" i="38"/>
  <c r="J7" i="39"/>
  <c r="C17" i="38"/>
  <c r="C14" i="38"/>
  <c r="J22" i="43"/>
  <c r="I1341" i="49"/>
  <c r="I1931" i="49"/>
  <c r="S14" i="38"/>
  <c r="R13" i="41"/>
  <c r="K22" i="38"/>
  <c r="G16" i="38"/>
  <c r="F4" i="39"/>
  <c r="I1294" i="49"/>
  <c r="K21" i="38"/>
  <c r="O8" i="38"/>
  <c r="K20" i="38"/>
  <c r="R22" i="43"/>
  <c r="O24" i="38"/>
  <c r="O17" i="38"/>
  <c r="K16" i="38"/>
  <c r="O28" i="38"/>
  <c r="G9" i="38"/>
  <c r="S29" i="38"/>
  <c r="C16" i="38"/>
  <c r="V17" i="42"/>
  <c r="F5" i="39"/>
  <c r="K9" i="38"/>
  <c r="K24" i="38"/>
  <c r="F12" i="40"/>
  <c r="O32" i="38"/>
  <c r="O23" i="38"/>
  <c r="G18" i="38"/>
  <c r="G7" i="38"/>
  <c r="I1372" i="49"/>
  <c r="S32" i="38"/>
  <c r="G4" i="38"/>
  <c r="S13" i="38"/>
  <c r="I1431" i="49"/>
  <c r="K17" i="38"/>
  <c r="V12" i="40"/>
  <c r="I1391" i="49"/>
  <c r="C18" i="38"/>
  <c r="K10" i="38"/>
  <c r="O15" i="38"/>
  <c r="S7" i="38"/>
  <c r="I1783" i="49"/>
  <c r="F17" i="42"/>
  <c r="R27" i="44"/>
  <c r="K25" i="38"/>
  <c r="G12" i="38"/>
  <c r="O12" i="38"/>
  <c r="K7" i="38"/>
  <c r="K14" i="38"/>
  <c r="G14" i="38"/>
  <c r="O25" i="38"/>
  <c r="R17" i="42"/>
  <c r="I1491" i="49"/>
  <c r="F13" i="41"/>
  <c r="N7" i="39"/>
  <c r="G10" i="38"/>
  <c r="C20" i="38"/>
  <c r="G6" i="38"/>
  <c r="I1259" i="49"/>
  <c r="C8" i="38"/>
  <c r="S12" i="38"/>
  <c r="H1295" i="49" l="1"/>
  <c r="H1459" i="49"/>
  <c r="H1226" i="49"/>
  <c r="H1199" i="49"/>
  <c r="H1647" i="49"/>
  <c r="H1392" i="49"/>
  <c r="H1373" i="49"/>
  <c r="H1277" i="49"/>
  <c r="H1140" i="49"/>
  <c r="H1411" i="49"/>
  <c r="H1432" i="49"/>
  <c r="H1811" i="49"/>
  <c r="H1784" i="49"/>
  <c r="H1178" i="49"/>
  <c r="H1628" i="49"/>
  <c r="H1547" i="49"/>
  <c r="H1342" i="49"/>
  <c r="H1315" i="49"/>
  <c r="H1629" i="49"/>
  <c r="H1574" i="49"/>
  <c r="H1138" i="49"/>
  <c r="H1668" i="49"/>
  <c r="H1492" i="49"/>
  <c r="H1137" i="49"/>
  <c r="H1695" i="49"/>
  <c r="H1260" i="49"/>
  <c r="H1159" i="49"/>
  <c r="H1527" i="49"/>
  <c r="H1509" i="49"/>
  <c r="F1156" i="49"/>
  <c r="F1157" i="49"/>
  <c r="F1158" i="49"/>
  <c r="F1159" i="49"/>
  <c r="F1177" i="49"/>
  <c r="F1178" i="49"/>
  <c r="F1197" i="49"/>
  <c r="F1198" i="49"/>
  <c r="F1199" i="49"/>
  <c r="F1225" i="49"/>
  <c r="F1226" i="49"/>
  <c r="F1392" i="49"/>
  <c r="F1411" i="49"/>
  <c r="F1432" i="49"/>
  <c r="F1459" i="49"/>
  <c r="F1628" i="49"/>
  <c r="F1647" i="49"/>
  <c r="F1668" i="49"/>
  <c r="F1695" i="49"/>
  <c r="F1932" i="49"/>
  <c r="F1260" i="49"/>
  <c r="F1277" i="49"/>
  <c r="F1295" i="49"/>
  <c r="F1315" i="49"/>
  <c r="F1342" i="49"/>
  <c r="F1492" i="49"/>
  <c r="F1509" i="49"/>
  <c r="F1527" i="49"/>
  <c r="F1547" i="49"/>
  <c r="F1574" i="49"/>
  <c r="F1784" i="49"/>
  <c r="F1811" i="49"/>
  <c r="F1176" i="49"/>
  <c r="F1609" i="49"/>
  <c r="F1373" i="49"/>
  <c r="F1139" i="49"/>
  <c r="F1140" i="49"/>
  <c r="F1138" i="49"/>
  <c r="F1137" i="49"/>
  <c r="A40" i="46"/>
  <c r="B39" i="46"/>
  <c r="A35" i="45"/>
  <c r="B34" i="45"/>
  <c r="T29" i="44"/>
  <c r="U29" i="44" s="1"/>
  <c r="P29" i="44"/>
  <c r="Q29" i="44" s="1"/>
  <c r="A30" i="44"/>
  <c r="B29" i="44"/>
  <c r="T24" i="43"/>
  <c r="U24" i="43" s="1"/>
  <c r="P24" i="43"/>
  <c r="Q24" i="43" s="1"/>
  <c r="L24" i="43"/>
  <c r="M24" i="43" s="1"/>
  <c r="A25" i="43"/>
  <c r="B24" i="43"/>
  <c r="T19" i="42"/>
  <c r="U19" i="42" s="1"/>
  <c r="P19" i="42"/>
  <c r="Q19" i="42" s="1"/>
  <c r="L19" i="42"/>
  <c r="M19" i="42" s="1"/>
  <c r="H19" i="42"/>
  <c r="I19" i="42" s="1"/>
  <c r="D19" i="42"/>
  <c r="E19" i="42" s="1"/>
  <c r="A20" i="42"/>
  <c r="B19" i="42"/>
  <c r="T15" i="41"/>
  <c r="U15" i="41" s="1"/>
  <c r="P15" i="41"/>
  <c r="Q15" i="41" s="1"/>
  <c r="L15" i="41"/>
  <c r="M15" i="41" s="1"/>
  <c r="H15" i="41"/>
  <c r="I15" i="41" s="1"/>
  <c r="D15" i="41"/>
  <c r="E15" i="41" s="1"/>
  <c r="A16" i="41"/>
  <c r="B15" i="41"/>
  <c r="T14" i="40"/>
  <c r="U14" i="40" s="1"/>
  <c r="P14" i="40"/>
  <c r="Q14" i="40" s="1"/>
  <c r="L14" i="40"/>
  <c r="M14" i="40" s="1"/>
  <c r="H14" i="40"/>
  <c r="I14" i="40" s="1"/>
  <c r="D14" i="40"/>
  <c r="E14" i="40" s="1"/>
  <c r="A15" i="40"/>
  <c r="B14" i="40"/>
  <c r="T9" i="39"/>
  <c r="U9" i="39" s="1"/>
  <c r="P9" i="39"/>
  <c r="Q9" i="39" s="1"/>
  <c r="L9" i="39"/>
  <c r="M9" i="39" s="1"/>
  <c r="H9" i="39"/>
  <c r="I9" i="39" s="1"/>
  <c r="D9" i="39"/>
  <c r="E9" i="39" s="1"/>
  <c r="A10" i="39"/>
  <c r="B9" i="39"/>
  <c r="A5" i="38"/>
  <c r="J13" i="40"/>
  <c r="R13" i="40"/>
  <c r="I1197" i="49"/>
  <c r="I1695" i="49"/>
  <c r="I1176" i="49"/>
  <c r="I1138" i="49"/>
  <c r="V13" i="40"/>
  <c r="I1411" i="49"/>
  <c r="R23" i="43"/>
  <c r="I1226" i="49"/>
  <c r="I1392" i="49"/>
  <c r="I1628" i="49"/>
  <c r="J18" i="42"/>
  <c r="I1342" i="49"/>
  <c r="I1156" i="49"/>
  <c r="I1647" i="49"/>
  <c r="V28" i="44"/>
  <c r="I1315" i="49"/>
  <c r="I1432" i="49"/>
  <c r="F13" i="40"/>
  <c r="I1137" i="49"/>
  <c r="F14" i="41"/>
  <c r="I1277" i="49"/>
  <c r="I1373" i="49"/>
  <c r="V18" i="42"/>
  <c r="I1527" i="49"/>
  <c r="J8" i="39"/>
  <c r="C4" i="38"/>
  <c r="I1159" i="49"/>
  <c r="V8" i="39"/>
  <c r="N18" i="42"/>
  <c r="F8" i="39"/>
  <c r="J14" i="41"/>
  <c r="I1668" i="49"/>
  <c r="F18" i="42"/>
  <c r="I1811" i="49"/>
  <c r="N8" i="39"/>
  <c r="R18" i="42"/>
  <c r="I1932" i="49"/>
  <c r="I1609" i="49"/>
  <c r="I1199" i="49"/>
  <c r="I1225" i="49"/>
  <c r="R8" i="39"/>
  <c r="I1140" i="49"/>
  <c r="I1157" i="49"/>
  <c r="I1574" i="49"/>
  <c r="V14" i="41"/>
  <c r="R14" i="41"/>
  <c r="I1158" i="49"/>
  <c r="V23" i="43"/>
  <c r="I1178" i="49"/>
  <c r="I1295" i="49"/>
  <c r="I1459" i="49"/>
  <c r="R28" i="44"/>
  <c r="N23" i="43"/>
  <c r="N14" i="41"/>
  <c r="I1260" i="49"/>
  <c r="I1547" i="49"/>
  <c r="I1492" i="49"/>
  <c r="I1509" i="49"/>
  <c r="I1177" i="49"/>
  <c r="I1198" i="49"/>
  <c r="I1139" i="49"/>
  <c r="I1784" i="49"/>
  <c r="N13" i="40"/>
  <c r="H1575" i="49" l="1"/>
  <c r="H1160" i="49"/>
  <c r="H1493" i="49"/>
  <c r="H1548" i="49"/>
  <c r="H1812" i="49"/>
  <c r="H1141" i="49"/>
  <c r="H1374" i="49"/>
  <c r="H1316" i="49"/>
  <c r="H1200" i="49"/>
  <c r="H1278" i="49"/>
  <c r="H1179" i="49"/>
  <c r="H1261" i="49"/>
  <c r="H1696" i="49"/>
  <c r="H1669" i="49"/>
  <c r="H1433" i="49"/>
  <c r="H1412" i="49"/>
  <c r="H1393" i="49"/>
  <c r="H1648" i="49"/>
  <c r="H1460" i="49"/>
  <c r="H1528" i="49"/>
  <c r="H1785" i="49"/>
  <c r="H1227" i="49"/>
  <c r="H1296" i="49"/>
  <c r="H1343" i="49"/>
  <c r="H1510" i="49"/>
  <c r="F1160" i="49"/>
  <c r="F1179" i="49"/>
  <c r="F1200" i="49"/>
  <c r="F1227" i="49"/>
  <c r="F1393" i="49"/>
  <c r="F1412" i="49"/>
  <c r="F1433" i="49"/>
  <c r="F1460" i="49"/>
  <c r="F1648" i="49"/>
  <c r="F1669" i="49"/>
  <c r="F1696" i="49"/>
  <c r="F1261" i="49"/>
  <c r="F1278" i="49"/>
  <c r="F1296" i="49"/>
  <c r="F1316" i="49"/>
  <c r="F1343" i="49"/>
  <c r="F1493" i="49"/>
  <c r="F1510" i="49"/>
  <c r="F1528" i="49"/>
  <c r="F1548" i="49"/>
  <c r="F1575" i="49"/>
  <c r="F1785" i="49"/>
  <c r="F1812" i="49"/>
  <c r="F1629" i="49"/>
  <c r="F1374" i="49"/>
  <c r="F1141" i="49"/>
  <c r="B40" i="46"/>
  <c r="A36" i="45"/>
  <c r="B35" i="45"/>
  <c r="T30" i="44"/>
  <c r="U30" i="44" s="1"/>
  <c r="P30" i="44"/>
  <c r="Q30" i="44" s="1"/>
  <c r="A31" i="44"/>
  <c r="B30" i="44"/>
  <c r="T25" i="43"/>
  <c r="U25" i="43" s="1"/>
  <c r="P25" i="43"/>
  <c r="Q25" i="43" s="1"/>
  <c r="L25" i="43"/>
  <c r="M25" i="43" s="1"/>
  <c r="A26" i="43"/>
  <c r="B25" i="43"/>
  <c r="T20" i="42"/>
  <c r="U20" i="42" s="1"/>
  <c r="P20" i="42"/>
  <c r="Q20" i="42" s="1"/>
  <c r="L20" i="42"/>
  <c r="M20" i="42" s="1"/>
  <c r="H20" i="42"/>
  <c r="I20" i="42" s="1"/>
  <c r="D20" i="42"/>
  <c r="E20" i="42" s="1"/>
  <c r="A21" i="42"/>
  <c r="B20" i="42"/>
  <c r="T16" i="41"/>
  <c r="U16" i="41" s="1"/>
  <c r="P16" i="41"/>
  <c r="Q16" i="41" s="1"/>
  <c r="L16" i="41"/>
  <c r="M16" i="41" s="1"/>
  <c r="H16" i="41"/>
  <c r="I16" i="41" s="1"/>
  <c r="D16" i="41"/>
  <c r="E16" i="41" s="1"/>
  <c r="A17" i="41"/>
  <c r="B16" i="41"/>
  <c r="T15" i="40"/>
  <c r="U15" i="40" s="1"/>
  <c r="P15" i="40"/>
  <c r="Q15" i="40" s="1"/>
  <c r="L15" i="40"/>
  <c r="M15" i="40" s="1"/>
  <c r="H15" i="40"/>
  <c r="I15" i="40" s="1"/>
  <c r="D15" i="40"/>
  <c r="E15" i="40" s="1"/>
  <c r="A16" i="40"/>
  <c r="B15" i="40"/>
  <c r="T10" i="39"/>
  <c r="U10" i="39" s="1"/>
  <c r="P10" i="39"/>
  <c r="Q10" i="39" s="1"/>
  <c r="L10" i="39"/>
  <c r="M10" i="39" s="1"/>
  <c r="H10" i="39"/>
  <c r="I10" i="39" s="1"/>
  <c r="D10" i="39"/>
  <c r="E10" i="39" s="1"/>
  <c r="A11" i="39"/>
  <c r="B10" i="39"/>
  <c r="L5" i="38"/>
  <c r="M5" i="38" s="1"/>
  <c r="H5" i="38"/>
  <c r="I5" i="38" s="1"/>
  <c r="D5" i="38"/>
  <c r="E5" i="38" s="1"/>
  <c r="A6" i="38"/>
  <c r="B5" i="38"/>
  <c r="N19" i="42"/>
  <c r="R19" i="42"/>
  <c r="I1785" i="49"/>
  <c r="I1669" i="49"/>
  <c r="N14" i="40"/>
  <c r="V24" i="43"/>
  <c r="I1412" i="49"/>
  <c r="N24" i="43"/>
  <c r="J19" i="42"/>
  <c r="R29" i="44"/>
  <c r="V29" i="44"/>
  <c r="R15" i="41"/>
  <c r="F9" i="39"/>
  <c r="F14" i="40"/>
  <c r="V19" i="42"/>
  <c r="I1141" i="49"/>
  <c r="F20" i="42"/>
  <c r="R14" i="40"/>
  <c r="I1200" i="49"/>
  <c r="I1510" i="49"/>
  <c r="J15" i="41"/>
  <c r="I1160" i="49"/>
  <c r="I1648" i="49"/>
  <c r="V15" i="41"/>
  <c r="I1179" i="49"/>
  <c r="V9" i="39"/>
  <c r="I1433" i="49"/>
  <c r="I1227" i="49"/>
  <c r="J14" i="40"/>
  <c r="N15" i="41"/>
  <c r="J9" i="39"/>
  <c r="I1278" i="49"/>
  <c r="I1629" i="49"/>
  <c r="F15" i="41"/>
  <c r="N9" i="39"/>
  <c r="I1296" i="49"/>
  <c r="I1460" i="49"/>
  <c r="R9" i="39"/>
  <c r="I1528" i="49"/>
  <c r="N25" i="43"/>
  <c r="V14" i="40"/>
  <c r="I1261" i="49"/>
  <c r="N5" i="38"/>
  <c r="I1696" i="49"/>
  <c r="I1343" i="49"/>
  <c r="R24" i="43"/>
  <c r="I1374" i="49"/>
  <c r="F19" i="42"/>
  <c r="I1393" i="49"/>
  <c r="I1316" i="49"/>
  <c r="I1575" i="49"/>
  <c r="I1493" i="49"/>
  <c r="I1548" i="49"/>
  <c r="I1812" i="49"/>
  <c r="H1813" i="49" l="1"/>
  <c r="H1511" i="49"/>
  <c r="H1670" i="49"/>
  <c r="H1297" i="49"/>
  <c r="H1262" i="49"/>
  <c r="H1697" i="49"/>
  <c r="H1279" i="49"/>
  <c r="H1549" i="49"/>
  <c r="H1576" i="49"/>
  <c r="H1786" i="49"/>
  <c r="H1529" i="49"/>
  <c r="H1495" i="49"/>
  <c r="H1161" i="49"/>
  <c r="H1413" i="49"/>
  <c r="H1344" i="49"/>
  <c r="H1201" i="49"/>
  <c r="H1317" i="49"/>
  <c r="H1494" i="49"/>
  <c r="H1649" i="49"/>
  <c r="H1461" i="49"/>
  <c r="H1061" i="49"/>
  <c r="H1142" i="49"/>
  <c r="H1434" i="49"/>
  <c r="H1180" i="49"/>
  <c r="H1375" i="49"/>
  <c r="H1228" i="49"/>
  <c r="H1650" i="49"/>
  <c r="H1394" i="49"/>
  <c r="F1161" i="49"/>
  <c r="F1180" i="49"/>
  <c r="F1201" i="49"/>
  <c r="F1228" i="49"/>
  <c r="F1394" i="49"/>
  <c r="F1413" i="49"/>
  <c r="F1434" i="49"/>
  <c r="F1461" i="49"/>
  <c r="F1649" i="49"/>
  <c r="F1670" i="49"/>
  <c r="F1697" i="49"/>
  <c r="F1262" i="49"/>
  <c r="F1279" i="49"/>
  <c r="F1297" i="49"/>
  <c r="F1317" i="49"/>
  <c r="F1344" i="49"/>
  <c r="F1494" i="49"/>
  <c r="F1511" i="49"/>
  <c r="F1529" i="49"/>
  <c r="F1549" i="49"/>
  <c r="F1576" i="49"/>
  <c r="F1786" i="49"/>
  <c r="F1813" i="49"/>
  <c r="F1375" i="49"/>
  <c r="F1142" i="49"/>
  <c r="A37" i="45"/>
  <c r="B36" i="45"/>
  <c r="T31" i="44"/>
  <c r="U31" i="44" s="1"/>
  <c r="P31" i="44"/>
  <c r="Q31" i="44" s="1"/>
  <c r="A32" i="44"/>
  <c r="B31" i="44"/>
  <c r="T26" i="43"/>
  <c r="U26" i="43" s="1"/>
  <c r="P26" i="43"/>
  <c r="Q26" i="43" s="1"/>
  <c r="A27" i="43"/>
  <c r="B26" i="43"/>
  <c r="T21" i="42"/>
  <c r="U21" i="42" s="1"/>
  <c r="P21" i="42"/>
  <c r="Q21" i="42" s="1"/>
  <c r="L21" i="42"/>
  <c r="M21" i="42" s="1"/>
  <c r="H21" i="42"/>
  <c r="I21" i="42" s="1"/>
  <c r="A22" i="42"/>
  <c r="B21" i="42"/>
  <c r="T17" i="41"/>
  <c r="U17" i="41" s="1"/>
  <c r="P17" i="41"/>
  <c r="Q17" i="41" s="1"/>
  <c r="L17" i="41"/>
  <c r="M17" i="41" s="1"/>
  <c r="H17" i="41"/>
  <c r="I17" i="41" s="1"/>
  <c r="D17" i="41"/>
  <c r="E17" i="41" s="1"/>
  <c r="A18" i="41"/>
  <c r="B17" i="41"/>
  <c r="T16" i="40"/>
  <c r="U16" i="40" s="1"/>
  <c r="P16" i="40"/>
  <c r="Q16" i="40" s="1"/>
  <c r="L16" i="40"/>
  <c r="M16" i="40" s="1"/>
  <c r="H16" i="40"/>
  <c r="I16" i="40" s="1"/>
  <c r="D16" i="40"/>
  <c r="E16" i="40" s="1"/>
  <c r="A17" i="40"/>
  <c r="B16" i="40"/>
  <c r="T11" i="39"/>
  <c r="U11" i="39" s="1"/>
  <c r="P11" i="39"/>
  <c r="Q11" i="39" s="1"/>
  <c r="L11" i="39"/>
  <c r="M11" i="39" s="1"/>
  <c r="H11" i="39"/>
  <c r="I11" i="39" s="1"/>
  <c r="D11" i="39"/>
  <c r="E11" i="39" s="1"/>
  <c r="A12" i="39"/>
  <c r="B11" i="39"/>
  <c r="T6" i="38"/>
  <c r="U6" i="38" s="1"/>
  <c r="P6" i="38"/>
  <c r="Q6" i="38" s="1"/>
  <c r="L6" i="38"/>
  <c r="M6" i="38" s="1"/>
  <c r="H6" i="38"/>
  <c r="I6" i="38" s="1"/>
  <c r="D6" i="38"/>
  <c r="E6" i="38" s="1"/>
  <c r="A7" i="38"/>
  <c r="B6" i="38"/>
  <c r="I1161" i="49"/>
  <c r="I1461" i="49"/>
  <c r="N20" i="42"/>
  <c r="R15" i="40"/>
  <c r="F16" i="41"/>
  <c r="I1549" i="49"/>
  <c r="I1201" i="49"/>
  <c r="F15" i="40"/>
  <c r="R25" i="43"/>
  <c r="I1697" i="49"/>
  <c r="R6" i="38"/>
  <c r="I1434" i="49"/>
  <c r="R20" i="42"/>
  <c r="J16" i="41"/>
  <c r="I1262" i="49"/>
  <c r="J10" i="39"/>
  <c r="J20" i="42"/>
  <c r="I1813" i="49"/>
  <c r="I1494" i="49"/>
  <c r="V15" i="40"/>
  <c r="I1511" i="49"/>
  <c r="I1649" i="49"/>
  <c r="I1180" i="49"/>
  <c r="J15" i="40"/>
  <c r="I1228" i="49"/>
  <c r="R16" i="41"/>
  <c r="V20" i="42"/>
  <c r="V6" i="38"/>
  <c r="V10" i="39"/>
  <c r="N16" i="41"/>
  <c r="V30" i="44"/>
  <c r="I1344" i="49"/>
  <c r="I1529" i="49"/>
  <c r="I1317" i="49"/>
  <c r="I1670" i="49"/>
  <c r="I1394" i="49"/>
  <c r="I1297" i="49"/>
  <c r="N15" i="40"/>
  <c r="R30" i="44"/>
  <c r="I1279" i="49"/>
  <c r="V25" i="43"/>
  <c r="V16" i="41"/>
  <c r="R10" i="39"/>
  <c r="I1375" i="49"/>
  <c r="I1413" i="49"/>
  <c r="I1142" i="49"/>
  <c r="I1576" i="49"/>
  <c r="I1786" i="49"/>
  <c r="F10" i="39"/>
  <c r="N10" i="39"/>
  <c r="H1082" i="49" l="1"/>
  <c r="H1435" i="49"/>
  <c r="H1263" i="49"/>
  <c r="H1698" i="49"/>
  <c r="H1318" i="49"/>
  <c r="H1414" i="49"/>
  <c r="H1298" i="49"/>
  <c r="H1376" i="49"/>
  <c r="H1787" i="49"/>
  <c r="H1530" i="49"/>
  <c r="H1280" i="49"/>
  <c r="H1109" i="49"/>
  <c r="H1143" i="49"/>
  <c r="H1395" i="49"/>
  <c r="H1550" i="49"/>
  <c r="H1181" i="49"/>
  <c r="H1577" i="49"/>
  <c r="H1814" i="49"/>
  <c r="H1162" i="49"/>
  <c r="H1202" i="49"/>
  <c r="H1462" i="49"/>
  <c r="H1229" i="49"/>
  <c r="H1345" i="49"/>
  <c r="H1512" i="49"/>
  <c r="H1671" i="49"/>
  <c r="F1162" i="49"/>
  <c r="F1181" i="49"/>
  <c r="F1202" i="49"/>
  <c r="F1229" i="49"/>
  <c r="F1395" i="49"/>
  <c r="F1414" i="49"/>
  <c r="F1435" i="49"/>
  <c r="F1462" i="49"/>
  <c r="F1671" i="49"/>
  <c r="F1698" i="49"/>
  <c r="F1495" i="49"/>
  <c r="F1263" i="49"/>
  <c r="F1280" i="49"/>
  <c r="F1298" i="49"/>
  <c r="F1318" i="49"/>
  <c r="F1345" i="49"/>
  <c r="F1512" i="49"/>
  <c r="F1530" i="49"/>
  <c r="F1550" i="49"/>
  <c r="F1577" i="49"/>
  <c r="F1787" i="49"/>
  <c r="F1814" i="49"/>
  <c r="F1650" i="49"/>
  <c r="F1376" i="49"/>
  <c r="F1143" i="49"/>
  <c r="A38" i="45"/>
  <c r="B37" i="45"/>
  <c r="T32" i="44"/>
  <c r="U32" i="44" s="1"/>
  <c r="P32" i="44"/>
  <c r="Q32" i="44" s="1"/>
  <c r="A33" i="44"/>
  <c r="B32" i="44"/>
  <c r="T27" i="43"/>
  <c r="U27" i="43" s="1"/>
  <c r="P27" i="43"/>
  <c r="Q27" i="43" s="1"/>
  <c r="A28" i="43"/>
  <c r="B27" i="43"/>
  <c r="T22" i="42"/>
  <c r="U22" i="42" s="1"/>
  <c r="P22" i="42"/>
  <c r="Q22" i="42" s="1"/>
  <c r="L22" i="42"/>
  <c r="M22" i="42" s="1"/>
  <c r="H22" i="42"/>
  <c r="I22" i="42" s="1"/>
  <c r="A23" i="42"/>
  <c r="B22" i="42"/>
  <c r="T18" i="41"/>
  <c r="U18" i="41" s="1"/>
  <c r="P18" i="41"/>
  <c r="Q18" i="41" s="1"/>
  <c r="L18" i="41"/>
  <c r="M18" i="41" s="1"/>
  <c r="H18" i="41"/>
  <c r="I18" i="41" s="1"/>
  <c r="D18" i="41"/>
  <c r="E18" i="41" s="1"/>
  <c r="A19" i="41"/>
  <c r="B18" i="41"/>
  <c r="T17" i="40"/>
  <c r="U17" i="40" s="1"/>
  <c r="P17" i="40"/>
  <c r="Q17" i="40" s="1"/>
  <c r="L17" i="40"/>
  <c r="M17" i="40" s="1"/>
  <c r="H17" i="40"/>
  <c r="I17" i="40" s="1"/>
  <c r="D17" i="40"/>
  <c r="E17" i="40" s="1"/>
  <c r="A18" i="40"/>
  <c r="B17" i="40"/>
  <c r="T12" i="39"/>
  <c r="U12" i="39" s="1"/>
  <c r="P12" i="39"/>
  <c r="Q12" i="39" s="1"/>
  <c r="L12" i="39"/>
  <c r="M12" i="39" s="1"/>
  <c r="H12" i="39"/>
  <c r="I12" i="39" s="1"/>
  <c r="D12" i="39"/>
  <c r="E12" i="39" s="1"/>
  <c r="A13" i="39"/>
  <c r="B12" i="39"/>
  <c r="H4" i="38"/>
  <c r="I4" i="38" s="1"/>
  <c r="T7" i="38"/>
  <c r="U7" i="38" s="1"/>
  <c r="P7" i="38"/>
  <c r="Q7" i="38" s="1"/>
  <c r="L7" i="38"/>
  <c r="M7" i="38" s="1"/>
  <c r="H7" i="38"/>
  <c r="I7" i="38" s="1"/>
  <c r="D7" i="38"/>
  <c r="E7" i="38" s="1"/>
  <c r="A8" i="38"/>
  <c r="B7" i="38"/>
  <c r="I1298" i="49"/>
  <c r="F6" i="38"/>
  <c r="J6" i="38"/>
  <c r="I1512" i="49"/>
  <c r="V26" i="43"/>
  <c r="R32" i="44"/>
  <c r="I1162" i="49"/>
  <c r="I1280" i="49"/>
  <c r="I1414" i="49"/>
  <c r="I1318" i="49"/>
  <c r="V21" i="42"/>
  <c r="I1376" i="49"/>
  <c r="I1143" i="49"/>
  <c r="N6" i="38"/>
  <c r="I1698" i="49"/>
  <c r="N11" i="39"/>
  <c r="I1577" i="49"/>
  <c r="I1814" i="49"/>
  <c r="N21" i="42"/>
  <c r="I1671" i="49"/>
  <c r="I1435" i="49"/>
  <c r="J22" i="42"/>
  <c r="I1495" i="49"/>
  <c r="R21" i="42"/>
  <c r="N17" i="41"/>
  <c r="I1229" i="49"/>
  <c r="I1650" i="49"/>
  <c r="I1787" i="49"/>
  <c r="R17" i="41"/>
  <c r="F11" i="39"/>
  <c r="R26" i="43"/>
  <c r="N16" i="40"/>
  <c r="V31" i="44"/>
  <c r="I1395" i="49"/>
  <c r="I1263" i="49"/>
  <c r="I1345" i="49"/>
  <c r="R11" i="39"/>
  <c r="V11" i="39"/>
  <c r="J11" i="39"/>
  <c r="R16" i="40"/>
  <c r="J17" i="41"/>
  <c r="I1530" i="49"/>
  <c r="I1181" i="49"/>
  <c r="J16" i="40"/>
  <c r="J21" i="42"/>
  <c r="I1202" i="49"/>
  <c r="J4" i="38"/>
  <c r="F16" i="40"/>
  <c r="I1550" i="49"/>
  <c r="J5" i="38"/>
  <c r="V16" i="40"/>
  <c r="R31" i="44"/>
  <c r="V17" i="41"/>
  <c r="F17" i="41"/>
  <c r="I1462" i="49"/>
  <c r="H1144" i="49" l="1"/>
  <c r="H1182" i="49"/>
  <c r="H1027" i="49"/>
  <c r="H1203" i="49"/>
  <c r="H1672" i="49"/>
  <c r="H1043" i="49"/>
  <c r="H1436" i="49"/>
  <c r="H1346" i="49"/>
  <c r="H1578" i="49"/>
  <c r="H1044" i="49"/>
  <c r="H1699" i="49"/>
  <c r="H1042" i="49"/>
  <c r="H1463" i="49"/>
  <c r="H1396" i="49"/>
  <c r="H1264" i="49"/>
  <c r="H1551" i="49"/>
  <c r="H1377" i="49"/>
  <c r="H1789" i="49"/>
  <c r="H1415" i="49"/>
  <c r="H1815" i="49"/>
  <c r="H1514" i="49"/>
  <c r="H1513" i="49"/>
  <c r="H1062" i="49"/>
  <c r="H1319" i="49"/>
  <c r="H1788" i="49"/>
  <c r="H1230" i="49"/>
  <c r="H1531" i="49"/>
  <c r="H1281" i="49"/>
  <c r="H1163" i="49"/>
  <c r="H1299" i="49"/>
  <c r="F1163" i="49"/>
  <c r="F1182" i="49"/>
  <c r="F1203" i="49"/>
  <c r="F1230" i="49"/>
  <c r="F1396" i="49"/>
  <c r="F1415" i="49"/>
  <c r="F1436" i="49"/>
  <c r="F1463" i="49"/>
  <c r="F1672" i="49"/>
  <c r="F1699" i="49"/>
  <c r="F1264" i="49"/>
  <c r="F1281" i="49"/>
  <c r="F1299" i="49"/>
  <c r="F1319" i="49"/>
  <c r="F1346" i="49"/>
  <c r="F1513" i="49"/>
  <c r="F1531" i="49"/>
  <c r="F1551" i="49"/>
  <c r="F1578" i="49"/>
  <c r="F1788" i="49"/>
  <c r="F1815" i="49"/>
  <c r="F1377" i="49"/>
  <c r="F1144" i="49"/>
  <c r="A39" i="45"/>
  <c r="B38" i="45"/>
  <c r="T33" i="44"/>
  <c r="U33" i="44" s="1"/>
  <c r="A34" i="44"/>
  <c r="B33" i="44"/>
  <c r="T28" i="43"/>
  <c r="U28" i="43" s="1"/>
  <c r="P28" i="43"/>
  <c r="Q28" i="43" s="1"/>
  <c r="A29" i="43"/>
  <c r="B28" i="43"/>
  <c r="T23" i="42"/>
  <c r="U23" i="42" s="1"/>
  <c r="P23" i="42"/>
  <c r="Q23" i="42" s="1"/>
  <c r="L23" i="42"/>
  <c r="M23" i="42" s="1"/>
  <c r="A24" i="42"/>
  <c r="B23" i="42"/>
  <c r="T19" i="41"/>
  <c r="U19" i="41" s="1"/>
  <c r="P19" i="41"/>
  <c r="Q19" i="41" s="1"/>
  <c r="L19" i="41"/>
  <c r="M19" i="41" s="1"/>
  <c r="H19" i="41"/>
  <c r="I19" i="41" s="1"/>
  <c r="D19" i="41"/>
  <c r="E19" i="41" s="1"/>
  <c r="A20" i="41"/>
  <c r="B19" i="41"/>
  <c r="T18" i="40"/>
  <c r="U18" i="40" s="1"/>
  <c r="P18" i="40"/>
  <c r="Q18" i="40" s="1"/>
  <c r="L18" i="40"/>
  <c r="M18" i="40" s="1"/>
  <c r="H18" i="40"/>
  <c r="I18" i="40" s="1"/>
  <c r="D18" i="40"/>
  <c r="E18" i="40" s="1"/>
  <c r="A19" i="40"/>
  <c r="B18" i="40"/>
  <c r="T13" i="39"/>
  <c r="U13" i="39" s="1"/>
  <c r="P13" i="39"/>
  <c r="Q13" i="39" s="1"/>
  <c r="L13" i="39"/>
  <c r="M13" i="39" s="1"/>
  <c r="H13" i="39"/>
  <c r="I13" i="39" s="1"/>
  <c r="D13" i="39"/>
  <c r="E13" i="39" s="1"/>
  <c r="A14" i="39"/>
  <c r="B13" i="39"/>
  <c r="D4" i="38"/>
  <c r="E4" i="38" s="1"/>
  <c r="T8" i="38"/>
  <c r="U8" i="38" s="1"/>
  <c r="P8" i="38"/>
  <c r="Q8" i="38" s="1"/>
  <c r="L8" i="38"/>
  <c r="M8" i="38" s="1"/>
  <c r="H8" i="38"/>
  <c r="I8" i="38" s="1"/>
  <c r="D8" i="38"/>
  <c r="E8" i="38" s="1"/>
  <c r="A9" i="38"/>
  <c r="B8" i="38"/>
  <c r="B4" i="38"/>
  <c r="S25" i="37"/>
  <c r="O21" i="37"/>
  <c r="J18" i="41"/>
  <c r="G19" i="37"/>
  <c r="K7" i="37"/>
  <c r="O23" i="37"/>
  <c r="C16" i="37"/>
  <c r="K15" i="37"/>
  <c r="S31" i="37"/>
  <c r="K18" i="37"/>
  <c r="V33" i="44"/>
  <c r="G9" i="37"/>
  <c r="O20" i="37"/>
  <c r="K14" i="37"/>
  <c r="C9" i="37"/>
  <c r="O31" i="37"/>
  <c r="S21" i="37"/>
  <c r="G10" i="37"/>
  <c r="N7" i="38"/>
  <c r="G5" i="37"/>
  <c r="O19" i="37"/>
  <c r="O14" i="37"/>
  <c r="S22" i="37"/>
  <c r="S24" i="37"/>
  <c r="I1346" i="49"/>
  <c r="I1299" i="49"/>
  <c r="O28" i="37"/>
  <c r="K5" i="37"/>
  <c r="I1230" i="49"/>
  <c r="S14" i="37"/>
  <c r="K24" i="37"/>
  <c r="C21" i="37"/>
  <c r="S13" i="37"/>
  <c r="O10" i="37"/>
  <c r="O13" i="37"/>
  <c r="I1672" i="49"/>
  <c r="G13" i="37"/>
  <c r="S30" i="37"/>
  <c r="O25" i="37"/>
  <c r="K21" i="37"/>
  <c r="I1578" i="49"/>
  <c r="F12" i="39"/>
  <c r="G16" i="37"/>
  <c r="F4" i="38"/>
  <c r="K8" i="37"/>
  <c r="R12" i="39"/>
  <c r="I1815" i="49"/>
  <c r="C14" i="37"/>
  <c r="C5" i="37"/>
  <c r="C6" i="37"/>
  <c r="S23" i="37"/>
  <c r="N18" i="41"/>
  <c r="J7" i="38"/>
  <c r="C17" i="37"/>
  <c r="N12" i="39"/>
  <c r="C11" i="37"/>
  <c r="S27" i="37"/>
  <c r="K10" i="37"/>
  <c r="V32" i="44"/>
  <c r="N22" i="42"/>
  <c r="G22" i="37"/>
  <c r="K19" i="37"/>
  <c r="O12" i="37"/>
  <c r="G11" i="37"/>
  <c r="F7" i="38"/>
  <c r="V22" i="42"/>
  <c r="I1551" i="49"/>
  <c r="G14" i="37"/>
  <c r="R18" i="41"/>
  <c r="I1203" i="49"/>
  <c r="V18" i="41"/>
  <c r="I1281" i="49"/>
  <c r="O5" i="37"/>
  <c r="S29" i="37"/>
  <c r="G15" i="37"/>
  <c r="R22" i="42"/>
  <c r="I1463" i="49"/>
  <c r="G20" i="37"/>
  <c r="G4" i="37"/>
  <c r="O29" i="37"/>
  <c r="S10" i="37"/>
  <c r="G21" i="37"/>
  <c r="O11" i="37"/>
  <c r="I1396" i="49"/>
  <c r="V27" i="43"/>
  <c r="O7" i="37"/>
  <c r="C13" i="37"/>
  <c r="S19" i="37"/>
  <c r="I1415" i="49"/>
  <c r="V12" i="39"/>
  <c r="I1264" i="49"/>
  <c r="O16" i="37"/>
  <c r="C8" i="37"/>
  <c r="S9" i="37"/>
  <c r="R17" i="40"/>
  <c r="G7" i="37"/>
  <c r="O26" i="37"/>
  <c r="S26" i="37"/>
  <c r="S6" i="37"/>
  <c r="S32" i="37"/>
  <c r="S11" i="37"/>
  <c r="I1144" i="49"/>
  <c r="C12" i="37"/>
  <c r="O9" i="37"/>
  <c r="I1788" i="49"/>
  <c r="S7" i="37"/>
  <c r="G12" i="37"/>
  <c r="K25" i="37"/>
  <c r="O22" i="37"/>
  <c r="O18" i="37"/>
  <c r="J17" i="40"/>
  <c r="I1163" i="49"/>
  <c r="K6" i="37"/>
  <c r="F17" i="40"/>
  <c r="C20" i="37"/>
  <c r="J12" i="39"/>
  <c r="S8" i="37"/>
  <c r="I1531" i="49"/>
  <c r="C15" i="37"/>
  <c r="O30" i="37"/>
  <c r="K9" i="37"/>
  <c r="C18" i="37"/>
  <c r="O6" i="37"/>
  <c r="I1699" i="49"/>
  <c r="I1377" i="49"/>
  <c r="S16" i="37"/>
  <c r="K13" i="37"/>
  <c r="O8" i="37"/>
  <c r="O15" i="37"/>
  <c r="R7" i="38"/>
  <c r="K11" i="37"/>
  <c r="S18" i="37"/>
  <c r="S20" i="37"/>
  <c r="I1182" i="49"/>
  <c r="O17" i="37"/>
  <c r="C7" i="37"/>
  <c r="K17" i="37"/>
  <c r="S28" i="37"/>
  <c r="K20" i="37"/>
  <c r="N17" i="40"/>
  <c r="G18" i="37"/>
  <c r="G6" i="37"/>
  <c r="I1319" i="49"/>
  <c r="O24" i="37"/>
  <c r="K23" i="37"/>
  <c r="V17" i="40"/>
  <c r="F18" i="41"/>
  <c r="F5" i="38"/>
  <c r="S12" i="37"/>
  <c r="V7" i="38"/>
  <c r="K22" i="37"/>
  <c r="K16" i="37"/>
  <c r="S15" i="37"/>
  <c r="G17" i="37"/>
  <c r="R27" i="43"/>
  <c r="C19" i="37"/>
  <c r="S17" i="37"/>
  <c r="I1513" i="49"/>
  <c r="K12" i="37"/>
  <c r="G8" i="37"/>
  <c r="I1436" i="49"/>
  <c r="O27" i="37"/>
  <c r="C22" i="37"/>
  <c r="G23" i="37"/>
  <c r="C10" i="37"/>
  <c r="H1145" i="49" l="1"/>
  <c r="H1164" i="49"/>
  <c r="H1673" i="49"/>
  <c r="H1816" i="49"/>
  <c r="H1231" i="49"/>
  <c r="H1552" i="49"/>
  <c r="H1347" i="49"/>
  <c r="H1532" i="49"/>
  <c r="H1083" i="49"/>
  <c r="H1416" i="49"/>
  <c r="H1265" i="49"/>
  <c r="H1579" i="49"/>
  <c r="H1025" i="49"/>
  <c r="H1464" i="49"/>
  <c r="H1437" i="49"/>
  <c r="H1110" i="49"/>
  <c r="H1183" i="49"/>
  <c r="H1378" i="49"/>
  <c r="H1045" i="49"/>
  <c r="H1817" i="49"/>
  <c r="H1300" i="49"/>
  <c r="H1204" i="49"/>
  <c r="H1700" i="49"/>
  <c r="H1026" i="49"/>
  <c r="H1028" i="49"/>
  <c r="H1282" i="49"/>
  <c r="H1397" i="49"/>
  <c r="H1063" i="49"/>
  <c r="H1320" i="49"/>
  <c r="F1164" i="49"/>
  <c r="F1183" i="49"/>
  <c r="F1204" i="49"/>
  <c r="F1231" i="49"/>
  <c r="F1397" i="49"/>
  <c r="F1416" i="49"/>
  <c r="F1437" i="49"/>
  <c r="F1464" i="49"/>
  <c r="F1673" i="49"/>
  <c r="F1700" i="49"/>
  <c r="F1514" i="49"/>
  <c r="F1061" i="49"/>
  <c r="F1789" i="49"/>
  <c r="F1082" i="49"/>
  <c r="F1027" i="49"/>
  <c r="F1109" i="49"/>
  <c r="F1042" i="49"/>
  <c r="F1043" i="49"/>
  <c r="F1044" i="49"/>
  <c r="F1062" i="49"/>
  <c r="F1028" i="49"/>
  <c r="F1045" i="49"/>
  <c r="F1063" i="49"/>
  <c r="F1083" i="49"/>
  <c r="F1110" i="49"/>
  <c r="F1026" i="49"/>
  <c r="F1025" i="49"/>
  <c r="F1265" i="49"/>
  <c r="F1282" i="49"/>
  <c r="F1300" i="49"/>
  <c r="F1320" i="49"/>
  <c r="F1347" i="49"/>
  <c r="F1532" i="49"/>
  <c r="F1552" i="49"/>
  <c r="F1579" i="49"/>
  <c r="F1816" i="49"/>
  <c r="F1378" i="49"/>
  <c r="F1145" i="49"/>
  <c r="A40" i="45"/>
  <c r="B39" i="45"/>
  <c r="A35" i="44"/>
  <c r="B34" i="44"/>
  <c r="T29" i="43"/>
  <c r="U29" i="43" s="1"/>
  <c r="P29" i="43"/>
  <c r="Q29" i="43" s="1"/>
  <c r="A30" i="43"/>
  <c r="B29" i="43"/>
  <c r="T24" i="42"/>
  <c r="U24" i="42" s="1"/>
  <c r="P24" i="42"/>
  <c r="Q24" i="42" s="1"/>
  <c r="L24" i="42"/>
  <c r="M24" i="42" s="1"/>
  <c r="A25" i="42"/>
  <c r="B24" i="42"/>
  <c r="T20" i="41"/>
  <c r="U20" i="41" s="1"/>
  <c r="P20" i="41"/>
  <c r="Q20" i="41" s="1"/>
  <c r="L20" i="41"/>
  <c r="M20" i="41" s="1"/>
  <c r="H20" i="41"/>
  <c r="I20" i="41" s="1"/>
  <c r="D20" i="41"/>
  <c r="E20" i="41" s="1"/>
  <c r="A21" i="41"/>
  <c r="B20" i="41"/>
  <c r="T19" i="40"/>
  <c r="U19" i="40" s="1"/>
  <c r="P19" i="40"/>
  <c r="Q19" i="40" s="1"/>
  <c r="L19" i="40"/>
  <c r="M19" i="40" s="1"/>
  <c r="H19" i="40"/>
  <c r="I19" i="40" s="1"/>
  <c r="D19" i="40"/>
  <c r="E19" i="40" s="1"/>
  <c r="A20" i="40"/>
  <c r="B19" i="40"/>
  <c r="T14" i="39"/>
  <c r="U14" i="39" s="1"/>
  <c r="P14" i="39"/>
  <c r="Q14" i="39" s="1"/>
  <c r="L14" i="39"/>
  <c r="M14" i="39" s="1"/>
  <c r="H14" i="39"/>
  <c r="I14" i="39" s="1"/>
  <c r="D14" i="39"/>
  <c r="E14" i="39" s="1"/>
  <c r="A15" i="39"/>
  <c r="B14" i="39"/>
  <c r="T9" i="38"/>
  <c r="U9" i="38" s="1"/>
  <c r="P9" i="38"/>
  <c r="Q9" i="38" s="1"/>
  <c r="L9" i="38"/>
  <c r="M9" i="38" s="1"/>
  <c r="H9" i="38"/>
  <c r="I9" i="38" s="1"/>
  <c r="D9" i="38"/>
  <c r="E9" i="38" s="1"/>
  <c r="A10" i="38"/>
  <c r="B9" i="38"/>
  <c r="A5" i="37"/>
  <c r="I1061" i="49"/>
  <c r="F19" i="41"/>
  <c r="V19" i="41"/>
  <c r="I1164" i="49"/>
  <c r="I1145" i="49"/>
  <c r="I1063" i="49"/>
  <c r="V23" i="42"/>
  <c r="I1378" i="49"/>
  <c r="I1204" i="49"/>
  <c r="I1700" i="49"/>
  <c r="I1514" i="49"/>
  <c r="F18" i="40"/>
  <c r="I1045" i="49"/>
  <c r="N18" i="40"/>
  <c r="F8" i="38"/>
  <c r="N19" i="41"/>
  <c r="I1025" i="49"/>
  <c r="R23" i="42"/>
  <c r="I1062" i="49"/>
  <c r="I1043" i="49"/>
  <c r="J18" i="40"/>
  <c r="I1265" i="49"/>
  <c r="I1464" i="49"/>
  <c r="I1437" i="49"/>
  <c r="I1109" i="49"/>
  <c r="I1083" i="49"/>
  <c r="I1042" i="49"/>
  <c r="I1347" i="49"/>
  <c r="I1673" i="49"/>
  <c r="I1579" i="49"/>
  <c r="I1231" i="49"/>
  <c r="R8" i="38"/>
  <c r="J19" i="41"/>
  <c r="R13" i="39"/>
  <c r="V18" i="40"/>
  <c r="I1532" i="49"/>
  <c r="I1320" i="49"/>
  <c r="I1183" i="49"/>
  <c r="V8" i="38"/>
  <c r="I1789" i="49"/>
  <c r="V28" i="43"/>
  <c r="I1028" i="49"/>
  <c r="I1282" i="49"/>
  <c r="R19" i="41"/>
  <c r="N13" i="39"/>
  <c r="I1110" i="49"/>
  <c r="I1416" i="49"/>
  <c r="J8" i="38"/>
  <c r="R18" i="40"/>
  <c r="I1397" i="49"/>
  <c r="F13" i="39"/>
  <c r="I1027" i="49"/>
  <c r="R28" i="43"/>
  <c r="I1816" i="49"/>
  <c r="I1552" i="49"/>
  <c r="C4" i="37"/>
  <c r="N8" i="38"/>
  <c r="I1026" i="49"/>
  <c r="I1082" i="49"/>
  <c r="N23" i="42"/>
  <c r="V13" i="39"/>
  <c r="J13" i="39"/>
  <c r="I1300" i="49"/>
  <c r="I1044" i="49"/>
  <c r="H1046" i="49" l="1"/>
  <c r="H1029" i="49"/>
  <c r="H1398" i="49"/>
  <c r="H1064" i="49"/>
  <c r="H1533" i="49"/>
  <c r="H1205" i="49"/>
  <c r="H1111" i="49"/>
  <c r="H1438" i="49"/>
  <c r="H1321" i="49"/>
  <c r="H1146" i="49"/>
  <c r="H1348" i="49"/>
  <c r="H1283" i="49"/>
  <c r="H1379" i="49"/>
  <c r="H1084" i="49"/>
  <c r="H1184" i="49"/>
  <c r="H1701" i="49"/>
  <c r="H1465" i="49"/>
  <c r="H1553" i="49"/>
  <c r="H1266" i="49"/>
  <c r="H1165" i="49"/>
  <c r="H1417" i="49"/>
  <c r="H1232" i="49"/>
  <c r="H1674" i="49"/>
  <c r="H1301" i="49"/>
  <c r="H1580" i="49"/>
  <c r="F1146" i="49"/>
  <c r="F1165" i="49"/>
  <c r="F1184" i="49"/>
  <c r="F1205" i="49"/>
  <c r="F1232" i="49"/>
  <c r="F1398" i="49"/>
  <c r="F1417" i="49"/>
  <c r="F1438" i="49"/>
  <c r="F1465" i="49"/>
  <c r="F1674" i="49"/>
  <c r="F1701" i="49"/>
  <c r="F1029" i="49"/>
  <c r="F1046" i="49"/>
  <c r="F1064" i="49"/>
  <c r="F1084" i="49"/>
  <c r="F1111" i="49"/>
  <c r="F1266" i="49"/>
  <c r="F1283" i="49"/>
  <c r="F1301" i="49"/>
  <c r="F1321" i="49"/>
  <c r="F1348" i="49"/>
  <c r="F1533" i="49"/>
  <c r="F1553" i="49"/>
  <c r="F1580" i="49"/>
  <c r="F1817" i="49"/>
  <c r="F1379" i="49"/>
  <c r="B40" i="45"/>
  <c r="A36" i="44"/>
  <c r="B35" i="44"/>
  <c r="T30" i="43"/>
  <c r="U30" i="43" s="1"/>
  <c r="P30" i="43"/>
  <c r="Q30" i="43" s="1"/>
  <c r="A31" i="43"/>
  <c r="B30" i="43"/>
  <c r="T25" i="42"/>
  <c r="U25" i="42" s="1"/>
  <c r="P25" i="42"/>
  <c r="Q25" i="42" s="1"/>
  <c r="L25" i="42"/>
  <c r="M25" i="42" s="1"/>
  <c r="A26" i="42"/>
  <c r="B25" i="42"/>
  <c r="T21" i="41"/>
  <c r="U21" i="41" s="1"/>
  <c r="P21" i="41"/>
  <c r="Q21" i="41" s="1"/>
  <c r="L21" i="41"/>
  <c r="M21" i="41" s="1"/>
  <c r="H21" i="41"/>
  <c r="I21" i="41" s="1"/>
  <c r="D21" i="41"/>
  <c r="E21" i="41" s="1"/>
  <c r="A22" i="41"/>
  <c r="B21" i="41"/>
  <c r="T20" i="40"/>
  <c r="U20" i="40" s="1"/>
  <c r="P20" i="40"/>
  <c r="Q20" i="40" s="1"/>
  <c r="L20" i="40"/>
  <c r="M20" i="40" s="1"/>
  <c r="H20" i="40"/>
  <c r="I20" i="40" s="1"/>
  <c r="D20" i="40"/>
  <c r="E20" i="40" s="1"/>
  <c r="A21" i="40"/>
  <c r="B20" i="40"/>
  <c r="T15" i="39"/>
  <c r="U15" i="39" s="1"/>
  <c r="P15" i="39"/>
  <c r="Q15" i="39" s="1"/>
  <c r="L15" i="39"/>
  <c r="M15" i="39" s="1"/>
  <c r="H15" i="39"/>
  <c r="I15" i="39" s="1"/>
  <c r="D15" i="39"/>
  <c r="E15" i="39" s="1"/>
  <c r="A16" i="39"/>
  <c r="B15" i="39"/>
  <c r="T10" i="38"/>
  <c r="U10" i="38" s="1"/>
  <c r="P10" i="38"/>
  <c r="Q10" i="38" s="1"/>
  <c r="L10" i="38"/>
  <c r="M10" i="38" s="1"/>
  <c r="H10" i="38"/>
  <c r="I10" i="38" s="1"/>
  <c r="D10" i="38"/>
  <c r="E10" i="38" s="1"/>
  <c r="A11" i="38"/>
  <c r="B10" i="38"/>
  <c r="P5" i="37"/>
  <c r="Q5" i="37" s="1"/>
  <c r="L5" i="37"/>
  <c r="M5" i="37" s="1"/>
  <c r="H5" i="37"/>
  <c r="I5" i="37" s="1"/>
  <c r="D5" i="37"/>
  <c r="E5" i="37" s="1"/>
  <c r="A6" i="37"/>
  <c r="B5" i="37"/>
  <c r="F9" i="38"/>
  <c r="I1674" i="49"/>
  <c r="R24" i="42"/>
  <c r="I1205" i="49"/>
  <c r="I1817" i="49"/>
  <c r="F14" i="39"/>
  <c r="V19" i="40"/>
  <c r="I1165" i="49"/>
  <c r="J14" i="39"/>
  <c r="I1146" i="49"/>
  <c r="I1046" i="49"/>
  <c r="J20" i="41"/>
  <c r="N25" i="42"/>
  <c r="I1064" i="49"/>
  <c r="R29" i="43"/>
  <c r="V14" i="39"/>
  <c r="I1301" i="49"/>
  <c r="N19" i="40"/>
  <c r="F19" i="40"/>
  <c r="I1321" i="49"/>
  <c r="I1283" i="49"/>
  <c r="R9" i="38"/>
  <c r="F20" i="41"/>
  <c r="I1232" i="49"/>
  <c r="I1111" i="49"/>
  <c r="J9" i="38"/>
  <c r="V24" i="42"/>
  <c r="R14" i="39"/>
  <c r="N20" i="41"/>
  <c r="I1465" i="49"/>
  <c r="N24" i="42"/>
  <c r="I1438" i="49"/>
  <c r="I1348" i="49"/>
  <c r="J19" i="40"/>
  <c r="I1417" i="49"/>
  <c r="N14" i="39"/>
  <c r="I1533" i="49"/>
  <c r="R5" i="37"/>
  <c r="I1084" i="49"/>
  <c r="I1701" i="49"/>
  <c r="N9" i="38"/>
  <c r="F20" i="40"/>
  <c r="I1553" i="49"/>
  <c r="I1398" i="49"/>
  <c r="R19" i="40"/>
  <c r="R20" i="41"/>
  <c r="V9" i="38"/>
  <c r="V29" i="43"/>
  <c r="I1184" i="49"/>
  <c r="I1580" i="49"/>
  <c r="I1029" i="49"/>
  <c r="I1266" i="49"/>
  <c r="V20" i="41"/>
  <c r="I1379" i="49"/>
  <c r="N5" i="37"/>
  <c r="H1147" i="49" l="1"/>
  <c r="H1268" i="49"/>
  <c r="H949" i="49"/>
  <c r="H1206" i="49"/>
  <c r="H1065" i="49"/>
  <c r="H1554" i="49"/>
  <c r="H1380" i="49"/>
  <c r="H1185" i="49"/>
  <c r="H970" i="49"/>
  <c r="H1534" i="49"/>
  <c r="H1267" i="49"/>
  <c r="H1466" i="49"/>
  <c r="H1030" i="49"/>
  <c r="H1302" i="49"/>
  <c r="H1349" i="49"/>
  <c r="H1085" i="49"/>
  <c r="H1112" i="49"/>
  <c r="H1233" i="49"/>
  <c r="H1166" i="49"/>
  <c r="H1047" i="49"/>
  <c r="H1675" i="49"/>
  <c r="H1439" i="49"/>
  <c r="H1284" i="49"/>
  <c r="H1418" i="49"/>
  <c r="H1535" i="49"/>
  <c r="H1322" i="49"/>
  <c r="H1399" i="49"/>
  <c r="H1581" i="49"/>
  <c r="H1702" i="49"/>
  <c r="F1166" i="49"/>
  <c r="F1185" i="49"/>
  <c r="F1206" i="49"/>
  <c r="F1233" i="49"/>
  <c r="F1399" i="49"/>
  <c r="F1418" i="49"/>
  <c r="F1439" i="49"/>
  <c r="F1466" i="49"/>
  <c r="F1675" i="49"/>
  <c r="F1702" i="49"/>
  <c r="F1030" i="49"/>
  <c r="F1047" i="49"/>
  <c r="F1065" i="49"/>
  <c r="F1085" i="49"/>
  <c r="F1112" i="49"/>
  <c r="F1267" i="49"/>
  <c r="F1284" i="49"/>
  <c r="F1302" i="49"/>
  <c r="F1322" i="49"/>
  <c r="F1349" i="49"/>
  <c r="F1534" i="49"/>
  <c r="F1554" i="49"/>
  <c r="F1581" i="49"/>
  <c r="F1380" i="49"/>
  <c r="F1147" i="49"/>
  <c r="A37" i="44"/>
  <c r="B36" i="44"/>
  <c r="T31" i="43"/>
  <c r="U31" i="43" s="1"/>
  <c r="P31" i="43"/>
  <c r="Q31" i="43" s="1"/>
  <c r="A32" i="43"/>
  <c r="B31" i="43"/>
  <c r="T26" i="42"/>
  <c r="U26" i="42" s="1"/>
  <c r="P26" i="42"/>
  <c r="Q26" i="42" s="1"/>
  <c r="A27" i="42"/>
  <c r="B26" i="42"/>
  <c r="T22" i="41"/>
  <c r="U22" i="41" s="1"/>
  <c r="P22" i="41"/>
  <c r="Q22" i="41" s="1"/>
  <c r="L22" i="41"/>
  <c r="M22" i="41" s="1"/>
  <c r="H22" i="41"/>
  <c r="I22" i="41" s="1"/>
  <c r="D22" i="41"/>
  <c r="E22" i="41" s="1"/>
  <c r="A23" i="41"/>
  <c r="B22" i="41"/>
  <c r="T21" i="40"/>
  <c r="U21" i="40" s="1"/>
  <c r="P21" i="40"/>
  <c r="Q21" i="40" s="1"/>
  <c r="L21" i="40"/>
  <c r="M21" i="40" s="1"/>
  <c r="H21" i="40"/>
  <c r="I21" i="40" s="1"/>
  <c r="A22" i="40"/>
  <c r="B21" i="40"/>
  <c r="T16" i="39"/>
  <c r="U16" i="39" s="1"/>
  <c r="P16" i="39"/>
  <c r="Q16" i="39" s="1"/>
  <c r="L16" i="39"/>
  <c r="M16" i="39" s="1"/>
  <c r="H16" i="39"/>
  <c r="I16" i="39" s="1"/>
  <c r="D16" i="39"/>
  <c r="E16" i="39" s="1"/>
  <c r="A17" i="39"/>
  <c r="B16" i="39"/>
  <c r="T11" i="38"/>
  <c r="U11" i="38" s="1"/>
  <c r="P11" i="38"/>
  <c r="Q11" i="38" s="1"/>
  <c r="L11" i="38"/>
  <c r="M11" i="38" s="1"/>
  <c r="H11" i="38"/>
  <c r="I11" i="38" s="1"/>
  <c r="D11" i="38"/>
  <c r="E11" i="38" s="1"/>
  <c r="A12" i="38"/>
  <c r="B11" i="38"/>
  <c r="T6" i="37"/>
  <c r="U6" i="37" s="1"/>
  <c r="P6" i="37"/>
  <c r="Q6" i="37" s="1"/>
  <c r="L6" i="37"/>
  <c r="M6" i="37" s="1"/>
  <c r="H6" i="37"/>
  <c r="I6" i="37" s="1"/>
  <c r="D6" i="37"/>
  <c r="E6" i="37" s="1"/>
  <c r="A7" i="37"/>
  <c r="B6" i="37"/>
  <c r="F10" i="38"/>
  <c r="N21" i="41"/>
  <c r="I1534" i="49"/>
  <c r="J20" i="40"/>
  <c r="R25" i="42"/>
  <c r="I1399" i="49"/>
  <c r="V30" i="43"/>
  <c r="I1554" i="49"/>
  <c r="I1581" i="49"/>
  <c r="I1322" i="49"/>
  <c r="J15" i="39"/>
  <c r="I1267" i="49"/>
  <c r="V10" i="38"/>
  <c r="N15" i="39"/>
  <c r="R31" i="43"/>
  <c r="I1085" i="49"/>
  <c r="I1065" i="49"/>
  <c r="I1147" i="49"/>
  <c r="R21" i="41"/>
  <c r="V20" i="40"/>
  <c r="I1166" i="49"/>
  <c r="I1418" i="49"/>
  <c r="I1233" i="49"/>
  <c r="F21" i="41"/>
  <c r="N10" i="38"/>
  <c r="F22" i="41"/>
  <c r="I1185" i="49"/>
  <c r="I1349" i="49"/>
  <c r="I1702" i="49"/>
  <c r="V15" i="39"/>
  <c r="R10" i="38"/>
  <c r="R30" i="43"/>
  <c r="V25" i="42"/>
  <c r="R20" i="40"/>
  <c r="I1439" i="49"/>
  <c r="I1206" i="49"/>
  <c r="I1030" i="49"/>
  <c r="I1302" i="49"/>
  <c r="I1047" i="49"/>
  <c r="I1112" i="49"/>
  <c r="J10" i="38"/>
  <c r="I1466" i="49"/>
  <c r="I1675" i="49"/>
  <c r="J21" i="41"/>
  <c r="F15" i="39"/>
  <c r="N20" i="40"/>
  <c r="I1284" i="49"/>
  <c r="R15" i="39"/>
  <c r="I1380" i="49"/>
  <c r="V21" i="41"/>
  <c r="H1234" i="49" l="1"/>
  <c r="H1676" i="49"/>
  <c r="H1048" i="49"/>
  <c r="H1113" i="49"/>
  <c r="H1148" i="49"/>
  <c r="H1703" i="49"/>
  <c r="H1167" i="49"/>
  <c r="H1381" i="49"/>
  <c r="H1350" i="49"/>
  <c r="H1323" i="49"/>
  <c r="H1285" i="49"/>
  <c r="H1555" i="49"/>
  <c r="H1207" i="49"/>
  <c r="H1400" i="49"/>
  <c r="H1031" i="49"/>
  <c r="H1419" i="49"/>
  <c r="H1440" i="49"/>
  <c r="H1086" i="49"/>
  <c r="H1066" i="49"/>
  <c r="H1677" i="49"/>
  <c r="H1382" i="49"/>
  <c r="H1303" i="49"/>
  <c r="H1467" i="49"/>
  <c r="H1582" i="49"/>
  <c r="H1186" i="49"/>
  <c r="F1167" i="49"/>
  <c r="F1186" i="49"/>
  <c r="F1207" i="49"/>
  <c r="F1234" i="49"/>
  <c r="F1400" i="49"/>
  <c r="F1419" i="49"/>
  <c r="F1440" i="49"/>
  <c r="F1467" i="49"/>
  <c r="F1676" i="49"/>
  <c r="F1703" i="49"/>
  <c r="F1268" i="49"/>
  <c r="F1031" i="49"/>
  <c r="F1048" i="49"/>
  <c r="F1066" i="49"/>
  <c r="F1086" i="49"/>
  <c r="F1113" i="49"/>
  <c r="F1285" i="49"/>
  <c r="F1303" i="49"/>
  <c r="F1323" i="49"/>
  <c r="F1350" i="49"/>
  <c r="F1555" i="49"/>
  <c r="F1582" i="49"/>
  <c r="F1535" i="49"/>
  <c r="F1381" i="49"/>
  <c r="F1148" i="49"/>
  <c r="A38" i="44"/>
  <c r="B37" i="44"/>
  <c r="T32" i="43"/>
  <c r="U32" i="43" s="1"/>
  <c r="A33" i="43"/>
  <c r="B32" i="43"/>
  <c r="T27" i="42"/>
  <c r="U27" i="42" s="1"/>
  <c r="P27" i="42"/>
  <c r="Q27" i="42" s="1"/>
  <c r="A28" i="42"/>
  <c r="B27" i="42"/>
  <c r="T23" i="41"/>
  <c r="U23" i="41" s="1"/>
  <c r="P23" i="41"/>
  <c r="Q23" i="41" s="1"/>
  <c r="L23" i="41"/>
  <c r="M23" i="41" s="1"/>
  <c r="H23" i="41"/>
  <c r="I23" i="41" s="1"/>
  <c r="A24" i="41"/>
  <c r="B23" i="41"/>
  <c r="T22" i="40"/>
  <c r="U22" i="40" s="1"/>
  <c r="P22" i="40"/>
  <c r="Q22" i="40" s="1"/>
  <c r="L22" i="40"/>
  <c r="M22" i="40" s="1"/>
  <c r="H22" i="40"/>
  <c r="I22" i="40" s="1"/>
  <c r="A23" i="40"/>
  <c r="B22" i="40"/>
  <c r="T17" i="39"/>
  <c r="U17" i="39" s="1"/>
  <c r="P17" i="39"/>
  <c r="Q17" i="39" s="1"/>
  <c r="L17" i="39"/>
  <c r="M17" i="39" s="1"/>
  <c r="H17" i="39"/>
  <c r="I17" i="39" s="1"/>
  <c r="D17" i="39"/>
  <c r="E17" i="39" s="1"/>
  <c r="A18" i="39"/>
  <c r="B17" i="39"/>
  <c r="T12" i="38"/>
  <c r="U12" i="38" s="1"/>
  <c r="P12" i="38"/>
  <c r="Q12" i="38" s="1"/>
  <c r="L12" i="38"/>
  <c r="M12" i="38" s="1"/>
  <c r="H12" i="38"/>
  <c r="I12" i="38" s="1"/>
  <c r="D12" i="38"/>
  <c r="E12" i="38" s="1"/>
  <c r="A13" i="38"/>
  <c r="B12" i="38"/>
  <c r="H4" i="37"/>
  <c r="I4" i="37" s="1"/>
  <c r="T7" i="37"/>
  <c r="U7" i="37" s="1"/>
  <c r="P7" i="37"/>
  <c r="Q7" i="37" s="1"/>
  <c r="L7" i="37"/>
  <c r="M7" i="37" s="1"/>
  <c r="H7" i="37"/>
  <c r="I7" i="37" s="1"/>
  <c r="D7" i="37"/>
  <c r="E7" i="37" s="1"/>
  <c r="A8" i="37"/>
  <c r="B7" i="37"/>
  <c r="V31" i="43"/>
  <c r="F6" i="37"/>
  <c r="I1381" i="49"/>
  <c r="I1167" i="49"/>
  <c r="I1440" i="49"/>
  <c r="I1400" i="49"/>
  <c r="I1676" i="49"/>
  <c r="J5" i="37"/>
  <c r="I1350" i="49"/>
  <c r="I1113" i="49"/>
  <c r="R22" i="41"/>
  <c r="V11" i="38"/>
  <c r="N22" i="41"/>
  <c r="N21" i="40"/>
  <c r="I1086" i="49"/>
  <c r="R26" i="42"/>
  <c r="J16" i="39"/>
  <c r="V21" i="40"/>
  <c r="I1467" i="49"/>
  <c r="N16" i="39"/>
  <c r="I1207" i="49"/>
  <c r="F11" i="38"/>
  <c r="R11" i="38"/>
  <c r="J22" i="40"/>
  <c r="I1303" i="49"/>
  <c r="I1048" i="49"/>
  <c r="I1323" i="49"/>
  <c r="F16" i="39"/>
  <c r="N6" i="37"/>
  <c r="V26" i="42"/>
  <c r="I1535" i="49"/>
  <c r="V22" i="41"/>
  <c r="R6" i="37"/>
  <c r="I1066" i="49"/>
  <c r="I1268" i="49"/>
  <c r="I1419" i="49"/>
  <c r="I1582" i="49"/>
  <c r="J6" i="37"/>
  <c r="R16" i="39"/>
  <c r="J11" i="38"/>
  <c r="V16" i="39"/>
  <c r="J22" i="41"/>
  <c r="J4" i="37"/>
  <c r="N11" i="38"/>
  <c r="J21" i="40"/>
  <c r="V32" i="43"/>
  <c r="I1186" i="49"/>
  <c r="R21" i="40"/>
  <c r="I1234" i="49"/>
  <c r="I1285" i="49"/>
  <c r="I1031" i="49"/>
  <c r="I1555" i="49"/>
  <c r="I1148" i="49"/>
  <c r="I1703" i="49"/>
  <c r="V6" i="37"/>
  <c r="J23" i="41"/>
  <c r="H1067" i="49" l="1"/>
  <c r="H1704" i="49"/>
  <c r="H1468" i="49"/>
  <c r="H998" i="49"/>
  <c r="H912" i="49"/>
  <c r="H1402" i="49"/>
  <c r="H1087" i="49"/>
  <c r="H1583" i="49"/>
  <c r="H1187" i="49"/>
  <c r="H1351" i="49"/>
  <c r="H1235" i="49"/>
  <c r="H1032" i="49"/>
  <c r="H1401" i="49"/>
  <c r="H1287" i="49"/>
  <c r="H1556" i="49"/>
  <c r="H1149" i="49"/>
  <c r="H1168" i="49"/>
  <c r="H950" i="49"/>
  <c r="H929" i="49"/>
  <c r="H1420" i="49"/>
  <c r="H1208" i="49"/>
  <c r="H1304" i="49"/>
  <c r="H1049" i="49"/>
  <c r="H1705" i="49"/>
  <c r="H971" i="49"/>
  <c r="H931" i="49"/>
  <c r="H1441" i="49"/>
  <c r="H1286" i="49"/>
  <c r="H930" i="49"/>
  <c r="H1324" i="49"/>
  <c r="H1114" i="49"/>
  <c r="F1168" i="49"/>
  <c r="F1187" i="49"/>
  <c r="F1208" i="49"/>
  <c r="F1235" i="49"/>
  <c r="F1401" i="49"/>
  <c r="F1420" i="49"/>
  <c r="F1441" i="49"/>
  <c r="F1468" i="49"/>
  <c r="F1704" i="49"/>
  <c r="F1032" i="49"/>
  <c r="F1049" i="49"/>
  <c r="F1067" i="49"/>
  <c r="F1087" i="49"/>
  <c r="F1114" i="49"/>
  <c r="F1286" i="49"/>
  <c r="F1304" i="49"/>
  <c r="F1324" i="49"/>
  <c r="F1351" i="49"/>
  <c r="F1556" i="49"/>
  <c r="F1583" i="49"/>
  <c r="F1677" i="49"/>
  <c r="F1382" i="49"/>
  <c r="F1149" i="49"/>
  <c r="A39" i="44"/>
  <c r="B38" i="44"/>
  <c r="A34" i="43"/>
  <c r="B33" i="43"/>
  <c r="T28" i="42"/>
  <c r="U28" i="42" s="1"/>
  <c r="P28" i="42"/>
  <c r="Q28" i="42" s="1"/>
  <c r="A29" i="42"/>
  <c r="B28" i="42"/>
  <c r="T24" i="41"/>
  <c r="U24" i="41" s="1"/>
  <c r="P24" i="41"/>
  <c r="Q24" i="41" s="1"/>
  <c r="L24" i="41"/>
  <c r="M24" i="41" s="1"/>
  <c r="A25" i="41"/>
  <c r="B24" i="41"/>
  <c r="T23" i="40"/>
  <c r="U23" i="40" s="1"/>
  <c r="P23" i="40"/>
  <c r="Q23" i="40" s="1"/>
  <c r="L23" i="40"/>
  <c r="M23" i="40" s="1"/>
  <c r="A24" i="40"/>
  <c r="B23" i="40"/>
  <c r="T18" i="39"/>
  <c r="U18" i="39" s="1"/>
  <c r="P18" i="39"/>
  <c r="Q18" i="39" s="1"/>
  <c r="L18" i="39"/>
  <c r="M18" i="39" s="1"/>
  <c r="H18" i="39"/>
  <c r="I18" i="39" s="1"/>
  <c r="D18" i="39"/>
  <c r="E18" i="39" s="1"/>
  <c r="A19" i="39"/>
  <c r="B18" i="39"/>
  <c r="T13" i="38"/>
  <c r="U13" i="38" s="1"/>
  <c r="P13" i="38"/>
  <c r="Q13" i="38" s="1"/>
  <c r="L13" i="38"/>
  <c r="M13" i="38" s="1"/>
  <c r="H13" i="38"/>
  <c r="I13" i="38" s="1"/>
  <c r="D13" i="38"/>
  <c r="E13" i="38" s="1"/>
  <c r="A14" i="38"/>
  <c r="B13" i="38"/>
  <c r="D4" i="37"/>
  <c r="E4" i="37" s="1"/>
  <c r="T8" i="37"/>
  <c r="U8" i="37" s="1"/>
  <c r="P8" i="37"/>
  <c r="Q8" i="37" s="1"/>
  <c r="L8" i="37"/>
  <c r="M8" i="37" s="1"/>
  <c r="H8" i="37"/>
  <c r="I8" i="37" s="1"/>
  <c r="D8" i="37"/>
  <c r="E8" i="37" s="1"/>
  <c r="A9" i="37"/>
  <c r="B8" i="37"/>
  <c r="B4" i="37"/>
  <c r="F7" i="37"/>
  <c r="I1168" i="49"/>
  <c r="O10" i="36"/>
  <c r="K23" i="36"/>
  <c r="V27" i="42"/>
  <c r="C5" i="36"/>
  <c r="G17" i="36"/>
  <c r="O13" i="36"/>
  <c r="I1441" i="49"/>
  <c r="V7" i="37"/>
  <c r="O20" i="36"/>
  <c r="C18" i="36"/>
  <c r="K17" i="36"/>
  <c r="K16" i="36"/>
  <c r="O32" i="36"/>
  <c r="G11" i="36"/>
  <c r="G9" i="36"/>
  <c r="O23" i="36"/>
  <c r="J12" i="38"/>
  <c r="G13" i="36"/>
  <c r="I1556" i="49"/>
  <c r="I1087" i="49"/>
  <c r="O18" i="36"/>
  <c r="I1032" i="49"/>
  <c r="O8" i="36"/>
  <c r="C16" i="36"/>
  <c r="O26" i="36"/>
  <c r="O25" i="36"/>
  <c r="K24" i="36"/>
  <c r="C12" i="36"/>
  <c r="S14" i="36"/>
  <c r="N17" i="39"/>
  <c r="I1286" i="49"/>
  <c r="S12" i="36"/>
  <c r="S20" i="36"/>
  <c r="J17" i="39"/>
  <c r="G20" i="36"/>
  <c r="N23" i="41"/>
  <c r="K21" i="36"/>
  <c r="S15" i="36"/>
  <c r="O14" i="36"/>
  <c r="K11" i="36"/>
  <c r="G5" i="36"/>
  <c r="K9" i="36"/>
  <c r="K25" i="36"/>
  <c r="G12" i="36"/>
  <c r="G22" i="36"/>
  <c r="O22" i="36"/>
  <c r="C14" i="36"/>
  <c r="I1114" i="49"/>
  <c r="S6" i="36"/>
  <c r="O24" i="36"/>
  <c r="G14" i="36"/>
  <c r="O28" i="36"/>
  <c r="S33" i="36"/>
  <c r="K7" i="36"/>
  <c r="I1677" i="49"/>
  <c r="O7" i="36"/>
  <c r="K15" i="36"/>
  <c r="G8" i="36"/>
  <c r="S25" i="36"/>
  <c r="G4" i="36"/>
  <c r="S24" i="36"/>
  <c r="O19" i="36"/>
  <c r="S28" i="36"/>
  <c r="K18" i="36"/>
  <c r="O21" i="36"/>
  <c r="S31" i="36"/>
  <c r="S16" i="36"/>
  <c r="I1583" i="49"/>
  <c r="I1401" i="49"/>
  <c r="O11" i="36"/>
  <c r="S19" i="36"/>
  <c r="C13" i="36"/>
  <c r="I1187" i="49"/>
  <c r="R17" i="39"/>
  <c r="S9" i="36"/>
  <c r="S27" i="36"/>
  <c r="I1351" i="49"/>
  <c r="C11" i="36"/>
  <c r="C7" i="36"/>
  <c r="S21" i="36"/>
  <c r="G15" i="36"/>
  <c r="S22" i="36"/>
  <c r="O15" i="36"/>
  <c r="I1235" i="49"/>
  <c r="C15" i="36"/>
  <c r="J7" i="37"/>
  <c r="O31" i="36"/>
  <c r="I1208" i="49"/>
  <c r="V17" i="39"/>
  <c r="S26" i="36"/>
  <c r="S7" i="36"/>
  <c r="I1704" i="49"/>
  <c r="C9" i="36"/>
  <c r="S17" i="36"/>
  <c r="S8" i="36"/>
  <c r="K14" i="36"/>
  <c r="K12" i="36"/>
  <c r="S18" i="36"/>
  <c r="C6" i="36"/>
  <c r="I1468" i="49"/>
  <c r="K20" i="36"/>
  <c r="N22" i="40"/>
  <c r="I1324" i="49"/>
  <c r="R22" i="40"/>
  <c r="N12" i="38"/>
  <c r="V12" i="38"/>
  <c r="I1304" i="49"/>
  <c r="I1382" i="49"/>
  <c r="K5" i="36"/>
  <c r="F12" i="38"/>
  <c r="O12" i="36"/>
  <c r="G6" i="36"/>
  <c r="O6" i="36"/>
  <c r="O16" i="36"/>
  <c r="O27" i="36"/>
  <c r="I1420" i="49"/>
  <c r="V22" i="40"/>
  <c r="I1049" i="49"/>
  <c r="G7" i="36"/>
  <c r="O30" i="36"/>
  <c r="S11" i="36"/>
  <c r="S10" i="36"/>
  <c r="F4" i="37"/>
  <c r="C8" i="36"/>
  <c r="C20" i="36"/>
  <c r="C10" i="36"/>
  <c r="K19" i="36"/>
  <c r="N7" i="37"/>
  <c r="S23" i="36"/>
  <c r="I1067" i="49"/>
  <c r="F17" i="39"/>
  <c r="R27" i="42"/>
  <c r="K8" i="36"/>
  <c r="O17" i="36"/>
  <c r="V23" i="41"/>
  <c r="F5" i="37"/>
  <c r="S13" i="36"/>
  <c r="G18" i="36"/>
  <c r="S29" i="36"/>
  <c r="C19" i="36"/>
  <c r="G21" i="36"/>
  <c r="I1149" i="49"/>
  <c r="R7" i="37"/>
  <c r="R12" i="38"/>
  <c r="S32" i="36"/>
  <c r="K6" i="36"/>
  <c r="K13" i="36"/>
  <c r="G10" i="36"/>
  <c r="S30" i="36"/>
  <c r="G16" i="36"/>
  <c r="K22" i="36"/>
  <c r="O9" i="36"/>
  <c r="O29" i="36"/>
  <c r="K10" i="36"/>
  <c r="C17" i="36"/>
  <c r="G19" i="36"/>
  <c r="R23" i="41"/>
  <c r="H1352" i="49" l="1"/>
  <c r="H1421" i="49"/>
  <c r="H1584" i="49"/>
  <c r="H1442" i="49"/>
  <c r="H1325" i="49"/>
  <c r="H1209" i="49"/>
  <c r="H1068" i="49"/>
  <c r="H932" i="49"/>
  <c r="H911" i="49"/>
  <c r="H1150" i="49"/>
  <c r="H1557" i="49"/>
  <c r="H1188" i="49"/>
  <c r="H1115" i="49"/>
  <c r="H1305" i="49"/>
  <c r="H913" i="49"/>
  <c r="H1033" i="49"/>
  <c r="H1088" i="49"/>
  <c r="H972" i="49"/>
  <c r="H1469" i="49"/>
  <c r="H951" i="49"/>
  <c r="H910" i="49"/>
  <c r="H1236" i="49"/>
  <c r="H1169" i="49"/>
  <c r="H1050" i="49"/>
  <c r="H999" i="49"/>
  <c r="F929" i="49"/>
  <c r="F930" i="49"/>
  <c r="F931" i="49"/>
  <c r="F932" i="49"/>
  <c r="F950" i="49"/>
  <c r="F951" i="49"/>
  <c r="F970" i="49"/>
  <c r="F971" i="49"/>
  <c r="F972" i="49"/>
  <c r="F998" i="49"/>
  <c r="F999" i="49"/>
  <c r="F1169" i="49"/>
  <c r="F1188" i="49"/>
  <c r="F1209" i="49"/>
  <c r="F1236" i="49"/>
  <c r="F1421" i="49"/>
  <c r="F1442" i="49"/>
  <c r="F1469" i="49"/>
  <c r="F1705" i="49"/>
  <c r="F1287" i="49"/>
  <c r="F1033" i="49"/>
  <c r="F1050" i="49"/>
  <c r="F1068" i="49"/>
  <c r="F1088" i="49"/>
  <c r="F1115" i="49"/>
  <c r="F1305" i="49"/>
  <c r="F1325" i="49"/>
  <c r="F1352" i="49"/>
  <c r="F1557" i="49"/>
  <c r="F1584" i="49"/>
  <c r="F949" i="49"/>
  <c r="F1402" i="49"/>
  <c r="F1150" i="49"/>
  <c r="F912" i="49"/>
  <c r="F913" i="49"/>
  <c r="F911" i="49"/>
  <c r="F910" i="49"/>
  <c r="A40" i="44"/>
  <c r="B39" i="44"/>
  <c r="A35" i="43"/>
  <c r="B34" i="43"/>
  <c r="T29" i="42"/>
  <c r="U29" i="42" s="1"/>
  <c r="P29" i="42"/>
  <c r="Q29" i="42" s="1"/>
  <c r="A30" i="42"/>
  <c r="B29" i="42"/>
  <c r="T25" i="41"/>
  <c r="U25" i="41" s="1"/>
  <c r="P25" i="41"/>
  <c r="Q25" i="41" s="1"/>
  <c r="L25" i="41"/>
  <c r="M25" i="41" s="1"/>
  <c r="A26" i="41"/>
  <c r="B25" i="41"/>
  <c r="T24" i="40"/>
  <c r="U24" i="40" s="1"/>
  <c r="P24" i="40"/>
  <c r="Q24" i="40" s="1"/>
  <c r="L24" i="40"/>
  <c r="M24" i="40" s="1"/>
  <c r="A25" i="40"/>
  <c r="B24" i="40"/>
  <c r="T19" i="39"/>
  <c r="U19" i="39" s="1"/>
  <c r="P19" i="39"/>
  <c r="Q19" i="39" s="1"/>
  <c r="L19" i="39"/>
  <c r="M19" i="39" s="1"/>
  <c r="H19" i="39"/>
  <c r="I19" i="39" s="1"/>
  <c r="D19" i="39"/>
  <c r="E19" i="39" s="1"/>
  <c r="A20" i="39"/>
  <c r="B19" i="39"/>
  <c r="T14" i="38"/>
  <c r="U14" i="38" s="1"/>
  <c r="P14" i="38"/>
  <c r="Q14" i="38" s="1"/>
  <c r="L14" i="38"/>
  <c r="M14" i="38" s="1"/>
  <c r="H14" i="38"/>
  <c r="I14" i="38" s="1"/>
  <c r="D14" i="38"/>
  <c r="E14" i="38" s="1"/>
  <c r="A15" i="38"/>
  <c r="B14" i="38"/>
  <c r="T9" i="37"/>
  <c r="U9" i="37" s="1"/>
  <c r="P9" i="37"/>
  <c r="Q9" i="37" s="1"/>
  <c r="L9" i="37"/>
  <c r="M9" i="37" s="1"/>
  <c r="H9" i="37"/>
  <c r="I9" i="37" s="1"/>
  <c r="D9" i="37"/>
  <c r="E9" i="37" s="1"/>
  <c r="A10" i="37"/>
  <c r="B9" i="37"/>
  <c r="A5" i="36"/>
  <c r="I912" i="49"/>
  <c r="I1068" i="49"/>
  <c r="I1188" i="49"/>
  <c r="I1088" i="49"/>
  <c r="I1705" i="49"/>
  <c r="R8" i="37"/>
  <c r="I1325" i="49"/>
  <c r="I972" i="49"/>
  <c r="I1287" i="49"/>
  <c r="I1584" i="49"/>
  <c r="I1209" i="49"/>
  <c r="I930" i="49"/>
  <c r="I950" i="49"/>
  <c r="V18" i="39"/>
  <c r="I951" i="49"/>
  <c r="V23" i="40"/>
  <c r="I1115" i="49"/>
  <c r="I1402" i="49"/>
  <c r="R18" i="39"/>
  <c r="N24" i="41"/>
  <c r="J8" i="37"/>
  <c r="N8" i="37"/>
  <c r="N23" i="40"/>
  <c r="F18" i="39"/>
  <c r="V13" i="38"/>
  <c r="I929" i="49"/>
  <c r="I1557" i="49"/>
  <c r="I998" i="49"/>
  <c r="I1442" i="49"/>
  <c r="I1236" i="49"/>
  <c r="N13" i="38"/>
  <c r="I1050" i="49"/>
  <c r="N18" i="39"/>
  <c r="I910" i="49"/>
  <c r="R23" i="40"/>
  <c r="V8" i="37"/>
  <c r="V28" i="42"/>
  <c r="R13" i="38"/>
  <c r="I1169" i="49"/>
  <c r="I1150" i="49"/>
  <c r="I1469" i="49"/>
  <c r="I1305" i="49"/>
  <c r="I913" i="49"/>
  <c r="I1033" i="49"/>
  <c r="I949" i="49"/>
  <c r="I970" i="49"/>
  <c r="F13" i="38"/>
  <c r="I1352" i="49"/>
  <c r="I999" i="49"/>
  <c r="I1421" i="49"/>
  <c r="I931" i="49"/>
  <c r="R24" i="41"/>
  <c r="N25" i="41"/>
  <c r="R28" i="42"/>
  <c r="J18" i="39"/>
  <c r="I971" i="49"/>
  <c r="V24" i="41"/>
  <c r="C4" i="36"/>
  <c r="F8" i="37"/>
  <c r="I911" i="49"/>
  <c r="I932" i="49"/>
  <c r="J13" i="38"/>
  <c r="H1000" i="49" l="1"/>
  <c r="H1151" i="49"/>
  <c r="H1170" i="49"/>
  <c r="H1585" i="49"/>
  <c r="H1326" i="49"/>
  <c r="H1069" i="49"/>
  <c r="H933" i="49"/>
  <c r="H1470" i="49"/>
  <c r="H1116" i="49"/>
  <c r="H1051" i="49"/>
  <c r="H1210" i="49"/>
  <c r="H1189" i="49"/>
  <c r="H1034" i="49"/>
  <c r="H1423" i="49"/>
  <c r="H1353" i="49"/>
  <c r="H1558" i="49"/>
  <c r="H1306" i="49"/>
  <c r="H1237" i="49"/>
  <c r="H1089" i="49"/>
  <c r="H952" i="49"/>
  <c r="H914" i="49"/>
  <c r="H1422" i="49"/>
  <c r="H973" i="49"/>
  <c r="H1443" i="49"/>
  <c r="F933" i="49"/>
  <c r="F952" i="49"/>
  <c r="F973" i="49"/>
  <c r="F1000" i="49"/>
  <c r="F1170" i="49"/>
  <c r="F1189" i="49"/>
  <c r="F1210" i="49"/>
  <c r="F1237" i="49"/>
  <c r="F1422" i="49"/>
  <c r="F1443" i="49"/>
  <c r="F1470" i="49"/>
  <c r="F1034" i="49"/>
  <c r="F1051" i="49"/>
  <c r="F1069" i="49"/>
  <c r="F1089" i="49"/>
  <c r="F1116" i="49"/>
  <c r="F1306" i="49"/>
  <c r="F1326" i="49"/>
  <c r="F1353" i="49"/>
  <c r="F1558" i="49"/>
  <c r="F1585" i="49"/>
  <c r="F1151" i="49"/>
  <c r="F914" i="49"/>
  <c r="B40" i="44"/>
  <c r="A36" i="43"/>
  <c r="B35" i="43"/>
  <c r="T30" i="42"/>
  <c r="U30" i="42" s="1"/>
  <c r="P30" i="42"/>
  <c r="Q30" i="42" s="1"/>
  <c r="A31" i="42"/>
  <c r="B30" i="42"/>
  <c r="T26" i="41"/>
  <c r="U26" i="41" s="1"/>
  <c r="P26" i="41"/>
  <c r="Q26" i="41" s="1"/>
  <c r="A27" i="41"/>
  <c r="B26" i="41"/>
  <c r="T25" i="40"/>
  <c r="U25" i="40" s="1"/>
  <c r="P25" i="40"/>
  <c r="Q25" i="40" s="1"/>
  <c r="L25" i="40"/>
  <c r="M25" i="40" s="1"/>
  <c r="A26" i="40"/>
  <c r="B25" i="40"/>
  <c r="T20" i="39"/>
  <c r="U20" i="39" s="1"/>
  <c r="P20" i="39"/>
  <c r="Q20" i="39" s="1"/>
  <c r="L20" i="39"/>
  <c r="M20" i="39" s="1"/>
  <c r="H20" i="39"/>
  <c r="I20" i="39" s="1"/>
  <c r="D20" i="39"/>
  <c r="E20" i="39" s="1"/>
  <c r="A21" i="39"/>
  <c r="B20" i="39"/>
  <c r="T15" i="38"/>
  <c r="U15" i="38" s="1"/>
  <c r="P15" i="38"/>
  <c r="Q15" i="38" s="1"/>
  <c r="L15" i="38"/>
  <c r="M15" i="38" s="1"/>
  <c r="H15" i="38"/>
  <c r="I15" i="38" s="1"/>
  <c r="D15" i="38"/>
  <c r="E15" i="38" s="1"/>
  <c r="A16" i="38"/>
  <c r="B15" i="38"/>
  <c r="T10" i="37"/>
  <c r="U10" i="37" s="1"/>
  <c r="P10" i="37"/>
  <c r="Q10" i="37" s="1"/>
  <c r="L10" i="37"/>
  <c r="M10" i="37" s="1"/>
  <c r="H10" i="37"/>
  <c r="I10" i="37" s="1"/>
  <c r="D10" i="37"/>
  <c r="E10" i="37" s="1"/>
  <c r="A11" i="37"/>
  <c r="B10" i="37"/>
  <c r="L5" i="36"/>
  <c r="M5" i="36" s="1"/>
  <c r="H5" i="36"/>
  <c r="I5" i="36" s="1"/>
  <c r="D5" i="36"/>
  <c r="E5" i="36" s="1"/>
  <c r="A6" i="36"/>
  <c r="B5" i="36"/>
  <c r="N24" i="40"/>
  <c r="I1585" i="49"/>
  <c r="R29" i="42"/>
  <c r="I914" i="49"/>
  <c r="R14" i="38"/>
  <c r="N25" i="40"/>
  <c r="V24" i="40"/>
  <c r="I1326" i="49"/>
  <c r="I952" i="49"/>
  <c r="N14" i="38"/>
  <c r="I1170" i="49"/>
  <c r="I1353" i="49"/>
  <c r="I1558" i="49"/>
  <c r="N9" i="37"/>
  <c r="I1051" i="49"/>
  <c r="J14" i="38"/>
  <c r="R19" i="39"/>
  <c r="I933" i="49"/>
  <c r="I1069" i="49"/>
  <c r="I1443" i="49"/>
  <c r="I1470" i="49"/>
  <c r="I1151" i="49"/>
  <c r="I1237" i="49"/>
  <c r="I1089" i="49"/>
  <c r="N5" i="36"/>
  <c r="V19" i="39"/>
  <c r="F19" i="39"/>
  <c r="R9" i="37"/>
  <c r="I1210" i="49"/>
  <c r="N19" i="39"/>
  <c r="I1306" i="49"/>
  <c r="I1000" i="49"/>
  <c r="I973" i="49"/>
  <c r="F9" i="37"/>
  <c r="V9" i="37"/>
  <c r="I1422" i="49"/>
  <c r="I1116" i="49"/>
  <c r="I1034" i="49"/>
  <c r="V25" i="41"/>
  <c r="R25" i="41"/>
  <c r="J9" i="37"/>
  <c r="I1189" i="49"/>
  <c r="V29" i="42"/>
  <c r="F14" i="38"/>
  <c r="R24" i="40"/>
  <c r="J19" i="39"/>
  <c r="V14" i="38"/>
  <c r="H1211" i="49" l="1"/>
  <c r="H1444" i="49"/>
  <c r="H1190" i="49"/>
  <c r="H953" i="49"/>
  <c r="H1001" i="49"/>
  <c r="H1152" i="49"/>
  <c r="H1052" i="49"/>
  <c r="H1070" i="49"/>
  <c r="H1586" i="49"/>
  <c r="H934" i="49"/>
  <c r="H1171" i="49"/>
  <c r="H1559" i="49"/>
  <c r="H1471" i="49"/>
  <c r="H915" i="49"/>
  <c r="H1035" i="49"/>
  <c r="H834" i="49"/>
  <c r="H1307" i="49"/>
  <c r="H1117" i="49"/>
  <c r="H1308" i="49"/>
  <c r="H1327" i="49"/>
  <c r="H974" i="49"/>
  <c r="H1238" i="49"/>
  <c r="H1354" i="49"/>
  <c r="H1090" i="49"/>
  <c r="F934" i="49"/>
  <c r="F953" i="49"/>
  <c r="F974" i="49"/>
  <c r="F1001" i="49"/>
  <c r="F1171" i="49"/>
  <c r="F1190" i="49"/>
  <c r="F1211" i="49"/>
  <c r="F1238" i="49"/>
  <c r="F1444" i="49"/>
  <c r="F1471" i="49"/>
  <c r="F1035" i="49"/>
  <c r="F1052" i="49"/>
  <c r="F1070" i="49"/>
  <c r="F1090" i="49"/>
  <c r="F1117" i="49"/>
  <c r="F1307" i="49"/>
  <c r="F1327" i="49"/>
  <c r="F1354" i="49"/>
  <c r="F1559" i="49"/>
  <c r="F1586" i="49"/>
  <c r="F1423" i="49"/>
  <c r="F1152" i="49"/>
  <c r="F915" i="49"/>
  <c r="A37" i="43"/>
  <c r="B36" i="43"/>
  <c r="T31" i="42"/>
  <c r="U31" i="42" s="1"/>
  <c r="P31" i="42"/>
  <c r="Q31" i="42" s="1"/>
  <c r="A32" i="42"/>
  <c r="B31" i="42"/>
  <c r="T27" i="41"/>
  <c r="U27" i="41" s="1"/>
  <c r="P27" i="41"/>
  <c r="Q27" i="41" s="1"/>
  <c r="A28" i="41"/>
  <c r="B27" i="41"/>
  <c r="T26" i="40"/>
  <c r="U26" i="40" s="1"/>
  <c r="P26" i="40"/>
  <c r="Q26" i="40" s="1"/>
  <c r="A27" i="40"/>
  <c r="B26" i="40"/>
  <c r="T21" i="39"/>
  <c r="U21" i="39" s="1"/>
  <c r="P21" i="39"/>
  <c r="Q21" i="39" s="1"/>
  <c r="L21" i="39"/>
  <c r="M21" i="39" s="1"/>
  <c r="H21" i="39"/>
  <c r="I21" i="39" s="1"/>
  <c r="D21" i="39"/>
  <c r="E21" i="39" s="1"/>
  <c r="A22" i="39"/>
  <c r="B21" i="39"/>
  <c r="T16" i="38"/>
  <c r="U16" i="38" s="1"/>
  <c r="P16" i="38"/>
  <c r="Q16" i="38" s="1"/>
  <c r="L16" i="38"/>
  <c r="M16" i="38" s="1"/>
  <c r="H16" i="38"/>
  <c r="I16" i="38" s="1"/>
  <c r="D16" i="38"/>
  <c r="E16" i="38" s="1"/>
  <c r="A17" i="38"/>
  <c r="B16" i="38"/>
  <c r="T11" i="37"/>
  <c r="U11" i="37" s="1"/>
  <c r="P11" i="37"/>
  <c r="Q11" i="37" s="1"/>
  <c r="L11" i="37"/>
  <c r="M11" i="37" s="1"/>
  <c r="H11" i="37"/>
  <c r="I11" i="37" s="1"/>
  <c r="D11" i="37"/>
  <c r="E11" i="37" s="1"/>
  <c r="A12" i="37"/>
  <c r="B11" i="37"/>
  <c r="T6" i="36"/>
  <c r="U6" i="36" s="1"/>
  <c r="P6" i="36"/>
  <c r="Q6" i="36" s="1"/>
  <c r="L6" i="36"/>
  <c r="M6" i="36" s="1"/>
  <c r="H6" i="36"/>
  <c r="I6" i="36" s="1"/>
  <c r="D6" i="36"/>
  <c r="E6" i="36" s="1"/>
  <c r="A7" i="36"/>
  <c r="B6" i="36"/>
  <c r="I1052" i="49"/>
  <c r="I1171" i="49"/>
  <c r="J15" i="38"/>
  <c r="I1471" i="49"/>
  <c r="V30" i="42"/>
  <c r="N20" i="39"/>
  <c r="I1586" i="49"/>
  <c r="N10" i="37"/>
  <c r="R6" i="36"/>
  <c r="I1117" i="49"/>
  <c r="I953" i="49"/>
  <c r="R25" i="40"/>
  <c r="R10" i="37"/>
  <c r="F20" i="39"/>
  <c r="F15" i="38"/>
  <c r="I1423" i="49"/>
  <c r="I934" i="49"/>
  <c r="I1152" i="49"/>
  <c r="I974" i="49"/>
  <c r="I1354" i="49"/>
  <c r="R15" i="38"/>
  <c r="V6" i="36"/>
  <c r="N15" i="38"/>
  <c r="V15" i="38"/>
  <c r="I1090" i="49"/>
  <c r="V26" i="41"/>
  <c r="I1211" i="49"/>
  <c r="I1070" i="49"/>
  <c r="R26" i="41"/>
  <c r="R30" i="42"/>
  <c r="V25" i="40"/>
  <c r="I1190" i="49"/>
  <c r="J10" i="37"/>
  <c r="I1238" i="49"/>
  <c r="I1001" i="49"/>
  <c r="I1307" i="49"/>
  <c r="I1035" i="49"/>
  <c r="I1327" i="49"/>
  <c r="V10" i="37"/>
  <c r="J20" i="39"/>
  <c r="R20" i="39"/>
  <c r="F10" i="37"/>
  <c r="I1444" i="49"/>
  <c r="V20" i="39"/>
  <c r="I1559" i="49"/>
  <c r="I915" i="49"/>
  <c r="H1118" i="49" l="1"/>
  <c r="H1587" i="49"/>
  <c r="H1191" i="49"/>
  <c r="H1053" i="49"/>
  <c r="H954" i="49"/>
  <c r="H1002" i="49"/>
  <c r="H1036" i="49"/>
  <c r="H1239" i="49"/>
  <c r="H916" i="49"/>
  <c r="H935" i="49"/>
  <c r="H975" i="49"/>
  <c r="H882" i="49"/>
  <c r="H1071" i="49"/>
  <c r="H1153" i="49"/>
  <c r="H1172" i="49"/>
  <c r="H1355" i="49"/>
  <c r="H1328" i="49"/>
  <c r="H1472" i="49"/>
  <c r="H855" i="49"/>
  <c r="H1212" i="49"/>
  <c r="H1445" i="49"/>
  <c r="H1560" i="49"/>
  <c r="H1091" i="49"/>
  <c r="F935" i="49"/>
  <c r="F954" i="49"/>
  <c r="F975" i="49"/>
  <c r="F1002" i="49"/>
  <c r="F1172" i="49"/>
  <c r="F1191" i="49"/>
  <c r="F1212" i="49"/>
  <c r="F1239" i="49"/>
  <c r="F1445" i="49"/>
  <c r="F1472" i="49"/>
  <c r="F1036" i="49"/>
  <c r="F1053" i="49"/>
  <c r="F1071" i="49"/>
  <c r="F1091" i="49"/>
  <c r="F1118" i="49"/>
  <c r="F1328" i="49"/>
  <c r="F1355" i="49"/>
  <c r="F1560" i="49"/>
  <c r="F1587" i="49"/>
  <c r="F1308" i="49"/>
  <c r="F1153" i="49"/>
  <c r="F916" i="49"/>
  <c r="A38" i="43"/>
  <c r="B37" i="43"/>
  <c r="T32" i="42"/>
  <c r="U32" i="42" s="1"/>
  <c r="P32" i="42"/>
  <c r="Q32" i="42" s="1"/>
  <c r="A33" i="42"/>
  <c r="B32" i="42"/>
  <c r="T28" i="41"/>
  <c r="U28" i="41" s="1"/>
  <c r="P28" i="41"/>
  <c r="Q28" i="41" s="1"/>
  <c r="A29" i="41"/>
  <c r="B28" i="41"/>
  <c r="T27" i="40"/>
  <c r="U27" i="40" s="1"/>
  <c r="P27" i="40"/>
  <c r="Q27" i="40" s="1"/>
  <c r="A28" i="40"/>
  <c r="B27" i="40"/>
  <c r="T22" i="39"/>
  <c r="U22" i="39" s="1"/>
  <c r="P22" i="39"/>
  <c r="Q22" i="39" s="1"/>
  <c r="L22" i="39"/>
  <c r="M22" i="39" s="1"/>
  <c r="H22" i="39"/>
  <c r="I22" i="39" s="1"/>
  <c r="D22" i="39"/>
  <c r="E22" i="39" s="1"/>
  <c r="A23" i="39"/>
  <c r="B22" i="39"/>
  <c r="T17" i="38"/>
  <c r="U17" i="38" s="1"/>
  <c r="P17" i="38"/>
  <c r="Q17" i="38" s="1"/>
  <c r="L17" i="38"/>
  <c r="M17" i="38" s="1"/>
  <c r="H17" i="38"/>
  <c r="I17" i="38" s="1"/>
  <c r="D17" i="38"/>
  <c r="E17" i="38" s="1"/>
  <c r="A18" i="38"/>
  <c r="B17" i="38"/>
  <c r="T12" i="37"/>
  <c r="U12" i="37" s="1"/>
  <c r="P12" i="37"/>
  <c r="Q12" i="37" s="1"/>
  <c r="L12" i="37"/>
  <c r="M12" i="37" s="1"/>
  <c r="H12" i="37"/>
  <c r="I12" i="37" s="1"/>
  <c r="D12" i="37"/>
  <c r="E12" i="37" s="1"/>
  <c r="A13" i="37"/>
  <c r="B12" i="37"/>
  <c r="H4" i="36"/>
  <c r="I4" i="36" s="1"/>
  <c r="T7" i="36"/>
  <c r="U7" i="36" s="1"/>
  <c r="P7" i="36"/>
  <c r="Q7" i="36" s="1"/>
  <c r="L7" i="36"/>
  <c r="M7" i="36" s="1"/>
  <c r="H7" i="36"/>
  <c r="I7" i="36" s="1"/>
  <c r="D7" i="36"/>
  <c r="E7" i="36" s="1"/>
  <c r="A8" i="36"/>
  <c r="B7" i="36"/>
  <c r="J21" i="39"/>
  <c r="F11" i="37"/>
  <c r="I1071" i="49"/>
  <c r="I1153" i="49"/>
  <c r="N16" i="38"/>
  <c r="I1191" i="49"/>
  <c r="I1118" i="49"/>
  <c r="J11" i="37"/>
  <c r="I1355" i="49"/>
  <c r="F22" i="39"/>
  <c r="V11" i="37"/>
  <c r="I1560" i="49"/>
  <c r="R21" i="39"/>
  <c r="I1002" i="49"/>
  <c r="R16" i="38"/>
  <c r="I916" i="49"/>
  <c r="I1036" i="49"/>
  <c r="R26" i="40"/>
  <c r="I1239" i="49"/>
  <c r="F21" i="39"/>
  <c r="I1445" i="49"/>
  <c r="N11" i="37"/>
  <c r="I1172" i="49"/>
  <c r="N21" i="39"/>
  <c r="I1328" i="49"/>
  <c r="I1472" i="49"/>
  <c r="J6" i="36"/>
  <c r="F16" i="38"/>
  <c r="R31" i="42"/>
  <c r="I1212" i="49"/>
  <c r="I954" i="49"/>
  <c r="F6" i="36"/>
  <c r="V31" i="42"/>
  <c r="J5" i="36"/>
  <c r="I1053" i="49"/>
  <c r="I935" i="49"/>
  <c r="R27" i="41"/>
  <c r="R32" i="42"/>
  <c r="V21" i="39"/>
  <c r="V26" i="40"/>
  <c r="V27" i="41"/>
  <c r="V16" i="38"/>
  <c r="I1587" i="49"/>
  <c r="I975" i="49"/>
  <c r="I1308" i="49"/>
  <c r="J4" i="36"/>
  <c r="R11" i="37"/>
  <c r="N6" i="36"/>
  <c r="J16" i="38"/>
  <c r="I1091" i="49"/>
  <c r="H1154" i="49" l="1"/>
  <c r="H800" i="49"/>
  <c r="H1003" i="49"/>
  <c r="H835" i="49"/>
  <c r="H955" i="49"/>
  <c r="H816" i="49"/>
  <c r="H1356" i="49"/>
  <c r="H1329" i="49"/>
  <c r="H1588" i="49"/>
  <c r="H1037" i="49"/>
  <c r="H917" i="49"/>
  <c r="H815" i="49"/>
  <c r="H1561" i="49"/>
  <c r="H1173" i="49"/>
  <c r="H1473" i="49"/>
  <c r="H976" i="49"/>
  <c r="H1240" i="49"/>
  <c r="H1446" i="49"/>
  <c r="H1155" i="49"/>
  <c r="H1072" i="49"/>
  <c r="H1213" i="49"/>
  <c r="H817" i="49"/>
  <c r="H936" i="49"/>
  <c r="H1562" i="49"/>
  <c r="H1119" i="49"/>
  <c r="H1192" i="49"/>
  <c r="H1054" i="49"/>
  <c r="H1092" i="49"/>
  <c r="F936" i="49"/>
  <c r="F955" i="49"/>
  <c r="F976" i="49"/>
  <c r="F1003" i="49"/>
  <c r="F1173" i="49"/>
  <c r="F1192" i="49"/>
  <c r="F1213" i="49"/>
  <c r="F1240" i="49"/>
  <c r="F1446" i="49"/>
  <c r="F1473" i="49"/>
  <c r="F1037" i="49"/>
  <c r="F1054" i="49"/>
  <c r="F1072" i="49"/>
  <c r="F1092" i="49"/>
  <c r="F1119" i="49"/>
  <c r="F1329" i="49"/>
  <c r="F1356" i="49"/>
  <c r="F1561" i="49"/>
  <c r="F1588" i="49"/>
  <c r="F1154" i="49"/>
  <c r="F917" i="49"/>
  <c r="A39" i="43"/>
  <c r="B38" i="43"/>
  <c r="T33" i="42"/>
  <c r="U33" i="42" s="1"/>
  <c r="A34" i="42"/>
  <c r="B33" i="42"/>
  <c r="T29" i="41"/>
  <c r="U29" i="41" s="1"/>
  <c r="P29" i="41"/>
  <c r="Q29" i="41" s="1"/>
  <c r="A30" i="41"/>
  <c r="B29" i="41"/>
  <c r="T28" i="40"/>
  <c r="U28" i="40" s="1"/>
  <c r="P28" i="40"/>
  <c r="Q28" i="40" s="1"/>
  <c r="A29" i="40"/>
  <c r="B28" i="40"/>
  <c r="T23" i="39"/>
  <c r="U23" i="39" s="1"/>
  <c r="P23" i="39"/>
  <c r="Q23" i="39" s="1"/>
  <c r="L23" i="39"/>
  <c r="M23" i="39" s="1"/>
  <c r="H23" i="39"/>
  <c r="I23" i="39" s="1"/>
  <c r="A24" i="39"/>
  <c r="B23" i="39"/>
  <c r="T18" i="38"/>
  <c r="U18" i="38" s="1"/>
  <c r="P18" i="38"/>
  <c r="Q18" i="38" s="1"/>
  <c r="L18" i="38"/>
  <c r="M18" i="38" s="1"/>
  <c r="H18" i="38"/>
  <c r="I18" i="38" s="1"/>
  <c r="D18" i="38"/>
  <c r="E18" i="38" s="1"/>
  <c r="A19" i="38"/>
  <c r="B18" i="38"/>
  <c r="T13" i="37"/>
  <c r="U13" i="37" s="1"/>
  <c r="P13" i="37"/>
  <c r="Q13" i="37" s="1"/>
  <c r="L13" i="37"/>
  <c r="M13" i="37" s="1"/>
  <c r="H13" i="37"/>
  <c r="I13" i="37" s="1"/>
  <c r="D13" i="37"/>
  <c r="E13" i="37" s="1"/>
  <c r="A14" i="37"/>
  <c r="B13" i="37"/>
  <c r="D4" i="36"/>
  <c r="E4" i="36" s="1"/>
  <c r="T8" i="36"/>
  <c r="U8" i="36" s="1"/>
  <c r="P8" i="36"/>
  <c r="Q8" i="36" s="1"/>
  <c r="L8" i="36"/>
  <c r="M8" i="36" s="1"/>
  <c r="H8" i="36"/>
  <c r="I8" i="36" s="1"/>
  <c r="D8" i="36"/>
  <c r="E8" i="36" s="1"/>
  <c r="A9" i="36"/>
  <c r="B8" i="36"/>
  <c r="B4" i="36"/>
  <c r="I1072" i="49"/>
  <c r="O11" i="35"/>
  <c r="S19" i="35"/>
  <c r="I1154" i="49"/>
  <c r="K6" i="35"/>
  <c r="K17" i="35"/>
  <c r="K10" i="35"/>
  <c r="K16" i="35"/>
  <c r="V28" i="41"/>
  <c r="G20" i="35"/>
  <c r="G18" i="35"/>
  <c r="C5" i="35"/>
  <c r="I1037" i="49"/>
  <c r="G19" i="35"/>
  <c r="G12" i="35"/>
  <c r="G16" i="35"/>
  <c r="C17" i="35"/>
  <c r="O15" i="35"/>
  <c r="O27" i="35"/>
  <c r="G4" i="35"/>
  <c r="R17" i="38"/>
  <c r="O30" i="35"/>
  <c r="S11" i="35"/>
  <c r="C19" i="35"/>
  <c r="I955" i="49"/>
  <c r="F7" i="36"/>
  <c r="G22" i="35"/>
  <c r="K12" i="35"/>
  <c r="S22" i="35"/>
  <c r="S31" i="35"/>
  <c r="O16" i="35"/>
  <c r="N7" i="36"/>
  <c r="K23" i="35"/>
  <c r="O23" i="35"/>
  <c r="K20" i="35"/>
  <c r="K11" i="35"/>
  <c r="S8" i="35"/>
  <c r="J12" i="37"/>
  <c r="S20" i="35"/>
  <c r="C22" i="35"/>
  <c r="C10" i="35"/>
  <c r="V17" i="38"/>
  <c r="S28" i="35"/>
  <c r="G5" i="35"/>
  <c r="I1588" i="49"/>
  <c r="O28" i="35"/>
  <c r="S21" i="35"/>
  <c r="S23" i="35"/>
  <c r="I1092" i="49"/>
  <c r="O29" i="35"/>
  <c r="S32" i="35"/>
  <c r="K14" i="35"/>
  <c r="K21" i="35"/>
  <c r="O26" i="35"/>
  <c r="O20" i="35"/>
  <c r="K9" i="35"/>
  <c r="S13" i="35"/>
  <c r="O7" i="35"/>
  <c r="J22" i="39"/>
  <c r="N22" i="39"/>
  <c r="O24" i="35"/>
  <c r="V12" i="37"/>
  <c r="G9" i="35"/>
  <c r="I976" i="49"/>
  <c r="G6" i="35"/>
  <c r="R12" i="37"/>
  <c r="O25" i="35"/>
  <c r="C15" i="35"/>
  <c r="I1213" i="49"/>
  <c r="G21" i="35"/>
  <c r="V22" i="39"/>
  <c r="K8" i="35"/>
  <c r="V7" i="36"/>
  <c r="I1173" i="49"/>
  <c r="N12" i="37"/>
  <c r="G15" i="35"/>
  <c r="C14" i="35"/>
  <c r="I936" i="49"/>
  <c r="S17" i="35"/>
  <c r="G8" i="35"/>
  <c r="R28" i="41"/>
  <c r="O8" i="35"/>
  <c r="G17" i="35"/>
  <c r="F4" i="36"/>
  <c r="O22" i="35"/>
  <c r="O5" i="35"/>
  <c r="K22" i="35"/>
  <c r="J17" i="38"/>
  <c r="O9" i="35"/>
  <c r="I1473" i="49"/>
  <c r="G7" i="35"/>
  <c r="S7" i="35"/>
  <c r="O17" i="35"/>
  <c r="C12" i="35"/>
  <c r="K24" i="35"/>
  <c r="O18" i="35"/>
  <c r="F5" i="36"/>
  <c r="I1003" i="49"/>
  <c r="J7" i="36"/>
  <c r="C8" i="35"/>
  <c r="K25" i="35"/>
  <c r="C20" i="35"/>
  <c r="R7" i="36"/>
  <c r="K13" i="35"/>
  <c r="S29" i="35"/>
  <c r="C13" i="35"/>
  <c r="I1192" i="49"/>
  <c r="I1240" i="49"/>
  <c r="G13" i="35"/>
  <c r="I1561" i="49"/>
  <c r="S30" i="35"/>
  <c r="O21" i="35"/>
  <c r="S16" i="35"/>
  <c r="C16" i="35"/>
  <c r="C21" i="35"/>
  <c r="R22" i="39"/>
  <c r="O12" i="35"/>
  <c r="O31" i="35"/>
  <c r="S14" i="35"/>
  <c r="K19" i="35"/>
  <c r="O10" i="35"/>
  <c r="I1119" i="49"/>
  <c r="O14" i="35"/>
  <c r="N17" i="38"/>
  <c r="V27" i="40"/>
  <c r="O13" i="35"/>
  <c r="K18" i="35"/>
  <c r="C6" i="35"/>
  <c r="C18" i="35"/>
  <c r="R27" i="40"/>
  <c r="G10" i="35"/>
  <c r="I917" i="49"/>
  <c r="I1329" i="49"/>
  <c r="S18" i="35"/>
  <c r="S25" i="35"/>
  <c r="S27" i="35"/>
  <c r="S26" i="35"/>
  <c r="V33" i="42"/>
  <c r="S6" i="35"/>
  <c r="S10" i="35"/>
  <c r="I1446" i="49"/>
  <c r="G23" i="35"/>
  <c r="O6" i="35"/>
  <c r="K15" i="35"/>
  <c r="K5" i="35"/>
  <c r="S15" i="35"/>
  <c r="C11" i="35"/>
  <c r="S24" i="35"/>
  <c r="O19" i="35"/>
  <c r="G11" i="35"/>
  <c r="I1356" i="49"/>
  <c r="I1054" i="49"/>
  <c r="F12" i="37"/>
  <c r="K7" i="35"/>
  <c r="F17" i="38"/>
  <c r="C9" i="35"/>
  <c r="S12" i="35"/>
  <c r="V32" i="42"/>
  <c r="S9" i="35"/>
  <c r="G14" i="35"/>
  <c r="C7" i="35"/>
  <c r="J23" i="39"/>
  <c r="H937" i="49" l="1"/>
  <c r="H836" i="49"/>
  <c r="H799" i="49"/>
  <c r="H1447" i="49"/>
  <c r="H1004" i="49"/>
  <c r="H798" i="49"/>
  <c r="H1175" i="49"/>
  <c r="H1038" i="49"/>
  <c r="H818" i="49"/>
  <c r="H1073" i="49"/>
  <c r="H1474" i="49"/>
  <c r="H1093" i="49"/>
  <c r="H977" i="49"/>
  <c r="H1589" i="49"/>
  <c r="H1174" i="49"/>
  <c r="H1120" i="49"/>
  <c r="H918" i="49"/>
  <c r="H883" i="49"/>
  <c r="H801" i="49"/>
  <c r="H1330" i="49"/>
  <c r="H1214" i="49"/>
  <c r="H1241" i="49"/>
  <c r="H956" i="49"/>
  <c r="H856" i="49"/>
  <c r="H1590" i="49"/>
  <c r="H1193" i="49"/>
  <c r="H1055" i="49"/>
  <c r="H1357" i="49"/>
  <c r="F937" i="49"/>
  <c r="F956" i="49"/>
  <c r="F977" i="49"/>
  <c r="F1004" i="49"/>
  <c r="F1174" i="49"/>
  <c r="F1193" i="49"/>
  <c r="F1214" i="49"/>
  <c r="F1241" i="49"/>
  <c r="F1447" i="49"/>
  <c r="F1474" i="49"/>
  <c r="F834" i="49"/>
  <c r="F1562" i="49"/>
  <c r="F855" i="49"/>
  <c r="F800" i="49"/>
  <c r="F882" i="49"/>
  <c r="F815" i="49"/>
  <c r="F816" i="49"/>
  <c r="F817" i="49"/>
  <c r="F835" i="49"/>
  <c r="F801" i="49"/>
  <c r="F818" i="49"/>
  <c r="F836" i="49"/>
  <c r="F856" i="49"/>
  <c r="F883" i="49"/>
  <c r="F799" i="49"/>
  <c r="F798" i="49"/>
  <c r="F1038" i="49"/>
  <c r="F1055" i="49"/>
  <c r="F1073" i="49"/>
  <c r="F1093" i="49"/>
  <c r="F1120" i="49"/>
  <c r="F1330" i="49"/>
  <c r="F1357" i="49"/>
  <c r="F1589" i="49"/>
  <c r="F1155" i="49"/>
  <c r="F918" i="49"/>
  <c r="A40" i="43"/>
  <c r="B39" i="43"/>
  <c r="A35" i="42"/>
  <c r="B34" i="42"/>
  <c r="T30" i="41"/>
  <c r="U30" i="41" s="1"/>
  <c r="P30" i="41"/>
  <c r="Q30" i="41" s="1"/>
  <c r="A31" i="41"/>
  <c r="B30" i="41"/>
  <c r="T29" i="40"/>
  <c r="U29" i="40" s="1"/>
  <c r="P29" i="40"/>
  <c r="Q29" i="40" s="1"/>
  <c r="A30" i="40"/>
  <c r="B29" i="40"/>
  <c r="T24" i="39"/>
  <c r="U24" i="39" s="1"/>
  <c r="P24" i="39"/>
  <c r="Q24" i="39" s="1"/>
  <c r="L24" i="39"/>
  <c r="M24" i="39" s="1"/>
  <c r="A25" i="39"/>
  <c r="B24" i="39"/>
  <c r="T19" i="38"/>
  <c r="U19" i="38" s="1"/>
  <c r="P19" i="38"/>
  <c r="Q19" i="38" s="1"/>
  <c r="L19" i="38"/>
  <c r="M19" i="38" s="1"/>
  <c r="H19" i="38"/>
  <c r="I19" i="38" s="1"/>
  <c r="D19" i="38"/>
  <c r="E19" i="38" s="1"/>
  <c r="A20" i="38"/>
  <c r="B19" i="38"/>
  <c r="T14" i="37"/>
  <c r="U14" i="37" s="1"/>
  <c r="P14" i="37"/>
  <c r="Q14" i="37" s="1"/>
  <c r="L14" i="37"/>
  <c r="M14" i="37" s="1"/>
  <c r="H14" i="37"/>
  <c r="I14" i="37" s="1"/>
  <c r="D14" i="37"/>
  <c r="E14" i="37" s="1"/>
  <c r="A15" i="37"/>
  <c r="B14" i="37"/>
  <c r="T9" i="36"/>
  <c r="U9" i="36" s="1"/>
  <c r="P9" i="36"/>
  <c r="Q9" i="36" s="1"/>
  <c r="L9" i="36"/>
  <c r="M9" i="36" s="1"/>
  <c r="H9" i="36"/>
  <c r="I9" i="36" s="1"/>
  <c r="D9" i="36"/>
  <c r="E9" i="36" s="1"/>
  <c r="A10" i="36"/>
  <c r="B9" i="36"/>
  <c r="A5" i="35"/>
  <c r="N23" i="39"/>
  <c r="R28" i="40"/>
  <c r="I835" i="49"/>
  <c r="I1073" i="49"/>
  <c r="F13" i="37"/>
  <c r="I1093" i="49"/>
  <c r="I855" i="49"/>
  <c r="I1174" i="49"/>
  <c r="F18" i="38"/>
  <c r="V8" i="36"/>
  <c r="R18" i="38"/>
  <c r="V29" i="41"/>
  <c r="I836" i="49"/>
  <c r="I799" i="49"/>
  <c r="I1447" i="49"/>
  <c r="F8" i="36"/>
  <c r="I1055" i="49"/>
  <c r="I1589" i="49"/>
  <c r="I1357" i="49"/>
  <c r="I1038" i="49"/>
  <c r="I834" i="49"/>
  <c r="R13" i="37"/>
  <c r="N13" i="37"/>
  <c r="I818" i="49"/>
  <c r="I800" i="49"/>
  <c r="I1120" i="49"/>
  <c r="I883" i="49"/>
  <c r="I882" i="49"/>
  <c r="I798" i="49"/>
  <c r="I801" i="49"/>
  <c r="I815" i="49"/>
  <c r="I977" i="49"/>
  <c r="I1330" i="49"/>
  <c r="C4" i="35"/>
  <c r="I817" i="49"/>
  <c r="N8" i="36"/>
  <c r="I856" i="49"/>
  <c r="I956" i="49"/>
  <c r="N18" i="38"/>
  <c r="R8" i="36"/>
  <c r="I918" i="49"/>
  <c r="R23" i="39"/>
  <c r="I1193" i="49"/>
  <c r="V23" i="39"/>
  <c r="I937" i="49"/>
  <c r="I1474" i="49"/>
  <c r="V28" i="40"/>
  <c r="I1214" i="49"/>
  <c r="V13" i="37"/>
  <c r="J18" i="38"/>
  <c r="I1155" i="49"/>
  <c r="R29" i="41"/>
  <c r="I1241" i="49"/>
  <c r="J8" i="36"/>
  <c r="I1004" i="49"/>
  <c r="I816" i="49"/>
  <c r="I1562" i="49"/>
  <c r="V18" i="38"/>
  <c r="J13" i="37"/>
  <c r="H1194" i="49" l="1"/>
  <c r="H1475" i="49"/>
  <c r="H1448" i="49"/>
  <c r="H837" i="49"/>
  <c r="H957" i="49"/>
  <c r="H1074" i="49"/>
  <c r="H1005" i="49"/>
  <c r="H1121" i="49"/>
  <c r="H919" i="49"/>
  <c r="H1242" i="49"/>
  <c r="H1039" i="49"/>
  <c r="H1094" i="49"/>
  <c r="H1331" i="49"/>
  <c r="H802" i="49"/>
  <c r="H884" i="49"/>
  <c r="H938" i="49"/>
  <c r="H1215" i="49"/>
  <c r="H1056" i="49"/>
  <c r="H978" i="49"/>
  <c r="H819" i="49"/>
  <c r="H1358" i="49"/>
  <c r="H857" i="49"/>
  <c r="F938" i="49"/>
  <c r="F957" i="49"/>
  <c r="F978" i="49"/>
  <c r="F1005" i="49"/>
  <c r="F1194" i="49"/>
  <c r="F1215" i="49"/>
  <c r="F1242" i="49"/>
  <c r="F1448" i="49"/>
  <c r="F1475" i="49"/>
  <c r="F802" i="49"/>
  <c r="F819" i="49"/>
  <c r="F837" i="49"/>
  <c r="F857" i="49"/>
  <c r="F884" i="49"/>
  <c r="F1039" i="49"/>
  <c r="F1056" i="49"/>
  <c r="F1074" i="49"/>
  <c r="F1094" i="49"/>
  <c r="F1121" i="49"/>
  <c r="F1331" i="49"/>
  <c r="F1358" i="49"/>
  <c r="F1590" i="49"/>
  <c r="F1175" i="49"/>
  <c r="F919" i="49"/>
  <c r="B40" i="43"/>
  <c r="A36" i="42"/>
  <c r="B35" i="42"/>
  <c r="T31" i="41"/>
  <c r="U31" i="41" s="1"/>
  <c r="P31" i="41"/>
  <c r="Q31" i="41" s="1"/>
  <c r="A32" i="41"/>
  <c r="B31" i="41"/>
  <c r="T30" i="40"/>
  <c r="U30" i="40" s="1"/>
  <c r="P30" i="40"/>
  <c r="Q30" i="40" s="1"/>
  <c r="A31" i="40"/>
  <c r="B30" i="40"/>
  <c r="T25" i="39"/>
  <c r="U25" i="39" s="1"/>
  <c r="P25" i="39"/>
  <c r="Q25" i="39" s="1"/>
  <c r="L25" i="39"/>
  <c r="M25" i="39" s="1"/>
  <c r="A26" i="39"/>
  <c r="B25" i="39"/>
  <c r="T20" i="38"/>
  <c r="U20" i="38" s="1"/>
  <c r="P20" i="38"/>
  <c r="Q20" i="38" s="1"/>
  <c r="L20" i="38"/>
  <c r="M20" i="38" s="1"/>
  <c r="H20" i="38"/>
  <c r="I20" i="38" s="1"/>
  <c r="D20" i="38"/>
  <c r="E20" i="38" s="1"/>
  <c r="A21" i="38"/>
  <c r="B20" i="38"/>
  <c r="T15" i="37"/>
  <c r="U15" i="37" s="1"/>
  <c r="P15" i="37"/>
  <c r="Q15" i="37" s="1"/>
  <c r="L15" i="37"/>
  <c r="M15" i="37" s="1"/>
  <c r="H15" i="37"/>
  <c r="I15" i="37" s="1"/>
  <c r="D15" i="37"/>
  <c r="E15" i="37" s="1"/>
  <c r="A16" i="37"/>
  <c r="B15" i="37"/>
  <c r="T10" i="36"/>
  <c r="U10" i="36" s="1"/>
  <c r="P10" i="36"/>
  <c r="Q10" i="36" s="1"/>
  <c r="L10" i="36"/>
  <c r="M10" i="36" s="1"/>
  <c r="H10" i="36"/>
  <c r="I10" i="36" s="1"/>
  <c r="D10" i="36"/>
  <c r="E10" i="36" s="1"/>
  <c r="A11" i="36"/>
  <c r="B10" i="36"/>
  <c r="P5" i="35"/>
  <c r="Q5" i="35" s="1"/>
  <c r="L5" i="35"/>
  <c r="M5" i="35" s="1"/>
  <c r="H5" i="35"/>
  <c r="I5" i="35" s="1"/>
  <c r="D5" i="35"/>
  <c r="E5" i="35" s="1"/>
  <c r="A6" i="35"/>
  <c r="B5" i="35"/>
  <c r="V24" i="39"/>
  <c r="I938" i="49"/>
  <c r="V30" i="41"/>
  <c r="I1590" i="49"/>
  <c r="V14" i="37"/>
  <c r="V9" i="36"/>
  <c r="I1194" i="49"/>
  <c r="F20" i="38"/>
  <c r="I1475" i="49"/>
  <c r="I1005" i="49"/>
  <c r="I978" i="49"/>
  <c r="N5" i="35"/>
  <c r="I1094" i="49"/>
  <c r="R19" i="38"/>
  <c r="I802" i="49"/>
  <c r="N25" i="39"/>
  <c r="I1056" i="49"/>
  <c r="R5" i="35"/>
  <c r="I1175" i="49"/>
  <c r="V29" i="40"/>
  <c r="V19" i="38"/>
  <c r="N24" i="39"/>
  <c r="R14" i="37"/>
  <c r="I1074" i="49"/>
  <c r="N14" i="37"/>
  <c r="I919" i="49"/>
  <c r="I1331" i="49"/>
  <c r="F9" i="36"/>
  <c r="I1121" i="49"/>
  <c r="J19" i="38"/>
  <c r="R9" i="36"/>
  <c r="I1215" i="49"/>
  <c r="N19" i="38"/>
  <c r="R31" i="41"/>
  <c r="I1358" i="49"/>
  <c r="R29" i="40"/>
  <c r="I857" i="49"/>
  <c r="R24" i="39"/>
  <c r="I1039" i="49"/>
  <c r="J9" i="36"/>
  <c r="I837" i="49"/>
  <c r="F14" i="37"/>
  <c r="I957" i="49"/>
  <c r="F19" i="38"/>
  <c r="N9" i="36"/>
  <c r="I884" i="49"/>
  <c r="R30" i="41"/>
  <c r="I1242" i="49"/>
  <c r="I819" i="49"/>
  <c r="J14" i="37"/>
  <c r="I1448" i="49"/>
  <c r="H1332" i="49" l="1"/>
  <c r="H920" i="49"/>
  <c r="H979" i="49"/>
  <c r="H1359" i="49"/>
  <c r="H885" i="49"/>
  <c r="H958" i="49"/>
  <c r="H1041" i="49"/>
  <c r="H1476" i="49"/>
  <c r="H1122" i="49"/>
  <c r="H1006" i="49"/>
  <c r="H858" i="49"/>
  <c r="H820" i="49"/>
  <c r="H743" i="49"/>
  <c r="H1075" i="49"/>
  <c r="H803" i="49"/>
  <c r="H1040" i="49"/>
  <c r="H1196" i="49"/>
  <c r="H1450" i="49"/>
  <c r="H1057" i="49"/>
  <c r="H1449" i="49"/>
  <c r="H1195" i="49"/>
  <c r="H1095" i="49"/>
  <c r="H1216" i="49"/>
  <c r="H939" i="49"/>
  <c r="H838" i="49"/>
  <c r="H1243" i="49"/>
  <c r="H722" i="49"/>
  <c r="F939" i="49"/>
  <c r="F958" i="49"/>
  <c r="F979" i="49"/>
  <c r="F1006" i="49"/>
  <c r="F1195" i="49"/>
  <c r="F1216" i="49"/>
  <c r="F1243" i="49"/>
  <c r="F1449" i="49"/>
  <c r="F1476" i="49"/>
  <c r="F803" i="49"/>
  <c r="F820" i="49"/>
  <c r="F838" i="49"/>
  <c r="F858" i="49"/>
  <c r="F885" i="49"/>
  <c r="F1040" i="49"/>
  <c r="F1057" i="49"/>
  <c r="F1075" i="49"/>
  <c r="F1095" i="49"/>
  <c r="F1122" i="49"/>
  <c r="F1332" i="49"/>
  <c r="F1359" i="49"/>
  <c r="F920" i="49"/>
  <c r="A37" i="42"/>
  <c r="B36" i="42"/>
  <c r="T32" i="41"/>
  <c r="U32" i="41" s="1"/>
  <c r="A33" i="41"/>
  <c r="B32" i="41"/>
  <c r="T31" i="40"/>
  <c r="U31" i="40" s="1"/>
  <c r="P31" i="40"/>
  <c r="Q31" i="40" s="1"/>
  <c r="A32" i="40"/>
  <c r="B31" i="40"/>
  <c r="T26" i="39"/>
  <c r="U26" i="39" s="1"/>
  <c r="P26" i="39"/>
  <c r="Q26" i="39" s="1"/>
  <c r="A27" i="39"/>
  <c r="B26" i="39"/>
  <c r="T21" i="38"/>
  <c r="U21" i="38" s="1"/>
  <c r="P21" i="38"/>
  <c r="Q21" i="38" s="1"/>
  <c r="L21" i="38"/>
  <c r="M21" i="38" s="1"/>
  <c r="H21" i="38"/>
  <c r="I21" i="38" s="1"/>
  <c r="A22" i="38"/>
  <c r="B21" i="38"/>
  <c r="T16" i="37"/>
  <c r="U16" i="37" s="1"/>
  <c r="P16" i="37"/>
  <c r="Q16" i="37" s="1"/>
  <c r="L16" i="37"/>
  <c r="M16" i="37" s="1"/>
  <c r="H16" i="37"/>
  <c r="I16" i="37" s="1"/>
  <c r="D16" i="37"/>
  <c r="E16" i="37" s="1"/>
  <c r="A17" i="37"/>
  <c r="B16" i="37"/>
  <c r="T11" i="36"/>
  <c r="U11" i="36" s="1"/>
  <c r="P11" i="36"/>
  <c r="Q11" i="36" s="1"/>
  <c r="L11" i="36"/>
  <c r="M11" i="36" s="1"/>
  <c r="H11" i="36"/>
  <c r="I11" i="36" s="1"/>
  <c r="D11" i="36"/>
  <c r="E11" i="36" s="1"/>
  <c r="A12" i="36"/>
  <c r="B11" i="36"/>
  <c r="T6" i="35"/>
  <c r="U6" i="35" s="1"/>
  <c r="P6" i="35"/>
  <c r="Q6" i="35" s="1"/>
  <c r="L6" i="35"/>
  <c r="M6" i="35" s="1"/>
  <c r="H6" i="35"/>
  <c r="I6" i="35" s="1"/>
  <c r="D6" i="35"/>
  <c r="E6" i="35" s="1"/>
  <c r="A7" i="35"/>
  <c r="B6" i="35"/>
  <c r="I1006" i="49"/>
  <c r="I1095" i="49"/>
  <c r="I1057" i="49"/>
  <c r="I885" i="49"/>
  <c r="V20" i="38"/>
  <c r="I820" i="49"/>
  <c r="V31" i="41"/>
  <c r="V25" i="39"/>
  <c r="I958" i="49"/>
  <c r="J15" i="37"/>
  <c r="R10" i="36"/>
  <c r="V15" i="37"/>
  <c r="I1195" i="49"/>
  <c r="F15" i="37"/>
  <c r="I979" i="49"/>
  <c r="I1122" i="49"/>
  <c r="I1243" i="49"/>
  <c r="N10" i="36"/>
  <c r="J20" i="38"/>
  <c r="R20" i="38"/>
  <c r="I939" i="49"/>
  <c r="N15" i="37"/>
  <c r="V30" i="40"/>
  <c r="V32" i="41"/>
  <c r="R25" i="39"/>
  <c r="F10" i="36"/>
  <c r="I1359" i="49"/>
  <c r="I1449" i="49"/>
  <c r="I920" i="49"/>
  <c r="R15" i="37"/>
  <c r="I858" i="49"/>
  <c r="I803" i="49"/>
  <c r="R30" i="40"/>
  <c r="V10" i="36"/>
  <c r="N20" i="38"/>
  <c r="J10" i="36"/>
  <c r="I1476" i="49"/>
  <c r="I1216" i="49"/>
  <c r="I1040" i="49"/>
  <c r="I1075" i="49"/>
  <c r="I1332" i="49"/>
  <c r="I838" i="49"/>
  <c r="H1333" i="49" l="1"/>
  <c r="H1360" i="49"/>
  <c r="H1076" i="49"/>
  <c r="H1477" i="49"/>
  <c r="H1096" i="49"/>
  <c r="H959" i="49"/>
  <c r="H1007" i="49"/>
  <c r="H1478" i="49"/>
  <c r="H1123" i="49"/>
  <c r="H1058" i="49"/>
  <c r="H804" i="49"/>
  <c r="H821" i="49"/>
  <c r="H839" i="49"/>
  <c r="H886" i="49"/>
  <c r="H859" i="49"/>
  <c r="H940" i="49"/>
  <c r="H1217" i="49"/>
  <c r="H980" i="49"/>
  <c r="H921" i="49"/>
  <c r="H1244" i="49"/>
  <c r="F940" i="49"/>
  <c r="F959" i="49"/>
  <c r="F980" i="49"/>
  <c r="F1007" i="49"/>
  <c r="F1217" i="49"/>
  <c r="F1244" i="49"/>
  <c r="F1477" i="49"/>
  <c r="F1041" i="49"/>
  <c r="F804" i="49"/>
  <c r="F821" i="49"/>
  <c r="F839" i="49"/>
  <c r="F859" i="49"/>
  <c r="F886" i="49"/>
  <c r="F1058" i="49"/>
  <c r="F1076" i="49"/>
  <c r="F1096" i="49"/>
  <c r="F1123" i="49"/>
  <c r="F1333" i="49"/>
  <c r="F1360" i="49"/>
  <c r="F1450" i="49"/>
  <c r="F1196" i="49"/>
  <c r="F921" i="49"/>
  <c r="A38" i="42"/>
  <c r="B37" i="42"/>
  <c r="A34" i="41"/>
  <c r="B33" i="41"/>
  <c r="T32" i="40"/>
  <c r="U32" i="40" s="1"/>
  <c r="P32" i="40"/>
  <c r="Q32" i="40" s="1"/>
  <c r="A33" i="40"/>
  <c r="B32" i="40"/>
  <c r="T27" i="39"/>
  <c r="U27" i="39" s="1"/>
  <c r="P27" i="39"/>
  <c r="Q27" i="39" s="1"/>
  <c r="A28" i="39"/>
  <c r="B27" i="39"/>
  <c r="T22" i="38"/>
  <c r="U22" i="38" s="1"/>
  <c r="P22" i="38"/>
  <c r="Q22" i="38" s="1"/>
  <c r="L22" i="38"/>
  <c r="M22" i="38" s="1"/>
  <c r="H22" i="38"/>
  <c r="I22" i="38" s="1"/>
  <c r="A23" i="38"/>
  <c r="B22" i="38"/>
  <c r="T17" i="37"/>
  <c r="U17" i="37" s="1"/>
  <c r="P17" i="37"/>
  <c r="Q17" i="37" s="1"/>
  <c r="L17" i="37"/>
  <c r="M17" i="37" s="1"/>
  <c r="H17" i="37"/>
  <c r="I17" i="37" s="1"/>
  <c r="D17" i="37"/>
  <c r="E17" i="37" s="1"/>
  <c r="A18" i="37"/>
  <c r="B17" i="37"/>
  <c r="T12" i="36"/>
  <c r="U12" i="36" s="1"/>
  <c r="P12" i="36"/>
  <c r="Q12" i="36" s="1"/>
  <c r="L12" i="36"/>
  <c r="M12" i="36" s="1"/>
  <c r="H12" i="36"/>
  <c r="I12" i="36" s="1"/>
  <c r="D12" i="36"/>
  <c r="E12" i="36" s="1"/>
  <c r="A13" i="36"/>
  <c r="B12" i="36"/>
  <c r="H4" i="35"/>
  <c r="I4" i="35" s="1"/>
  <c r="T7" i="35"/>
  <c r="U7" i="35" s="1"/>
  <c r="P7" i="35"/>
  <c r="Q7" i="35" s="1"/>
  <c r="L7" i="35"/>
  <c r="M7" i="35" s="1"/>
  <c r="H7" i="35"/>
  <c r="I7" i="35" s="1"/>
  <c r="D7" i="35"/>
  <c r="E7" i="35" s="1"/>
  <c r="A8" i="35"/>
  <c r="B7" i="35"/>
  <c r="F6" i="35"/>
  <c r="N21" i="38"/>
  <c r="I1333" i="49"/>
  <c r="I1196" i="49"/>
  <c r="N16" i="37"/>
  <c r="J22" i="38"/>
  <c r="R6" i="35"/>
  <c r="V21" i="38"/>
  <c r="I1076" i="49"/>
  <c r="F16" i="37"/>
  <c r="J6" i="35"/>
  <c r="V11" i="36"/>
  <c r="R21" i="38"/>
  <c r="R32" i="40"/>
  <c r="V16" i="37"/>
  <c r="I980" i="49"/>
  <c r="R11" i="36"/>
  <c r="I886" i="49"/>
  <c r="R26" i="39"/>
  <c r="J21" i="38"/>
  <c r="I1096" i="49"/>
  <c r="I1041" i="49"/>
  <c r="V26" i="39"/>
  <c r="I1058" i="49"/>
  <c r="J5" i="35"/>
  <c r="I1244" i="49"/>
  <c r="N11" i="36"/>
  <c r="I1007" i="49"/>
  <c r="I859" i="49"/>
  <c r="J16" i="37"/>
  <c r="I1123" i="49"/>
  <c r="F11" i="36"/>
  <c r="I804" i="49"/>
  <c r="R16" i="37"/>
  <c r="I1477" i="49"/>
  <c r="I959" i="49"/>
  <c r="I1217" i="49"/>
  <c r="V6" i="35"/>
  <c r="N6" i="35"/>
  <c r="J11" i="36"/>
  <c r="V31" i="40"/>
  <c r="J4" i="35"/>
  <c r="I940" i="49"/>
  <c r="I1450" i="49"/>
  <c r="I1360" i="49"/>
  <c r="I839" i="49"/>
  <c r="I921" i="49"/>
  <c r="R31" i="40"/>
  <c r="I821" i="49"/>
  <c r="H1059" i="49" l="1"/>
  <c r="H840" i="49"/>
  <c r="H1077" i="49"/>
  <c r="H1245" i="49"/>
  <c r="H860" i="49"/>
  <c r="H771" i="49"/>
  <c r="H703" i="49"/>
  <c r="H1334" i="49"/>
  <c r="H1008" i="49"/>
  <c r="H981" i="49"/>
  <c r="H1335" i="49"/>
  <c r="H685" i="49"/>
  <c r="H887" i="49"/>
  <c r="H1361" i="49"/>
  <c r="H704" i="49"/>
  <c r="H922" i="49"/>
  <c r="H1218" i="49"/>
  <c r="H744" i="49"/>
  <c r="H822" i="49"/>
  <c r="H1124" i="49"/>
  <c r="H941" i="49"/>
  <c r="H805" i="49"/>
  <c r="H1060" i="49"/>
  <c r="H723" i="49"/>
  <c r="H960" i="49"/>
  <c r="H702" i="49"/>
  <c r="H1097" i="49"/>
  <c r="F941" i="49"/>
  <c r="F960" i="49"/>
  <c r="F981" i="49"/>
  <c r="F1008" i="49"/>
  <c r="F1218" i="49"/>
  <c r="F1245" i="49"/>
  <c r="F1478" i="49"/>
  <c r="F805" i="49"/>
  <c r="F822" i="49"/>
  <c r="F840" i="49"/>
  <c r="F860" i="49"/>
  <c r="F887" i="49"/>
  <c r="F1059" i="49"/>
  <c r="F1077" i="49"/>
  <c r="F1097" i="49"/>
  <c r="F1124" i="49"/>
  <c r="F1334" i="49"/>
  <c r="F1361" i="49"/>
  <c r="F922" i="49"/>
  <c r="A39" i="42"/>
  <c r="B38" i="42"/>
  <c r="A35" i="41"/>
  <c r="B34" i="41"/>
  <c r="T33" i="40"/>
  <c r="U33" i="40" s="1"/>
  <c r="A34" i="40"/>
  <c r="B33" i="40"/>
  <c r="T28" i="39"/>
  <c r="U28" i="39" s="1"/>
  <c r="P28" i="39"/>
  <c r="Q28" i="39" s="1"/>
  <c r="A29" i="39"/>
  <c r="B28" i="39"/>
  <c r="T23" i="38"/>
  <c r="U23" i="38" s="1"/>
  <c r="P23" i="38"/>
  <c r="Q23" i="38" s="1"/>
  <c r="L23" i="38"/>
  <c r="M23" i="38" s="1"/>
  <c r="A24" i="38"/>
  <c r="B23" i="38"/>
  <c r="T18" i="37"/>
  <c r="U18" i="37" s="1"/>
  <c r="P18" i="37"/>
  <c r="Q18" i="37" s="1"/>
  <c r="L18" i="37"/>
  <c r="M18" i="37" s="1"/>
  <c r="H18" i="37"/>
  <c r="I18" i="37" s="1"/>
  <c r="D18" i="37"/>
  <c r="E18" i="37" s="1"/>
  <c r="A19" i="37"/>
  <c r="B18" i="37"/>
  <c r="T13" i="36"/>
  <c r="U13" i="36" s="1"/>
  <c r="P13" i="36"/>
  <c r="Q13" i="36" s="1"/>
  <c r="L13" i="36"/>
  <c r="M13" i="36" s="1"/>
  <c r="H13" i="36"/>
  <c r="I13" i="36" s="1"/>
  <c r="D13" i="36"/>
  <c r="E13" i="36" s="1"/>
  <c r="A14" i="36"/>
  <c r="B13" i="36"/>
  <c r="D4" i="35"/>
  <c r="E4" i="35" s="1"/>
  <c r="T8" i="35"/>
  <c r="U8" i="35" s="1"/>
  <c r="P8" i="35"/>
  <c r="Q8" i="35" s="1"/>
  <c r="L8" i="35"/>
  <c r="M8" i="35" s="1"/>
  <c r="H8" i="35"/>
  <c r="I8" i="35" s="1"/>
  <c r="D8" i="35"/>
  <c r="E8" i="35" s="1"/>
  <c r="A9" i="35"/>
  <c r="B8" i="35"/>
  <c r="B4" i="35"/>
  <c r="O21" i="34"/>
  <c r="S19" i="34"/>
  <c r="O29" i="34"/>
  <c r="C6" i="34"/>
  <c r="I922" i="49"/>
  <c r="S11" i="34"/>
  <c r="S27" i="34"/>
  <c r="G14" i="34"/>
  <c r="K16" i="34"/>
  <c r="K22" i="34"/>
  <c r="N17" i="37"/>
  <c r="G5" i="34"/>
  <c r="C7" i="34"/>
  <c r="K24" i="34"/>
  <c r="V33" i="40"/>
  <c r="O6" i="34"/>
  <c r="O17" i="34"/>
  <c r="G18" i="34"/>
  <c r="K25" i="34"/>
  <c r="I1245" i="49"/>
  <c r="K8" i="34"/>
  <c r="K12" i="34"/>
  <c r="O10" i="34"/>
  <c r="G19" i="34"/>
  <c r="C11" i="34"/>
  <c r="C8" i="34"/>
  <c r="O25" i="34"/>
  <c r="K23" i="34"/>
  <c r="O8" i="34"/>
  <c r="F17" i="37"/>
  <c r="C14" i="34"/>
  <c r="R12" i="36"/>
  <c r="F4" i="35"/>
  <c r="O16" i="34"/>
  <c r="G15" i="34"/>
  <c r="K14" i="34"/>
  <c r="K15" i="34"/>
  <c r="G20" i="34"/>
  <c r="O22" i="34"/>
  <c r="S26" i="34"/>
  <c r="J17" i="37"/>
  <c r="K13" i="34"/>
  <c r="G7" i="34"/>
  <c r="S33" i="34"/>
  <c r="O7" i="34"/>
  <c r="O24" i="34"/>
  <c r="K10" i="34"/>
  <c r="J7" i="35"/>
  <c r="S20" i="34"/>
  <c r="G17" i="34"/>
  <c r="F7" i="35"/>
  <c r="C12" i="34"/>
  <c r="O19" i="34"/>
  <c r="G4" i="34"/>
  <c r="K7" i="34"/>
  <c r="S32" i="34"/>
  <c r="I941" i="49"/>
  <c r="C10" i="34"/>
  <c r="G22" i="34"/>
  <c r="F5" i="35"/>
  <c r="S29" i="34"/>
  <c r="I860" i="49"/>
  <c r="I960" i="49"/>
  <c r="F12" i="36"/>
  <c r="S28" i="34"/>
  <c r="O31" i="34"/>
  <c r="O20" i="34"/>
  <c r="O26" i="34"/>
  <c r="I1008" i="49"/>
  <c r="S12" i="34"/>
  <c r="I981" i="49"/>
  <c r="S15" i="34"/>
  <c r="G8" i="34"/>
  <c r="R7" i="35"/>
  <c r="S13" i="34"/>
  <c r="I822" i="49"/>
  <c r="J12" i="36"/>
  <c r="O14" i="34"/>
  <c r="G16" i="34"/>
  <c r="S23" i="34"/>
  <c r="K20" i="34"/>
  <c r="I840" i="49"/>
  <c r="O28" i="34"/>
  <c r="O13" i="34"/>
  <c r="K6" i="34"/>
  <c r="O27" i="34"/>
  <c r="V32" i="40"/>
  <c r="O23" i="34"/>
  <c r="K11" i="34"/>
  <c r="G12" i="34"/>
  <c r="G6" i="34"/>
  <c r="O18" i="34"/>
  <c r="N7" i="35"/>
  <c r="V7" i="35"/>
  <c r="V27" i="39"/>
  <c r="V17" i="37"/>
  <c r="O32" i="34"/>
  <c r="R17" i="37"/>
  <c r="C5" i="34"/>
  <c r="C20" i="34"/>
  <c r="I1361" i="49"/>
  <c r="K18" i="34"/>
  <c r="C16" i="34"/>
  <c r="C19" i="34"/>
  <c r="G13" i="34"/>
  <c r="S18" i="34"/>
  <c r="K5" i="34"/>
  <c r="G10" i="34"/>
  <c r="V22" i="38"/>
  <c r="S8" i="34"/>
  <c r="O11" i="34"/>
  <c r="C15" i="34"/>
  <c r="I1077" i="49"/>
  <c r="S7" i="34"/>
  <c r="S16" i="34"/>
  <c r="R22" i="38"/>
  <c r="S10" i="34"/>
  <c r="O12" i="34"/>
  <c r="C18" i="34"/>
  <c r="N22" i="38"/>
  <c r="S22" i="34"/>
  <c r="I1124" i="49"/>
  <c r="N12" i="36"/>
  <c r="S24" i="34"/>
  <c r="I1334" i="49"/>
  <c r="S30" i="34"/>
  <c r="K9" i="34"/>
  <c r="S17" i="34"/>
  <c r="I1218" i="49"/>
  <c r="O15" i="34"/>
  <c r="O9" i="34"/>
  <c r="S31" i="34"/>
  <c r="I805" i="49"/>
  <c r="G9" i="34"/>
  <c r="C9" i="34"/>
  <c r="O30" i="34"/>
  <c r="G11" i="34"/>
  <c r="I1059" i="49"/>
  <c r="S14" i="34"/>
  <c r="I1097" i="49"/>
  <c r="C13" i="34"/>
  <c r="S9" i="34"/>
  <c r="G21" i="34"/>
  <c r="I887" i="49"/>
  <c r="K17" i="34"/>
  <c r="R27" i="39"/>
  <c r="V12" i="36"/>
  <c r="S25" i="34"/>
  <c r="S21" i="34"/>
  <c r="K21" i="34"/>
  <c r="I1478" i="49"/>
  <c r="C17" i="34"/>
  <c r="K19" i="34"/>
  <c r="S6" i="34"/>
  <c r="H1125" i="49" l="1"/>
  <c r="H823" i="49"/>
  <c r="H1246" i="49"/>
  <c r="H961" i="49"/>
  <c r="H1078" i="49"/>
  <c r="H1363" i="49"/>
  <c r="H923" i="49"/>
  <c r="H724" i="49"/>
  <c r="H705" i="49"/>
  <c r="H888" i="49"/>
  <c r="H982" i="49"/>
  <c r="H942" i="49"/>
  <c r="H861" i="49"/>
  <c r="H841" i="49"/>
  <c r="H684" i="49"/>
  <c r="H683" i="49"/>
  <c r="H806" i="49"/>
  <c r="H745" i="49"/>
  <c r="H1219" i="49"/>
  <c r="H772" i="49"/>
  <c r="H1098" i="49"/>
  <c r="H1362" i="49"/>
  <c r="H686" i="49"/>
  <c r="H1009" i="49"/>
  <c r="F702" i="49"/>
  <c r="F703" i="49"/>
  <c r="F704" i="49"/>
  <c r="F705" i="49"/>
  <c r="F723" i="49"/>
  <c r="F724" i="49"/>
  <c r="F743" i="49"/>
  <c r="F744" i="49"/>
  <c r="F745" i="49"/>
  <c r="F771" i="49"/>
  <c r="F772" i="49"/>
  <c r="F942" i="49"/>
  <c r="F961" i="49"/>
  <c r="F982" i="49"/>
  <c r="F1009" i="49"/>
  <c r="F1219" i="49"/>
  <c r="F1246" i="49"/>
  <c r="F1060" i="49"/>
  <c r="F1335" i="49"/>
  <c r="F806" i="49"/>
  <c r="F823" i="49"/>
  <c r="F841" i="49"/>
  <c r="F861" i="49"/>
  <c r="F888" i="49"/>
  <c r="F1078" i="49"/>
  <c r="F1098" i="49"/>
  <c r="F1125" i="49"/>
  <c r="F1362" i="49"/>
  <c r="F722" i="49"/>
  <c r="F923" i="49"/>
  <c r="F685" i="49"/>
  <c r="F686" i="49"/>
  <c r="F684" i="49"/>
  <c r="F683" i="49"/>
  <c r="A40" i="42"/>
  <c r="B39" i="42"/>
  <c r="A36" i="41"/>
  <c r="B35" i="41"/>
  <c r="A35" i="40"/>
  <c r="B34" i="40"/>
  <c r="T29" i="39"/>
  <c r="U29" i="39" s="1"/>
  <c r="P29" i="39"/>
  <c r="Q29" i="39" s="1"/>
  <c r="A30" i="39"/>
  <c r="B29" i="39"/>
  <c r="T24" i="38"/>
  <c r="U24" i="38" s="1"/>
  <c r="P24" i="38"/>
  <c r="Q24" i="38" s="1"/>
  <c r="L24" i="38"/>
  <c r="M24" i="38" s="1"/>
  <c r="A25" i="38"/>
  <c r="B24" i="38"/>
  <c r="T19" i="37"/>
  <c r="U19" i="37" s="1"/>
  <c r="P19" i="37"/>
  <c r="Q19" i="37" s="1"/>
  <c r="L19" i="37"/>
  <c r="M19" i="37" s="1"/>
  <c r="H19" i="37"/>
  <c r="I19" i="37" s="1"/>
  <c r="D19" i="37"/>
  <c r="E19" i="37" s="1"/>
  <c r="A20" i="37"/>
  <c r="B19" i="37"/>
  <c r="T14" i="36"/>
  <c r="U14" i="36" s="1"/>
  <c r="P14" i="36"/>
  <c r="Q14" i="36" s="1"/>
  <c r="L14" i="36"/>
  <c r="M14" i="36" s="1"/>
  <c r="H14" i="36"/>
  <c r="I14" i="36" s="1"/>
  <c r="D14" i="36"/>
  <c r="E14" i="36" s="1"/>
  <c r="A15" i="36"/>
  <c r="B14" i="36"/>
  <c r="T9" i="35"/>
  <c r="U9" i="35" s="1"/>
  <c r="P9" i="35"/>
  <c r="Q9" i="35" s="1"/>
  <c r="L9" i="35"/>
  <c r="M9" i="35" s="1"/>
  <c r="H9" i="35"/>
  <c r="I9" i="35" s="1"/>
  <c r="D9" i="35"/>
  <c r="E9" i="35" s="1"/>
  <c r="A10" i="35"/>
  <c r="B9" i="35"/>
  <c r="A5" i="34"/>
  <c r="A6" i="34" s="1"/>
  <c r="B4" i="34"/>
  <c r="R18" i="37"/>
  <c r="V13" i="36"/>
  <c r="V18" i="37"/>
  <c r="C4" i="34"/>
  <c r="I942" i="49"/>
  <c r="I704" i="49"/>
  <c r="I982" i="49"/>
  <c r="I923" i="49"/>
  <c r="I684" i="49"/>
  <c r="S22" i="33"/>
  <c r="S24" i="33"/>
  <c r="I686" i="49"/>
  <c r="F18" i="37"/>
  <c r="I861" i="49"/>
  <c r="I683" i="49"/>
  <c r="I806" i="49"/>
  <c r="I685" i="49"/>
  <c r="S19" i="33"/>
  <c r="S21" i="33"/>
  <c r="R28" i="39"/>
  <c r="S17" i="33"/>
  <c r="I1335" i="49"/>
  <c r="S27" i="33"/>
  <c r="S25" i="33"/>
  <c r="I1060" i="49"/>
  <c r="S15" i="33"/>
  <c r="S7" i="33"/>
  <c r="I888" i="49"/>
  <c r="S16" i="33"/>
  <c r="I744" i="49"/>
  <c r="I1098" i="49"/>
  <c r="I771" i="49"/>
  <c r="S6" i="33"/>
  <c r="R23" i="38"/>
  <c r="S11" i="33"/>
  <c r="S18" i="33"/>
  <c r="S13" i="33"/>
  <c r="I743" i="49"/>
  <c r="F13" i="36"/>
  <c r="S26" i="33"/>
  <c r="J13" i="36"/>
  <c r="S9" i="33"/>
  <c r="I1362" i="49"/>
  <c r="I1009" i="49"/>
  <c r="S14" i="33"/>
  <c r="R8" i="35"/>
  <c r="N23" i="38"/>
  <c r="I745" i="49"/>
  <c r="V23" i="38"/>
  <c r="I705" i="49"/>
  <c r="I1246" i="49"/>
  <c r="J8" i="35"/>
  <c r="S30" i="33"/>
  <c r="V8" i="35"/>
  <c r="S23" i="33"/>
  <c r="I1219" i="49"/>
  <c r="S29" i="33"/>
  <c r="I1125" i="49"/>
  <c r="S28" i="33"/>
  <c r="I703" i="49"/>
  <c r="I961" i="49"/>
  <c r="J18" i="37"/>
  <c r="S31" i="33"/>
  <c r="N18" i="37"/>
  <c r="F8" i="35"/>
  <c r="S8" i="33"/>
  <c r="I702" i="49"/>
  <c r="S10" i="33"/>
  <c r="I1078" i="49"/>
  <c r="V28" i="39"/>
  <c r="I722" i="49"/>
  <c r="N13" i="36"/>
  <c r="S12" i="33"/>
  <c r="I823" i="49"/>
  <c r="I841" i="49"/>
  <c r="I772" i="49"/>
  <c r="S20" i="33"/>
  <c r="R13" i="36"/>
  <c r="I724" i="49"/>
  <c r="I723" i="49"/>
  <c r="N8" i="35"/>
  <c r="S32" i="33"/>
  <c r="H1126" i="49" l="1"/>
  <c r="H1099" i="49"/>
  <c r="H924" i="49"/>
  <c r="H807" i="49"/>
  <c r="H943" i="49"/>
  <c r="H687" i="49"/>
  <c r="H824" i="49"/>
  <c r="H962" i="49"/>
  <c r="H773" i="49"/>
  <c r="H842" i="49"/>
  <c r="H983" i="49"/>
  <c r="H706" i="49"/>
  <c r="H862" i="49"/>
  <c r="H1010" i="49"/>
  <c r="H1220" i="49"/>
  <c r="H1079" i="49"/>
  <c r="H725" i="49"/>
  <c r="H746" i="49"/>
  <c r="H889" i="49"/>
  <c r="H1247" i="49"/>
  <c r="F706" i="49"/>
  <c r="F725" i="49"/>
  <c r="F746" i="49"/>
  <c r="F773" i="49"/>
  <c r="F943" i="49"/>
  <c r="F962" i="49"/>
  <c r="F983" i="49"/>
  <c r="F1010" i="49"/>
  <c r="F1220" i="49"/>
  <c r="F1247" i="49"/>
  <c r="F807" i="49"/>
  <c r="F824" i="49"/>
  <c r="F842" i="49"/>
  <c r="F862" i="49"/>
  <c r="F889" i="49"/>
  <c r="F1079" i="49"/>
  <c r="F1099" i="49"/>
  <c r="F1126" i="49"/>
  <c r="F1363" i="49"/>
  <c r="F924" i="49"/>
  <c r="F687" i="49"/>
  <c r="B40" i="42"/>
  <c r="A37" i="41"/>
  <c r="B36" i="41"/>
  <c r="A36" i="40"/>
  <c r="B35" i="40"/>
  <c r="T30" i="39"/>
  <c r="U30" i="39" s="1"/>
  <c r="P30" i="39"/>
  <c r="Q30" i="39" s="1"/>
  <c r="A31" i="39"/>
  <c r="B30" i="39"/>
  <c r="T25" i="38"/>
  <c r="U25" i="38" s="1"/>
  <c r="P25" i="38"/>
  <c r="Q25" i="38" s="1"/>
  <c r="L25" i="38"/>
  <c r="M25" i="38" s="1"/>
  <c r="A26" i="38"/>
  <c r="B25" i="38"/>
  <c r="T20" i="37"/>
  <c r="U20" i="37" s="1"/>
  <c r="P20" i="37"/>
  <c r="Q20" i="37" s="1"/>
  <c r="L20" i="37"/>
  <c r="M20" i="37" s="1"/>
  <c r="H20" i="37"/>
  <c r="I20" i="37" s="1"/>
  <c r="D20" i="37"/>
  <c r="E20" i="37" s="1"/>
  <c r="A21" i="37"/>
  <c r="B20" i="37"/>
  <c r="T15" i="36"/>
  <c r="U15" i="36" s="1"/>
  <c r="P15" i="36"/>
  <c r="Q15" i="36" s="1"/>
  <c r="L15" i="36"/>
  <c r="M15" i="36" s="1"/>
  <c r="H15" i="36"/>
  <c r="I15" i="36" s="1"/>
  <c r="D15" i="36"/>
  <c r="E15" i="36" s="1"/>
  <c r="A16" i="36"/>
  <c r="B15" i="36"/>
  <c r="T10" i="35"/>
  <c r="U10" i="35" s="1"/>
  <c r="P10" i="35"/>
  <c r="Q10" i="35" s="1"/>
  <c r="L10" i="35"/>
  <c r="M10" i="35" s="1"/>
  <c r="H10" i="35"/>
  <c r="I10" i="35" s="1"/>
  <c r="D10" i="35"/>
  <c r="E10" i="35" s="1"/>
  <c r="A11" i="35"/>
  <c r="B10" i="35"/>
  <c r="D4" i="34"/>
  <c r="E4" i="34" s="1"/>
  <c r="H4" i="34"/>
  <c r="I4" i="34" s="1"/>
  <c r="D5" i="34"/>
  <c r="E5" i="34" s="1"/>
  <c r="H5" i="34"/>
  <c r="I5" i="34" s="1"/>
  <c r="L5" i="34"/>
  <c r="M5" i="34" s="1"/>
  <c r="D6" i="34"/>
  <c r="E6" i="34" s="1"/>
  <c r="H6" i="34"/>
  <c r="I6" i="34" s="1"/>
  <c r="L6" i="34"/>
  <c r="M6" i="34" s="1"/>
  <c r="P6" i="34"/>
  <c r="Q6" i="34" s="1"/>
  <c r="T6" i="34"/>
  <c r="U6" i="34" s="1"/>
  <c r="A7" i="34"/>
  <c r="B6" i="34"/>
  <c r="B5" i="34"/>
  <c r="K10" i="33"/>
  <c r="R24" i="38"/>
  <c r="G6" i="33"/>
  <c r="J19" i="37"/>
  <c r="C14" i="33"/>
  <c r="K17" i="33"/>
  <c r="G23" i="33"/>
  <c r="N14" i="36"/>
  <c r="O25" i="33"/>
  <c r="O21" i="33"/>
  <c r="K20" i="33"/>
  <c r="G18" i="33"/>
  <c r="G10" i="33"/>
  <c r="V6" i="34"/>
  <c r="N9" i="35"/>
  <c r="I725" i="49"/>
  <c r="C21" i="33"/>
  <c r="K8" i="33"/>
  <c r="I746" i="49"/>
  <c r="O16" i="33"/>
  <c r="I1099" i="49"/>
  <c r="F9" i="35"/>
  <c r="G4" i="33"/>
  <c r="V24" i="38"/>
  <c r="K5" i="33"/>
  <c r="O14" i="33"/>
  <c r="O9" i="33"/>
  <c r="K11" i="33"/>
  <c r="K7" i="33"/>
  <c r="O22" i="33"/>
  <c r="I1220" i="49"/>
  <c r="O29" i="33"/>
  <c r="O13" i="33"/>
  <c r="O24" i="33"/>
  <c r="G5" i="33"/>
  <c r="O11" i="33"/>
  <c r="G9" i="33"/>
  <c r="O5" i="33"/>
  <c r="I889" i="49"/>
  <c r="K19" i="33"/>
  <c r="I687" i="49"/>
  <c r="O31" i="33"/>
  <c r="I1247" i="49"/>
  <c r="G14" i="33"/>
  <c r="V9" i="35"/>
  <c r="O6" i="33"/>
  <c r="O28" i="33"/>
  <c r="J5" i="34"/>
  <c r="O19" i="33"/>
  <c r="F5" i="34"/>
  <c r="K22" i="33"/>
  <c r="K9" i="33"/>
  <c r="N24" i="38"/>
  <c r="G22" i="33"/>
  <c r="J4" i="34"/>
  <c r="O10" i="33"/>
  <c r="K21" i="33"/>
  <c r="G11" i="33"/>
  <c r="R19" i="37"/>
  <c r="R14" i="36"/>
  <c r="C6" i="33"/>
  <c r="O30" i="33"/>
  <c r="K24" i="33"/>
  <c r="O18" i="33"/>
  <c r="O7" i="33"/>
  <c r="C13" i="33"/>
  <c r="G8" i="33"/>
  <c r="I842" i="49"/>
  <c r="K18" i="33"/>
  <c r="R6" i="34"/>
  <c r="G17" i="33"/>
  <c r="I773" i="49"/>
  <c r="K15" i="33"/>
  <c r="C12" i="33"/>
  <c r="I1363" i="49"/>
  <c r="K13" i="33"/>
  <c r="O15" i="33"/>
  <c r="I807" i="49"/>
  <c r="K6" i="33"/>
  <c r="G19" i="33"/>
  <c r="K23" i="33"/>
  <c r="I924" i="49"/>
  <c r="I943" i="49"/>
  <c r="C7" i="33"/>
  <c r="F14" i="36"/>
  <c r="G20" i="33"/>
  <c r="I1010" i="49"/>
  <c r="O26" i="33"/>
  <c r="C8" i="33"/>
  <c r="I824" i="49"/>
  <c r="R29" i="39"/>
  <c r="G21" i="33"/>
  <c r="I1079" i="49"/>
  <c r="C11" i="33"/>
  <c r="O27" i="33"/>
  <c r="V29" i="39"/>
  <c r="C18" i="33"/>
  <c r="O17" i="33"/>
  <c r="V14" i="36"/>
  <c r="C5" i="33"/>
  <c r="G7" i="33"/>
  <c r="F4" i="34"/>
  <c r="R9" i="35"/>
  <c r="V19" i="37"/>
  <c r="I1126" i="49"/>
  <c r="K25" i="33"/>
  <c r="G12" i="33"/>
  <c r="C9" i="33"/>
  <c r="K14" i="33"/>
  <c r="C20" i="33"/>
  <c r="C10" i="33"/>
  <c r="O23" i="33"/>
  <c r="N5" i="34"/>
  <c r="F19" i="37"/>
  <c r="G16" i="33"/>
  <c r="C17" i="33"/>
  <c r="O20" i="33"/>
  <c r="I983" i="49"/>
  <c r="I862" i="49"/>
  <c r="C19" i="33"/>
  <c r="C22" i="33"/>
  <c r="O8" i="33"/>
  <c r="N19" i="37"/>
  <c r="J14" i="36"/>
  <c r="I706" i="49"/>
  <c r="K16" i="33"/>
  <c r="I962" i="49"/>
  <c r="K12" i="33"/>
  <c r="J9" i="35"/>
  <c r="G13" i="33"/>
  <c r="C16" i="33"/>
  <c r="G15" i="33"/>
  <c r="C15" i="33"/>
  <c r="O12" i="33"/>
  <c r="N25" i="38"/>
  <c r="H863" i="49" l="1"/>
  <c r="H1081" i="49"/>
  <c r="H944" i="49"/>
  <c r="H726" i="49"/>
  <c r="H1080" i="49"/>
  <c r="H707" i="49"/>
  <c r="H1248" i="49"/>
  <c r="H825" i="49"/>
  <c r="H572" i="49"/>
  <c r="H843" i="49"/>
  <c r="H890" i="49"/>
  <c r="H1100" i="49"/>
  <c r="H808" i="49"/>
  <c r="H655" i="49"/>
  <c r="H589" i="49"/>
  <c r="H1221" i="49"/>
  <c r="H925" i="49"/>
  <c r="H774" i="49"/>
  <c r="H963" i="49"/>
  <c r="H747" i="49"/>
  <c r="H571" i="49"/>
  <c r="H1011" i="49"/>
  <c r="H1127" i="49"/>
  <c r="H628" i="49"/>
  <c r="H688" i="49"/>
  <c r="H607" i="49"/>
  <c r="H588" i="49"/>
  <c r="H984" i="49"/>
  <c r="F707" i="49"/>
  <c r="F726" i="49"/>
  <c r="F747" i="49"/>
  <c r="F774" i="49"/>
  <c r="F944" i="49"/>
  <c r="F963" i="49"/>
  <c r="F984" i="49"/>
  <c r="F1011" i="49"/>
  <c r="F1221" i="49"/>
  <c r="F1248" i="49"/>
  <c r="F607" i="49"/>
  <c r="F655" i="49"/>
  <c r="F589" i="49"/>
  <c r="F572" i="49"/>
  <c r="F588" i="49"/>
  <c r="F571" i="49"/>
  <c r="F808" i="49"/>
  <c r="F825" i="49"/>
  <c r="F843" i="49"/>
  <c r="F863" i="49"/>
  <c r="F890" i="49"/>
  <c r="F1080" i="49"/>
  <c r="F1100" i="49"/>
  <c r="F1127" i="49"/>
  <c r="F925" i="49"/>
  <c r="F688" i="49"/>
  <c r="A38" i="41"/>
  <c r="B37" i="41"/>
  <c r="A37" i="40"/>
  <c r="B36" i="40"/>
  <c r="T31" i="39"/>
  <c r="U31" i="39" s="1"/>
  <c r="P31" i="39"/>
  <c r="Q31" i="39" s="1"/>
  <c r="A32" i="39"/>
  <c r="B31" i="39"/>
  <c r="T26" i="38"/>
  <c r="U26" i="38" s="1"/>
  <c r="P26" i="38"/>
  <c r="Q26" i="38" s="1"/>
  <c r="A27" i="38"/>
  <c r="B26" i="38"/>
  <c r="T21" i="37"/>
  <c r="U21" i="37" s="1"/>
  <c r="P21" i="37"/>
  <c r="Q21" i="37" s="1"/>
  <c r="L21" i="37"/>
  <c r="M21" i="37" s="1"/>
  <c r="H21" i="37"/>
  <c r="I21" i="37" s="1"/>
  <c r="D21" i="37"/>
  <c r="E21" i="37" s="1"/>
  <c r="A22" i="37"/>
  <c r="B21" i="37"/>
  <c r="T16" i="36"/>
  <c r="U16" i="36" s="1"/>
  <c r="P16" i="36"/>
  <c r="Q16" i="36" s="1"/>
  <c r="L16" i="36"/>
  <c r="M16" i="36" s="1"/>
  <c r="H16" i="36"/>
  <c r="I16" i="36" s="1"/>
  <c r="D16" i="36"/>
  <c r="E16" i="36" s="1"/>
  <c r="A17" i="36"/>
  <c r="B16" i="36"/>
  <c r="T11" i="35"/>
  <c r="U11" i="35" s="1"/>
  <c r="P11" i="35"/>
  <c r="Q11" i="35" s="1"/>
  <c r="L11" i="35"/>
  <c r="M11" i="35" s="1"/>
  <c r="H11" i="35"/>
  <c r="I11" i="35" s="1"/>
  <c r="D11" i="35"/>
  <c r="E11" i="35" s="1"/>
  <c r="A12" i="35"/>
  <c r="B11" i="35"/>
  <c r="T7" i="34"/>
  <c r="U7" i="34" s="1"/>
  <c r="P7" i="34"/>
  <c r="Q7" i="34" s="1"/>
  <c r="L7" i="34"/>
  <c r="M7" i="34" s="1"/>
  <c r="H7" i="34"/>
  <c r="I7" i="34" s="1"/>
  <c r="D7" i="34"/>
  <c r="E7" i="34" s="1"/>
  <c r="A8" i="34"/>
  <c r="B7" i="34"/>
  <c r="H23" i="33"/>
  <c r="I23" i="33" s="1"/>
  <c r="D22" i="33"/>
  <c r="E22" i="33" s="1"/>
  <c r="D21" i="33"/>
  <c r="E21" i="33" s="1"/>
  <c r="D20" i="33"/>
  <c r="E20" i="33" s="1"/>
  <c r="D19" i="33"/>
  <c r="E19" i="33" s="1"/>
  <c r="D18" i="33"/>
  <c r="E18" i="33" s="1"/>
  <c r="A5" i="33"/>
  <c r="F21" i="33"/>
  <c r="I1221" i="49"/>
  <c r="I688" i="49"/>
  <c r="R30" i="39"/>
  <c r="F22" i="33"/>
  <c r="I607" i="49"/>
  <c r="I984" i="49"/>
  <c r="I726" i="49"/>
  <c r="I963" i="49"/>
  <c r="F15" i="36"/>
  <c r="I863" i="49"/>
  <c r="I1100" i="49"/>
  <c r="F10" i="35"/>
  <c r="F6" i="34"/>
  <c r="I571" i="49"/>
  <c r="I925" i="49"/>
  <c r="R10" i="35"/>
  <c r="R15" i="36"/>
  <c r="F19" i="33"/>
  <c r="N15" i="36"/>
  <c r="N6" i="34"/>
  <c r="F20" i="37"/>
  <c r="V25" i="38"/>
  <c r="I944" i="49"/>
  <c r="V20" i="37"/>
  <c r="I707" i="49"/>
  <c r="I808" i="49"/>
  <c r="V10" i="35"/>
  <c r="I843" i="49"/>
  <c r="C4" i="33"/>
  <c r="I588" i="49"/>
  <c r="I572" i="49"/>
  <c r="I747" i="49"/>
  <c r="J15" i="36"/>
  <c r="I890" i="49"/>
  <c r="N10" i="35"/>
  <c r="F20" i="33"/>
  <c r="J20" i="37"/>
  <c r="I1080" i="49"/>
  <c r="R31" i="39"/>
  <c r="R25" i="38"/>
  <c r="J10" i="35"/>
  <c r="J6" i="34"/>
  <c r="I655" i="49"/>
  <c r="N20" i="37"/>
  <c r="I1011" i="49"/>
  <c r="I774" i="49"/>
  <c r="R20" i="37"/>
  <c r="V30" i="39"/>
  <c r="I589" i="49"/>
  <c r="V15" i="36"/>
  <c r="I1127" i="49"/>
  <c r="I1248" i="49"/>
  <c r="I825" i="49"/>
  <c r="H472" i="49" l="1"/>
  <c r="H608" i="49"/>
  <c r="H826" i="49"/>
  <c r="H985" i="49"/>
  <c r="H689" i="49"/>
  <c r="H727" i="49"/>
  <c r="H864" i="49"/>
  <c r="H590" i="49"/>
  <c r="H809" i="49"/>
  <c r="H1249" i="49"/>
  <c r="H1128" i="49"/>
  <c r="H945" i="49"/>
  <c r="H775" i="49"/>
  <c r="H474" i="49"/>
  <c r="H844" i="49"/>
  <c r="H891" i="49"/>
  <c r="H1012" i="49"/>
  <c r="H1222" i="49"/>
  <c r="H748" i="49"/>
  <c r="H926" i="49"/>
  <c r="H473" i="49"/>
  <c r="H964" i="49"/>
  <c r="H573" i="49"/>
  <c r="H1101" i="49"/>
  <c r="H471" i="49"/>
  <c r="H1223" i="49"/>
  <c r="H708" i="49"/>
  <c r="F708" i="49"/>
  <c r="F727" i="49"/>
  <c r="F748" i="49"/>
  <c r="F775" i="49"/>
  <c r="F945" i="49"/>
  <c r="F964" i="49"/>
  <c r="F985" i="49"/>
  <c r="F1012" i="49"/>
  <c r="F1222" i="49"/>
  <c r="F1249" i="49"/>
  <c r="F628" i="49"/>
  <c r="F573" i="49"/>
  <c r="F590" i="49"/>
  <c r="F608" i="49"/>
  <c r="F809" i="49"/>
  <c r="F826" i="49"/>
  <c r="F844" i="49"/>
  <c r="F864" i="49"/>
  <c r="F891" i="49"/>
  <c r="F1101" i="49"/>
  <c r="F1128" i="49"/>
  <c r="F1081" i="49"/>
  <c r="F926" i="49"/>
  <c r="F689" i="49"/>
  <c r="F474" i="49"/>
  <c r="F471" i="49"/>
  <c r="F472" i="49"/>
  <c r="F473" i="49"/>
  <c r="A39" i="41"/>
  <c r="B38" i="41"/>
  <c r="A38" i="40"/>
  <c r="B37" i="40"/>
  <c r="T32" i="39"/>
  <c r="U32" i="39" s="1"/>
  <c r="A33" i="39"/>
  <c r="B32" i="39"/>
  <c r="T27" i="38"/>
  <c r="U27" i="38" s="1"/>
  <c r="P27" i="38"/>
  <c r="Q27" i="38" s="1"/>
  <c r="A28" i="38"/>
  <c r="B27" i="38"/>
  <c r="T22" i="37"/>
  <c r="U22" i="37" s="1"/>
  <c r="P22" i="37"/>
  <c r="Q22" i="37" s="1"/>
  <c r="L22" i="37"/>
  <c r="M22" i="37" s="1"/>
  <c r="H22" i="37"/>
  <c r="I22" i="37" s="1"/>
  <c r="D22" i="37"/>
  <c r="E22" i="37" s="1"/>
  <c r="A23" i="37"/>
  <c r="B22" i="37"/>
  <c r="T17" i="36"/>
  <c r="U17" i="36" s="1"/>
  <c r="P17" i="36"/>
  <c r="Q17" i="36" s="1"/>
  <c r="L17" i="36"/>
  <c r="M17" i="36" s="1"/>
  <c r="H17" i="36"/>
  <c r="I17" i="36" s="1"/>
  <c r="D17" i="36"/>
  <c r="E17" i="36" s="1"/>
  <c r="A18" i="36"/>
  <c r="B17" i="36"/>
  <c r="T12" i="35"/>
  <c r="U12" i="35" s="1"/>
  <c r="P12" i="35"/>
  <c r="Q12" i="35" s="1"/>
  <c r="L12" i="35"/>
  <c r="M12" i="35" s="1"/>
  <c r="H12" i="35"/>
  <c r="I12" i="35" s="1"/>
  <c r="D12" i="35"/>
  <c r="E12" i="35" s="1"/>
  <c r="A13" i="35"/>
  <c r="B12" i="35"/>
  <c r="T8" i="34"/>
  <c r="U8" i="34" s="1"/>
  <c r="P8" i="34"/>
  <c r="Q8" i="34" s="1"/>
  <c r="L8" i="34"/>
  <c r="M8" i="34" s="1"/>
  <c r="H8" i="34"/>
  <c r="I8" i="34" s="1"/>
  <c r="D8" i="34"/>
  <c r="E8" i="34" s="1"/>
  <c r="A9" i="34"/>
  <c r="B8" i="34"/>
  <c r="P5" i="33"/>
  <c r="Q5" i="33" s="1"/>
  <c r="L5" i="33"/>
  <c r="M5" i="33" s="1"/>
  <c r="H5" i="33"/>
  <c r="I5" i="33" s="1"/>
  <c r="D5" i="33"/>
  <c r="E5" i="33" s="1"/>
  <c r="A6" i="33"/>
  <c r="B5" i="33"/>
  <c r="I748" i="49"/>
  <c r="I985" i="49"/>
  <c r="V26" i="38"/>
  <c r="R11" i="35"/>
  <c r="I590" i="49"/>
  <c r="R26" i="38"/>
  <c r="J11" i="35"/>
  <c r="V31" i="39"/>
  <c r="N21" i="37"/>
  <c r="R7" i="34"/>
  <c r="F7" i="34"/>
  <c r="I473" i="49"/>
  <c r="J7" i="34"/>
  <c r="V21" i="37"/>
  <c r="I964" i="49"/>
  <c r="N5" i="33"/>
  <c r="I864" i="49"/>
  <c r="I1012" i="49"/>
  <c r="V32" i="39"/>
  <c r="F16" i="36"/>
  <c r="F11" i="35"/>
  <c r="I826" i="49"/>
  <c r="J21" i="37"/>
  <c r="R21" i="37"/>
  <c r="N7" i="34"/>
  <c r="V16" i="36"/>
  <c r="I844" i="49"/>
  <c r="V11" i="35"/>
  <c r="N11" i="35"/>
  <c r="I628" i="49"/>
  <c r="I1128" i="49"/>
  <c r="I1081" i="49"/>
  <c r="I809" i="49"/>
  <c r="I727" i="49"/>
  <c r="I471" i="49"/>
  <c r="N16" i="36"/>
  <c r="I608" i="49"/>
  <c r="I945" i="49"/>
  <c r="I708" i="49"/>
  <c r="J16" i="36"/>
  <c r="I926" i="49"/>
  <c r="I775" i="49"/>
  <c r="I474" i="49"/>
  <c r="I573" i="49"/>
  <c r="F22" i="37"/>
  <c r="I1222" i="49"/>
  <c r="R5" i="33"/>
  <c r="I472" i="49"/>
  <c r="R16" i="36"/>
  <c r="I1101" i="49"/>
  <c r="I689" i="49"/>
  <c r="I891" i="49"/>
  <c r="I1249" i="49"/>
  <c r="V7" i="34"/>
  <c r="F21" i="37"/>
  <c r="H1013" i="49" l="1"/>
  <c r="H591" i="49"/>
  <c r="H495" i="49"/>
  <c r="H574" i="49"/>
  <c r="H865" i="49"/>
  <c r="H629" i="49"/>
  <c r="H928" i="49"/>
  <c r="H1250" i="49"/>
  <c r="H776" i="49"/>
  <c r="H709" i="49"/>
  <c r="H1251" i="49"/>
  <c r="H827" i="49"/>
  <c r="H609" i="49"/>
  <c r="H749" i="49"/>
  <c r="H728" i="49"/>
  <c r="H946" i="49"/>
  <c r="H965" i="49"/>
  <c r="H1102" i="49"/>
  <c r="H892" i="49"/>
  <c r="H810" i="49"/>
  <c r="H927" i="49"/>
  <c r="H516" i="49"/>
  <c r="H1129" i="49"/>
  <c r="H986" i="49"/>
  <c r="H845" i="49"/>
  <c r="H656" i="49"/>
  <c r="H690" i="49"/>
  <c r="F709" i="49"/>
  <c r="F728" i="49"/>
  <c r="F749" i="49"/>
  <c r="F776" i="49"/>
  <c r="F946" i="49"/>
  <c r="F965" i="49"/>
  <c r="F986" i="49"/>
  <c r="F1013" i="49"/>
  <c r="F1250" i="49"/>
  <c r="F574" i="49"/>
  <c r="F591" i="49"/>
  <c r="F609" i="49"/>
  <c r="F629" i="49"/>
  <c r="F656" i="49"/>
  <c r="F810" i="49"/>
  <c r="F827" i="49"/>
  <c r="F845" i="49"/>
  <c r="F865" i="49"/>
  <c r="F892" i="49"/>
  <c r="F1102" i="49"/>
  <c r="F1129" i="49"/>
  <c r="F1223" i="49"/>
  <c r="F927" i="49"/>
  <c r="F690" i="49"/>
  <c r="A40" i="41"/>
  <c r="B39" i="41"/>
  <c r="A39" i="40"/>
  <c r="B38" i="40"/>
  <c r="A34" i="39"/>
  <c r="B33" i="39"/>
  <c r="T28" i="38"/>
  <c r="U28" i="38" s="1"/>
  <c r="P28" i="38"/>
  <c r="Q28" i="38" s="1"/>
  <c r="A29" i="38"/>
  <c r="B28" i="38"/>
  <c r="T23" i="37"/>
  <c r="U23" i="37" s="1"/>
  <c r="P23" i="37"/>
  <c r="Q23" i="37" s="1"/>
  <c r="L23" i="37"/>
  <c r="M23" i="37" s="1"/>
  <c r="H23" i="37"/>
  <c r="I23" i="37" s="1"/>
  <c r="A24" i="37"/>
  <c r="B23" i="37"/>
  <c r="T18" i="36"/>
  <c r="U18" i="36" s="1"/>
  <c r="P18" i="36"/>
  <c r="Q18" i="36" s="1"/>
  <c r="L18" i="36"/>
  <c r="M18" i="36" s="1"/>
  <c r="H18" i="36"/>
  <c r="I18" i="36" s="1"/>
  <c r="D18" i="36"/>
  <c r="E18" i="36" s="1"/>
  <c r="A19" i="36"/>
  <c r="B18" i="36"/>
  <c r="T13" i="35"/>
  <c r="U13" i="35" s="1"/>
  <c r="P13" i="35"/>
  <c r="Q13" i="35" s="1"/>
  <c r="L13" i="35"/>
  <c r="M13" i="35" s="1"/>
  <c r="H13" i="35"/>
  <c r="I13" i="35" s="1"/>
  <c r="D13" i="35"/>
  <c r="E13" i="35" s="1"/>
  <c r="A14" i="35"/>
  <c r="B13" i="35"/>
  <c r="T9" i="34"/>
  <c r="U9" i="34" s="1"/>
  <c r="P9" i="34"/>
  <c r="Q9" i="34" s="1"/>
  <c r="L9" i="34"/>
  <c r="M9" i="34" s="1"/>
  <c r="H9" i="34"/>
  <c r="I9" i="34" s="1"/>
  <c r="D9" i="34"/>
  <c r="E9" i="34" s="1"/>
  <c r="A10" i="34"/>
  <c r="B9" i="34"/>
  <c r="T6" i="33"/>
  <c r="U6" i="33" s="1"/>
  <c r="P6" i="33"/>
  <c r="Q6" i="33" s="1"/>
  <c r="L6" i="33"/>
  <c r="M6" i="33" s="1"/>
  <c r="H6" i="33"/>
  <c r="I6" i="33" s="1"/>
  <c r="D6" i="33"/>
  <c r="E6" i="33" s="1"/>
  <c r="A7" i="33"/>
  <c r="B6" i="33"/>
  <c r="J17" i="36"/>
  <c r="I986" i="49"/>
  <c r="R12" i="35"/>
  <c r="F17" i="36"/>
  <c r="V27" i="38"/>
  <c r="V17" i="36"/>
  <c r="I690" i="49"/>
  <c r="J8" i="34"/>
  <c r="R27" i="38"/>
  <c r="I591" i="49"/>
  <c r="V22" i="37"/>
  <c r="I1013" i="49"/>
  <c r="I776" i="49"/>
  <c r="I709" i="49"/>
  <c r="J22" i="37"/>
  <c r="R8" i="34"/>
  <c r="I629" i="49"/>
  <c r="I946" i="49"/>
  <c r="F12" i="35"/>
  <c r="R17" i="36"/>
  <c r="I749" i="49"/>
  <c r="I1250" i="49"/>
  <c r="I1129" i="49"/>
  <c r="J23" i="37"/>
  <c r="I845" i="49"/>
  <c r="N22" i="37"/>
  <c r="I827" i="49"/>
  <c r="I965" i="49"/>
  <c r="I1102" i="49"/>
  <c r="I865" i="49"/>
  <c r="N12" i="35"/>
  <c r="I656" i="49"/>
  <c r="F8" i="34"/>
  <c r="N8" i="34"/>
  <c r="V8" i="34"/>
  <c r="N17" i="36"/>
  <c r="I574" i="49"/>
  <c r="I609" i="49"/>
  <c r="I810" i="49"/>
  <c r="I1223" i="49"/>
  <c r="V12" i="35"/>
  <c r="I892" i="49"/>
  <c r="R22" i="37"/>
  <c r="J12" i="35"/>
  <c r="I927" i="49"/>
  <c r="I728" i="49"/>
  <c r="H729" i="49" l="1"/>
  <c r="H828" i="49"/>
  <c r="H1014" i="49"/>
  <c r="H657" i="49"/>
  <c r="H1103" i="49"/>
  <c r="H846" i="49"/>
  <c r="H1130" i="49"/>
  <c r="H710" i="49"/>
  <c r="H575" i="49"/>
  <c r="H592" i="49"/>
  <c r="H630" i="49"/>
  <c r="H893" i="49"/>
  <c r="H987" i="49"/>
  <c r="H811" i="49"/>
  <c r="H750" i="49"/>
  <c r="H947" i="49"/>
  <c r="H610" i="49"/>
  <c r="H866" i="49"/>
  <c r="H777" i="49"/>
  <c r="H966" i="49"/>
  <c r="H948" i="49"/>
  <c r="H691" i="49"/>
  <c r="F710" i="49"/>
  <c r="F729" i="49"/>
  <c r="F750" i="49"/>
  <c r="F777" i="49"/>
  <c r="F947" i="49"/>
  <c r="F966" i="49"/>
  <c r="F987" i="49"/>
  <c r="F1014" i="49"/>
  <c r="F1251" i="49"/>
  <c r="F575" i="49"/>
  <c r="F592" i="49"/>
  <c r="F610" i="49"/>
  <c r="F630" i="49"/>
  <c r="F657" i="49"/>
  <c r="F811" i="49"/>
  <c r="F828" i="49"/>
  <c r="F846" i="49"/>
  <c r="F866" i="49"/>
  <c r="F893" i="49"/>
  <c r="F1103" i="49"/>
  <c r="F1130" i="49"/>
  <c r="F928" i="49"/>
  <c r="F691" i="49"/>
  <c r="B40" i="41"/>
  <c r="A40" i="40"/>
  <c r="B39" i="40"/>
  <c r="A35" i="39"/>
  <c r="B34" i="39"/>
  <c r="T29" i="38"/>
  <c r="U29" i="38" s="1"/>
  <c r="P29" i="38"/>
  <c r="Q29" i="38" s="1"/>
  <c r="A30" i="38"/>
  <c r="B29" i="38"/>
  <c r="T24" i="37"/>
  <c r="U24" i="37" s="1"/>
  <c r="P24" i="37"/>
  <c r="Q24" i="37" s="1"/>
  <c r="L24" i="37"/>
  <c r="M24" i="37" s="1"/>
  <c r="A25" i="37"/>
  <c r="B24" i="37"/>
  <c r="T19" i="36"/>
  <c r="U19" i="36" s="1"/>
  <c r="P19" i="36"/>
  <c r="Q19" i="36" s="1"/>
  <c r="L19" i="36"/>
  <c r="M19" i="36" s="1"/>
  <c r="H19" i="36"/>
  <c r="I19" i="36" s="1"/>
  <c r="D19" i="36"/>
  <c r="E19" i="36" s="1"/>
  <c r="A20" i="36"/>
  <c r="B19" i="36"/>
  <c r="T14" i="35"/>
  <c r="U14" i="35" s="1"/>
  <c r="P14" i="35"/>
  <c r="Q14" i="35" s="1"/>
  <c r="L14" i="35"/>
  <c r="M14" i="35" s="1"/>
  <c r="H14" i="35"/>
  <c r="I14" i="35" s="1"/>
  <c r="D14" i="35"/>
  <c r="E14" i="35" s="1"/>
  <c r="A15" i="35"/>
  <c r="B14" i="35"/>
  <c r="T10" i="34"/>
  <c r="U10" i="34" s="1"/>
  <c r="P10" i="34"/>
  <c r="Q10" i="34" s="1"/>
  <c r="L10" i="34"/>
  <c r="M10" i="34" s="1"/>
  <c r="H10" i="34"/>
  <c r="I10" i="34" s="1"/>
  <c r="D10" i="34"/>
  <c r="E10" i="34" s="1"/>
  <c r="A11" i="34"/>
  <c r="B10" i="34"/>
  <c r="H4" i="33"/>
  <c r="I4" i="33" s="1"/>
  <c r="T7" i="33"/>
  <c r="U7" i="33" s="1"/>
  <c r="P7" i="33"/>
  <c r="Q7" i="33" s="1"/>
  <c r="L7" i="33"/>
  <c r="M7" i="33" s="1"/>
  <c r="H7" i="33"/>
  <c r="I7" i="33" s="1"/>
  <c r="D7" i="33"/>
  <c r="E7" i="33" s="1"/>
  <c r="A8" i="33"/>
  <c r="B7" i="33"/>
  <c r="I987" i="49"/>
  <c r="J13" i="35"/>
  <c r="V18" i="36"/>
  <c r="I1251" i="49"/>
  <c r="J5" i="33"/>
  <c r="J4" i="33"/>
  <c r="N13" i="35"/>
  <c r="I777" i="49"/>
  <c r="V9" i="34"/>
  <c r="J6" i="33"/>
  <c r="I1014" i="49"/>
  <c r="I750" i="49"/>
  <c r="I657" i="49"/>
  <c r="R28" i="38"/>
  <c r="I691" i="49"/>
  <c r="I846" i="49"/>
  <c r="I710" i="49"/>
  <c r="I592" i="49"/>
  <c r="I630" i="49"/>
  <c r="V23" i="37"/>
  <c r="V13" i="35"/>
  <c r="I610" i="49"/>
  <c r="I866" i="49"/>
  <c r="V28" i="38"/>
  <c r="R18" i="36"/>
  <c r="I828" i="49"/>
  <c r="I1130" i="49"/>
  <c r="V6" i="33"/>
  <c r="R23" i="37"/>
  <c r="F18" i="36"/>
  <c r="R6" i="33"/>
  <c r="I575" i="49"/>
  <c r="N18" i="36"/>
  <c r="N6" i="33"/>
  <c r="F13" i="35"/>
  <c r="I966" i="49"/>
  <c r="I729" i="49"/>
  <c r="R13" i="35"/>
  <c r="I947" i="49"/>
  <c r="I1103" i="49"/>
  <c r="R9" i="34"/>
  <c r="J9" i="34"/>
  <c r="N9" i="34"/>
  <c r="J18" i="36"/>
  <c r="I928" i="49"/>
  <c r="F9" i="34"/>
  <c r="I811" i="49"/>
  <c r="N23" i="37"/>
  <c r="I893" i="49"/>
  <c r="F6" i="33"/>
  <c r="H476" i="49" l="1"/>
  <c r="H593" i="49"/>
  <c r="H751" i="49"/>
  <c r="H894" i="49"/>
  <c r="H658" i="49"/>
  <c r="H711" i="49"/>
  <c r="H778" i="49"/>
  <c r="H867" i="49"/>
  <c r="H477" i="49"/>
  <c r="H475" i="49"/>
  <c r="H1131" i="49"/>
  <c r="H1015" i="49"/>
  <c r="H576" i="49"/>
  <c r="H1104" i="49"/>
  <c r="H692" i="49"/>
  <c r="H967" i="49"/>
  <c r="H611" i="49"/>
  <c r="H517" i="49"/>
  <c r="H988" i="49"/>
  <c r="H730" i="49"/>
  <c r="H847" i="49"/>
  <c r="H631" i="49"/>
  <c r="H829" i="49"/>
  <c r="H544" i="49"/>
  <c r="H496" i="49"/>
  <c r="H458" i="49"/>
  <c r="H812" i="49"/>
  <c r="F711" i="49"/>
  <c r="F730" i="49"/>
  <c r="F751" i="49"/>
  <c r="F778" i="49"/>
  <c r="F967" i="49"/>
  <c r="F988" i="49"/>
  <c r="F1015" i="49"/>
  <c r="F576" i="49"/>
  <c r="F593" i="49"/>
  <c r="F611" i="49"/>
  <c r="F631" i="49"/>
  <c r="F658" i="49"/>
  <c r="F812" i="49"/>
  <c r="F829" i="49"/>
  <c r="F847" i="49"/>
  <c r="F867" i="49"/>
  <c r="F894" i="49"/>
  <c r="F1104" i="49"/>
  <c r="F1131" i="49"/>
  <c r="F948" i="49"/>
  <c r="F692" i="49"/>
  <c r="B40" i="40"/>
  <c r="A36" i="39"/>
  <c r="B35" i="39"/>
  <c r="T30" i="38"/>
  <c r="U30" i="38" s="1"/>
  <c r="P30" i="38"/>
  <c r="Q30" i="38" s="1"/>
  <c r="A31" i="38"/>
  <c r="B30" i="38"/>
  <c r="T25" i="37"/>
  <c r="U25" i="37" s="1"/>
  <c r="P25" i="37"/>
  <c r="Q25" i="37" s="1"/>
  <c r="L25" i="37"/>
  <c r="M25" i="37" s="1"/>
  <c r="A26" i="37"/>
  <c r="B25" i="37"/>
  <c r="T20" i="36"/>
  <c r="U20" i="36" s="1"/>
  <c r="P20" i="36"/>
  <c r="Q20" i="36" s="1"/>
  <c r="L20" i="36"/>
  <c r="M20" i="36" s="1"/>
  <c r="H20" i="36"/>
  <c r="I20" i="36" s="1"/>
  <c r="D20" i="36"/>
  <c r="E20" i="36" s="1"/>
  <c r="A21" i="36"/>
  <c r="B20" i="36"/>
  <c r="T15" i="35"/>
  <c r="U15" i="35" s="1"/>
  <c r="P15" i="35"/>
  <c r="Q15" i="35" s="1"/>
  <c r="L15" i="35"/>
  <c r="M15" i="35" s="1"/>
  <c r="H15" i="35"/>
  <c r="I15" i="35" s="1"/>
  <c r="D15" i="35"/>
  <c r="E15" i="35" s="1"/>
  <c r="A16" i="35"/>
  <c r="B15" i="35"/>
  <c r="T11" i="34"/>
  <c r="U11" i="34" s="1"/>
  <c r="P11" i="34"/>
  <c r="Q11" i="34" s="1"/>
  <c r="L11" i="34"/>
  <c r="M11" i="34" s="1"/>
  <c r="H11" i="34"/>
  <c r="I11" i="34" s="1"/>
  <c r="D11" i="34"/>
  <c r="E11" i="34" s="1"/>
  <c r="A12" i="34"/>
  <c r="B11" i="34"/>
  <c r="D4" i="33"/>
  <c r="E4" i="33" s="1"/>
  <c r="T8" i="33"/>
  <c r="U8" i="33" s="1"/>
  <c r="P8" i="33"/>
  <c r="Q8" i="33" s="1"/>
  <c r="L8" i="33"/>
  <c r="M8" i="33" s="1"/>
  <c r="H8" i="33"/>
  <c r="I8" i="33" s="1"/>
  <c r="D8" i="33"/>
  <c r="E8" i="33" s="1"/>
  <c r="A9" i="33"/>
  <c r="B8" i="33"/>
  <c r="B4" i="33"/>
  <c r="S30" i="32"/>
  <c r="K23" i="32"/>
  <c r="R29" i="38"/>
  <c r="S7" i="32"/>
  <c r="K13" i="32"/>
  <c r="K24" i="32"/>
  <c r="S12" i="32"/>
  <c r="G13" i="32"/>
  <c r="S11" i="32"/>
  <c r="R19" i="36"/>
  <c r="S13" i="32"/>
  <c r="K19" i="32"/>
  <c r="N24" i="37"/>
  <c r="G10" i="32"/>
  <c r="I967" i="49"/>
  <c r="F19" i="36"/>
  <c r="I1104" i="49"/>
  <c r="K12" i="32"/>
  <c r="I730" i="49"/>
  <c r="S27" i="32"/>
  <c r="C5" i="32"/>
  <c r="O16" i="32"/>
  <c r="O31" i="32"/>
  <c r="O29" i="32"/>
  <c r="K15" i="32"/>
  <c r="O9" i="32"/>
  <c r="K14" i="32"/>
  <c r="G22" i="32"/>
  <c r="N7" i="33"/>
  <c r="I988" i="49"/>
  <c r="O7" i="32"/>
  <c r="V7" i="33"/>
  <c r="J19" i="36"/>
  <c r="S14" i="32"/>
  <c r="F7" i="33"/>
  <c r="C15" i="32"/>
  <c r="I867" i="49"/>
  <c r="C17" i="32"/>
  <c r="G18" i="32"/>
  <c r="S16" i="32"/>
  <c r="K5" i="32"/>
  <c r="V14" i="35"/>
  <c r="I631" i="49"/>
  <c r="G8" i="32"/>
  <c r="O18" i="32"/>
  <c r="O23" i="32"/>
  <c r="F14" i="35"/>
  <c r="O17" i="32"/>
  <c r="K7" i="32"/>
  <c r="S22" i="32"/>
  <c r="C12" i="32"/>
  <c r="K11" i="32"/>
  <c r="G6" i="32"/>
  <c r="S26" i="32"/>
  <c r="R24" i="37"/>
  <c r="G20" i="32"/>
  <c r="C11" i="32"/>
  <c r="S10" i="32"/>
  <c r="N25" i="37"/>
  <c r="S29" i="32"/>
  <c r="O15" i="32"/>
  <c r="I576" i="49"/>
  <c r="K16" i="32"/>
  <c r="I751" i="49"/>
  <c r="V29" i="38"/>
  <c r="I778" i="49"/>
  <c r="K18" i="32"/>
  <c r="O20" i="32"/>
  <c r="S8" i="32"/>
  <c r="S9" i="32"/>
  <c r="C14" i="32"/>
  <c r="O25" i="32"/>
  <c r="O12" i="32"/>
  <c r="G7" i="32"/>
  <c r="G14" i="32"/>
  <c r="S17" i="32"/>
  <c r="V10" i="34"/>
  <c r="N10" i="34"/>
  <c r="G12" i="32"/>
  <c r="I611" i="49"/>
  <c r="I692" i="49"/>
  <c r="K21" i="32"/>
  <c r="S31" i="32"/>
  <c r="R7" i="33"/>
  <c r="G21" i="32"/>
  <c r="J7" i="33"/>
  <c r="S32" i="32"/>
  <c r="V19" i="36"/>
  <c r="O30" i="32"/>
  <c r="S23" i="32"/>
  <c r="S6" i="32"/>
  <c r="S20" i="32"/>
  <c r="N19" i="36"/>
  <c r="K17" i="32"/>
  <c r="I1015" i="49"/>
  <c r="K10" i="32"/>
  <c r="C10" i="32"/>
  <c r="I1131" i="49"/>
  <c r="S24" i="32"/>
  <c r="O10" i="32"/>
  <c r="O11" i="32"/>
  <c r="O13" i="32"/>
  <c r="V24" i="37"/>
  <c r="C8" i="32"/>
  <c r="S25" i="32"/>
  <c r="S18" i="32"/>
  <c r="O22" i="32"/>
  <c r="C7" i="32"/>
  <c r="O6" i="32"/>
  <c r="O19" i="32"/>
  <c r="G4" i="32"/>
  <c r="S19" i="32"/>
  <c r="F5" i="33"/>
  <c r="K8" i="32"/>
  <c r="O28" i="32"/>
  <c r="I812" i="49"/>
  <c r="O8" i="32"/>
  <c r="O21" i="32"/>
  <c r="S21" i="32"/>
  <c r="I658" i="49"/>
  <c r="G9" i="32"/>
  <c r="C9" i="32"/>
  <c r="R14" i="35"/>
  <c r="C16" i="32"/>
  <c r="J10" i="34"/>
  <c r="I593" i="49"/>
  <c r="C13" i="32"/>
  <c r="K20" i="32"/>
  <c r="I847" i="49"/>
  <c r="K6" i="32"/>
  <c r="C6" i="32"/>
  <c r="F4" i="33"/>
  <c r="O14" i="32"/>
  <c r="G15" i="32"/>
  <c r="K22" i="32"/>
  <c r="I894" i="49"/>
  <c r="G16" i="32"/>
  <c r="R10" i="34"/>
  <c r="O24" i="32"/>
  <c r="K25" i="32"/>
  <c r="O27" i="32"/>
  <c r="S28" i="32"/>
  <c r="I829" i="49"/>
  <c r="G11" i="32"/>
  <c r="F20" i="36"/>
  <c r="O32" i="32"/>
  <c r="J14" i="35"/>
  <c r="S33" i="32"/>
  <c r="O26" i="32"/>
  <c r="F10" i="34"/>
  <c r="K9" i="32"/>
  <c r="N14" i="35"/>
  <c r="G17" i="32"/>
  <c r="I711" i="49"/>
  <c r="G19" i="32"/>
  <c r="G5" i="32"/>
  <c r="S15" i="32"/>
  <c r="I948" i="49"/>
  <c r="H1132" i="49" l="1"/>
  <c r="H752" i="49"/>
  <c r="H459" i="49"/>
  <c r="H457" i="49"/>
  <c r="H731" i="49"/>
  <c r="H712" i="49"/>
  <c r="H813" i="49"/>
  <c r="H693" i="49"/>
  <c r="H659" i="49"/>
  <c r="H632" i="49"/>
  <c r="H848" i="49"/>
  <c r="H497" i="49"/>
  <c r="H895" i="49"/>
  <c r="H456" i="49"/>
  <c r="H577" i="49"/>
  <c r="H969" i="49"/>
  <c r="H989" i="49"/>
  <c r="H868" i="49"/>
  <c r="H1016" i="49"/>
  <c r="H779" i="49"/>
  <c r="H594" i="49"/>
  <c r="H612" i="49"/>
  <c r="H545" i="49"/>
  <c r="H518" i="49"/>
  <c r="H814" i="49"/>
  <c r="H478" i="49"/>
  <c r="H1105" i="49"/>
  <c r="H830" i="49"/>
  <c r="H968" i="49"/>
  <c r="F475" i="49"/>
  <c r="F476" i="49"/>
  <c r="F477" i="49"/>
  <c r="F478" i="49"/>
  <c r="F496" i="49"/>
  <c r="F497" i="49"/>
  <c r="F516" i="49"/>
  <c r="F517" i="49"/>
  <c r="F518" i="49"/>
  <c r="F544" i="49"/>
  <c r="F545" i="49"/>
  <c r="F712" i="49"/>
  <c r="F731" i="49"/>
  <c r="F752" i="49"/>
  <c r="F779" i="49"/>
  <c r="F968" i="49"/>
  <c r="F989" i="49"/>
  <c r="F1016" i="49"/>
  <c r="F577" i="49"/>
  <c r="F594" i="49"/>
  <c r="F612" i="49"/>
  <c r="F632" i="49"/>
  <c r="F659" i="49"/>
  <c r="F813" i="49"/>
  <c r="F830" i="49"/>
  <c r="F848" i="49"/>
  <c r="F868" i="49"/>
  <c r="F895" i="49"/>
  <c r="F1105" i="49"/>
  <c r="F1132" i="49"/>
  <c r="F495" i="49"/>
  <c r="F693" i="49"/>
  <c r="F458" i="49"/>
  <c r="F459" i="49"/>
  <c r="F457" i="49"/>
  <c r="F456" i="49"/>
  <c r="A37" i="39"/>
  <c r="B36" i="39"/>
  <c r="T31" i="38"/>
  <c r="U31" i="38" s="1"/>
  <c r="P31" i="38"/>
  <c r="Q31" i="38" s="1"/>
  <c r="A32" i="38"/>
  <c r="B31" i="38"/>
  <c r="T26" i="37"/>
  <c r="U26" i="37" s="1"/>
  <c r="P26" i="37"/>
  <c r="Q26" i="37" s="1"/>
  <c r="A27" i="37"/>
  <c r="B26" i="37"/>
  <c r="T21" i="36"/>
  <c r="U21" i="36" s="1"/>
  <c r="P21" i="36"/>
  <c r="Q21" i="36" s="1"/>
  <c r="L21" i="36"/>
  <c r="M21" i="36" s="1"/>
  <c r="H21" i="36"/>
  <c r="I21" i="36" s="1"/>
  <c r="A22" i="36"/>
  <c r="B21" i="36"/>
  <c r="T16" i="35"/>
  <c r="U16" i="35" s="1"/>
  <c r="P16" i="35"/>
  <c r="Q16" i="35" s="1"/>
  <c r="L16" i="35"/>
  <c r="M16" i="35" s="1"/>
  <c r="H16" i="35"/>
  <c r="I16" i="35" s="1"/>
  <c r="D16" i="35"/>
  <c r="E16" i="35" s="1"/>
  <c r="A17" i="35"/>
  <c r="B16" i="35"/>
  <c r="T12" i="34"/>
  <c r="U12" i="34" s="1"/>
  <c r="P12" i="34"/>
  <c r="Q12" i="34" s="1"/>
  <c r="L12" i="34"/>
  <c r="M12" i="34" s="1"/>
  <c r="H12" i="34"/>
  <c r="I12" i="34" s="1"/>
  <c r="D12" i="34"/>
  <c r="E12" i="34" s="1"/>
  <c r="A13" i="34"/>
  <c r="B12" i="34"/>
  <c r="T9" i="33"/>
  <c r="U9" i="33" s="1"/>
  <c r="P9" i="33"/>
  <c r="Q9" i="33" s="1"/>
  <c r="L9" i="33"/>
  <c r="M9" i="33" s="1"/>
  <c r="H9" i="33"/>
  <c r="I9" i="33" s="1"/>
  <c r="D9" i="33"/>
  <c r="E9" i="33" s="1"/>
  <c r="A10" i="33"/>
  <c r="B9" i="33"/>
  <c r="A5" i="32"/>
  <c r="R8" i="33"/>
  <c r="V25" i="37"/>
  <c r="I457" i="49"/>
  <c r="I632" i="49"/>
  <c r="J8" i="33"/>
  <c r="I968" i="49"/>
  <c r="R20" i="36"/>
  <c r="I1105" i="49"/>
  <c r="I518" i="49"/>
  <c r="I1132" i="49"/>
  <c r="I1016" i="49"/>
  <c r="F11" i="34"/>
  <c r="N15" i="35"/>
  <c r="I752" i="49"/>
  <c r="J11" i="34"/>
  <c r="I517" i="49"/>
  <c r="V30" i="38"/>
  <c r="V11" i="34"/>
  <c r="I544" i="49"/>
  <c r="V15" i="35"/>
  <c r="I478" i="49"/>
  <c r="I712" i="49"/>
  <c r="I659" i="49"/>
  <c r="F8" i="33"/>
  <c r="I895" i="49"/>
  <c r="J20" i="36"/>
  <c r="I516" i="49"/>
  <c r="I779" i="49"/>
  <c r="I545" i="49"/>
  <c r="I456" i="49"/>
  <c r="I477" i="49"/>
  <c r="F15" i="35"/>
  <c r="I458" i="49"/>
  <c r="I612" i="49"/>
  <c r="V20" i="36"/>
  <c r="R11" i="34"/>
  <c r="I475" i="49"/>
  <c r="I813" i="49"/>
  <c r="I693" i="49"/>
  <c r="R25" i="37"/>
  <c r="I459" i="49"/>
  <c r="I868" i="49"/>
  <c r="N11" i="34"/>
  <c r="C4" i="32"/>
  <c r="R30" i="38"/>
  <c r="R15" i="35"/>
  <c r="V8" i="33"/>
  <c r="I496" i="49"/>
  <c r="N20" i="36"/>
  <c r="I989" i="49"/>
  <c r="I594" i="49"/>
  <c r="N8" i="33"/>
  <c r="I476" i="49"/>
  <c r="I495" i="49"/>
  <c r="I497" i="49"/>
  <c r="I731" i="49"/>
  <c r="I577" i="49"/>
  <c r="J15" i="35"/>
  <c r="I848" i="49"/>
  <c r="I830" i="49"/>
  <c r="H519" i="49" l="1"/>
  <c r="H753" i="49"/>
  <c r="H578" i="49"/>
  <c r="H1106" i="49"/>
  <c r="H546" i="49"/>
  <c r="H498" i="49"/>
  <c r="H633" i="49"/>
  <c r="H869" i="49"/>
  <c r="H732" i="49"/>
  <c r="H595" i="49"/>
  <c r="H896" i="49"/>
  <c r="H460" i="49"/>
  <c r="H694" i="49"/>
  <c r="H613" i="49"/>
  <c r="H831" i="49"/>
  <c r="H1017" i="49"/>
  <c r="H713" i="49"/>
  <c r="H479" i="49"/>
  <c r="H1133" i="49"/>
  <c r="H990" i="49"/>
  <c r="H660" i="49"/>
  <c r="H849" i="49"/>
  <c r="H780" i="49"/>
  <c r="F479" i="49"/>
  <c r="F498" i="49"/>
  <c r="F519" i="49"/>
  <c r="F546" i="49"/>
  <c r="F713" i="49"/>
  <c r="F732" i="49"/>
  <c r="F753" i="49"/>
  <c r="F780" i="49"/>
  <c r="F990" i="49"/>
  <c r="F1017" i="49"/>
  <c r="F814" i="49"/>
  <c r="F578" i="49"/>
  <c r="F595" i="49"/>
  <c r="F613" i="49"/>
  <c r="F633" i="49"/>
  <c r="F660" i="49"/>
  <c r="F831" i="49"/>
  <c r="F849" i="49"/>
  <c r="F869" i="49"/>
  <c r="F896" i="49"/>
  <c r="F1106" i="49"/>
  <c r="F1133" i="49"/>
  <c r="F969" i="49"/>
  <c r="F694" i="49"/>
  <c r="F460" i="49"/>
  <c r="A38" i="39"/>
  <c r="B37" i="39"/>
  <c r="T32" i="38"/>
  <c r="U32" i="38" s="1"/>
  <c r="P32" i="38"/>
  <c r="Q32" i="38" s="1"/>
  <c r="A33" i="38"/>
  <c r="B32" i="38"/>
  <c r="T27" i="37"/>
  <c r="U27" i="37" s="1"/>
  <c r="P27" i="37"/>
  <c r="Q27" i="37" s="1"/>
  <c r="A28" i="37"/>
  <c r="B27" i="37"/>
  <c r="T22" i="36"/>
  <c r="U22" i="36" s="1"/>
  <c r="P22" i="36"/>
  <c r="Q22" i="36" s="1"/>
  <c r="L22" i="36"/>
  <c r="M22" i="36" s="1"/>
  <c r="H22" i="36"/>
  <c r="I22" i="36" s="1"/>
  <c r="A23" i="36"/>
  <c r="B22" i="36"/>
  <c r="T17" i="35"/>
  <c r="U17" i="35" s="1"/>
  <c r="P17" i="35"/>
  <c r="Q17" i="35" s="1"/>
  <c r="L17" i="35"/>
  <c r="M17" i="35" s="1"/>
  <c r="H17" i="35"/>
  <c r="I17" i="35" s="1"/>
  <c r="D17" i="35"/>
  <c r="E17" i="35" s="1"/>
  <c r="A18" i="35"/>
  <c r="B17" i="35"/>
  <c r="T13" i="34"/>
  <c r="U13" i="34" s="1"/>
  <c r="P13" i="34"/>
  <c r="Q13" i="34" s="1"/>
  <c r="L13" i="34"/>
  <c r="M13" i="34" s="1"/>
  <c r="H13" i="34"/>
  <c r="I13" i="34" s="1"/>
  <c r="D13" i="34"/>
  <c r="E13" i="34" s="1"/>
  <c r="A14" i="34"/>
  <c r="B13" i="34"/>
  <c r="T10" i="33"/>
  <c r="U10" i="33" s="1"/>
  <c r="P10" i="33"/>
  <c r="Q10" i="33" s="1"/>
  <c r="L10" i="33"/>
  <c r="M10" i="33" s="1"/>
  <c r="H10" i="33"/>
  <c r="I10" i="33" s="1"/>
  <c r="D10" i="33"/>
  <c r="E10" i="33" s="1"/>
  <c r="A11" i="33"/>
  <c r="B10" i="33"/>
  <c r="L5" i="32"/>
  <c r="M5" i="32" s="1"/>
  <c r="H5" i="32"/>
  <c r="I5" i="32" s="1"/>
  <c r="D5" i="32"/>
  <c r="E5" i="32" s="1"/>
  <c r="A6" i="32"/>
  <c r="B5" i="32"/>
  <c r="I869" i="49"/>
  <c r="V9" i="33"/>
  <c r="F12" i="34"/>
  <c r="J12" i="34"/>
  <c r="I713" i="49"/>
  <c r="I831" i="49"/>
  <c r="I479" i="49"/>
  <c r="R21" i="36"/>
  <c r="I896" i="49"/>
  <c r="I519" i="49"/>
  <c r="V21" i="36"/>
  <c r="I753" i="49"/>
  <c r="I694" i="49"/>
  <c r="R9" i="33"/>
  <c r="I849" i="49"/>
  <c r="I460" i="49"/>
  <c r="N9" i="33"/>
  <c r="R16" i="35"/>
  <c r="R12" i="34"/>
  <c r="I498" i="49"/>
  <c r="I814" i="49"/>
  <c r="I780" i="49"/>
  <c r="I1133" i="49"/>
  <c r="N12" i="34"/>
  <c r="F16" i="35"/>
  <c r="I732" i="49"/>
  <c r="I969" i="49"/>
  <c r="V16" i="35"/>
  <c r="I990" i="49"/>
  <c r="I546" i="49"/>
  <c r="J22" i="36"/>
  <c r="R32" i="38"/>
  <c r="V12" i="34"/>
  <c r="N5" i="32"/>
  <c r="J21" i="36"/>
  <c r="V26" i="37"/>
  <c r="V31" i="38"/>
  <c r="N16" i="35"/>
  <c r="R31" i="38"/>
  <c r="I660" i="49"/>
  <c r="I595" i="49"/>
  <c r="I1017" i="49"/>
  <c r="I578" i="49"/>
  <c r="I633" i="49"/>
  <c r="N21" i="36"/>
  <c r="J9" i="33"/>
  <c r="F9" i="33"/>
  <c r="I613" i="49"/>
  <c r="J16" i="35"/>
  <c r="I1106" i="49"/>
  <c r="R26" i="37"/>
  <c r="H499" i="49" l="1"/>
  <c r="H714" i="49"/>
  <c r="H547" i="49"/>
  <c r="H832" i="49"/>
  <c r="H596" i="49"/>
  <c r="H480" i="49"/>
  <c r="H870" i="49"/>
  <c r="H754" i="49"/>
  <c r="H1018" i="49"/>
  <c r="H579" i="49"/>
  <c r="H1108" i="49"/>
  <c r="H733" i="49"/>
  <c r="H897" i="49"/>
  <c r="H1107" i="49"/>
  <c r="H695" i="49"/>
  <c r="H781" i="49"/>
  <c r="H520" i="49"/>
  <c r="H661" i="49"/>
  <c r="H614" i="49"/>
  <c r="H991" i="49"/>
  <c r="H461" i="49"/>
  <c r="H833" i="49"/>
  <c r="H1134" i="49"/>
  <c r="H380" i="49"/>
  <c r="H850" i="49"/>
  <c r="H634" i="49"/>
  <c r="F480" i="49"/>
  <c r="F499" i="49"/>
  <c r="F520" i="49"/>
  <c r="F547" i="49"/>
  <c r="F714" i="49"/>
  <c r="F733" i="49"/>
  <c r="F754" i="49"/>
  <c r="F781" i="49"/>
  <c r="F991" i="49"/>
  <c r="F1018" i="49"/>
  <c r="F579" i="49"/>
  <c r="F596" i="49"/>
  <c r="F614" i="49"/>
  <c r="F634" i="49"/>
  <c r="F661" i="49"/>
  <c r="F832" i="49"/>
  <c r="F850" i="49"/>
  <c r="F870" i="49"/>
  <c r="F897" i="49"/>
  <c r="F1107" i="49"/>
  <c r="F1134" i="49"/>
  <c r="F695" i="49"/>
  <c r="F461" i="49"/>
  <c r="A39" i="39"/>
  <c r="B38" i="39"/>
  <c r="T33" i="38"/>
  <c r="U33" i="38" s="1"/>
  <c r="A34" i="38"/>
  <c r="B33" i="38"/>
  <c r="T28" i="37"/>
  <c r="U28" i="37" s="1"/>
  <c r="P28" i="37"/>
  <c r="Q28" i="37" s="1"/>
  <c r="A29" i="37"/>
  <c r="B28" i="37"/>
  <c r="T23" i="36"/>
  <c r="U23" i="36" s="1"/>
  <c r="P23" i="36"/>
  <c r="Q23" i="36" s="1"/>
  <c r="L23" i="36"/>
  <c r="M23" i="36" s="1"/>
  <c r="A24" i="36"/>
  <c r="B23" i="36"/>
  <c r="T18" i="35"/>
  <c r="U18" i="35" s="1"/>
  <c r="P18" i="35"/>
  <c r="Q18" i="35" s="1"/>
  <c r="L18" i="35"/>
  <c r="M18" i="35" s="1"/>
  <c r="H18" i="35"/>
  <c r="I18" i="35" s="1"/>
  <c r="D18" i="35"/>
  <c r="E18" i="35" s="1"/>
  <c r="A19" i="35"/>
  <c r="B18" i="35"/>
  <c r="T14" i="34"/>
  <c r="U14" i="34" s="1"/>
  <c r="P14" i="34"/>
  <c r="Q14" i="34" s="1"/>
  <c r="L14" i="34"/>
  <c r="M14" i="34" s="1"/>
  <c r="H14" i="34"/>
  <c r="I14" i="34" s="1"/>
  <c r="D14" i="34"/>
  <c r="E14" i="34" s="1"/>
  <c r="A15" i="34"/>
  <c r="B14" i="34"/>
  <c r="T11" i="33"/>
  <c r="U11" i="33" s="1"/>
  <c r="P11" i="33"/>
  <c r="Q11" i="33" s="1"/>
  <c r="L11" i="33"/>
  <c r="M11" i="33" s="1"/>
  <c r="H11" i="33"/>
  <c r="I11" i="33" s="1"/>
  <c r="D11" i="33"/>
  <c r="E11" i="33" s="1"/>
  <c r="A12" i="33"/>
  <c r="B11" i="33"/>
  <c r="T6" i="32"/>
  <c r="U6" i="32" s="1"/>
  <c r="P6" i="32"/>
  <c r="Q6" i="32" s="1"/>
  <c r="L6" i="32"/>
  <c r="M6" i="32" s="1"/>
  <c r="H6" i="32"/>
  <c r="I6" i="32" s="1"/>
  <c r="D6" i="32"/>
  <c r="E6" i="32" s="1"/>
  <c r="A7" i="32"/>
  <c r="B6" i="32"/>
  <c r="V33" i="38"/>
  <c r="I1018" i="49"/>
  <c r="F17" i="35"/>
  <c r="I579" i="49"/>
  <c r="R6" i="32"/>
  <c r="J17" i="35"/>
  <c r="I733" i="49"/>
  <c r="I695" i="49"/>
  <c r="V13" i="34"/>
  <c r="V6" i="32"/>
  <c r="V27" i="37"/>
  <c r="I1134" i="49"/>
  <c r="I781" i="49"/>
  <c r="J13" i="34"/>
  <c r="N22" i="36"/>
  <c r="I499" i="49"/>
  <c r="I661" i="49"/>
  <c r="I714" i="49"/>
  <c r="I480" i="49"/>
  <c r="I614" i="49"/>
  <c r="I634" i="49"/>
  <c r="R10" i="33"/>
  <c r="N13" i="34"/>
  <c r="I596" i="49"/>
  <c r="F10" i="33"/>
  <c r="F13" i="34"/>
  <c r="J10" i="33"/>
  <c r="I461" i="49"/>
  <c r="I547" i="49"/>
  <c r="I754" i="49"/>
  <c r="I897" i="49"/>
  <c r="R27" i="37"/>
  <c r="R13" i="34"/>
  <c r="I870" i="49"/>
  <c r="V32" i="38"/>
  <c r="R22" i="36"/>
  <c r="I832" i="49"/>
  <c r="I520" i="49"/>
  <c r="R17" i="35"/>
  <c r="N10" i="33"/>
  <c r="V10" i="33"/>
  <c r="V17" i="35"/>
  <c r="I991" i="49"/>
  <c r="I850" i="49"/>
  <c r="N17" i="35"/>
  <c r="I1107" i="49"/>
  <c r="V22" i="36"/>
  <c r="H1136" i="49" l="1"/>
  <c r="H597" i="49"/>
  <c r="H635" i="49"/>
  <c r="H1019" i="49"/>
  <c r="H548" i="49"/>
  <c r="H481" i="49"/>
  <c r="H1135" i="49"/>
  <c r="H462" i="49"/>
  <c r="H734" i="49"/>
  <c r="H662" i="49"/>
  <c r="H500" i="49"/>
  <c r="H851" i="49"/>
  <c r="H521" i="49"/>
  <c r="H871" i="49"/>
  <c r="H782" i="49"/>
  <c r="H428" i="49"/>
  <c r="H715" i="49"/>
  <c r="H401" i="49"/>
  <c r="H580" i="49"/>
  <c r="H898" i="49"/>
  <c r="H755" i="49"/>
  <c r="H696" i="49"/>
  <c r="H615" i="49"/>
  <c r="H992" i="49"/>
  <c r="F481" i="49"/>
  <c r="F500" i="49"/>
  <c r="F521" i="49"/>
  <c r="F548" i="49"/>
  <c r="F715" i="49"/>
  <c r="F734" i="49"/>
  <c r="F755" i="49"/>
  <c r="F782" i="49"/>
  <c r="F992" i="49"/>
  <c r="F1019" i="49"/>
  <c r="F833" i="49"/>
  <c r="F1108" i="49"/>
  <c r="F580" i="49"/>
  <c r="F597" i="49"/>
  <c r="F615" i="49"/>
  <c r="F635" i="49"/>
  <c r="F662" i="49"/>
  <c r="F851" i="49"/>
  <c r="F871" i="49"/>
  <c r="F898" i="49"/>
  <c r="F1135" i="49"/>
  <c r="F696" i="49"/>
  <c r="F462" i="49"/>
  <c r="A40" i="39"/>
  <c r="B39" i="39"/>
  <c r="A35" i="38"/>
  <c r="B34" i="38"/>
  <c r="T29" i="37"/>
  <c r="U29" i="37" s="1"/>
  <c r="P29" i="37"/>
  <c r="Q29" i="37" s="1"/>
  <c r="A30" i="37"/>
  <c r="B29" i="37"/>
  <c r="T24" i="36"/>
  <c r="U24" i="36" s="1"/>
  <c r="P24" i="36"/>
  <c r="Q24" i="36" s="1"/>
  <c r="L24" i="36"/>
  <c r="M24" i="36" s="1"/>
  <c r="A25" i="36"/>
  <c r="B24" i="36"/>
  <c r="T19" i="35"/>
  <c r="U19" i="35" s="1"/>
  <c r="P19" i="35"/>
  <c r="Q19" i="35" s="1"/>
  <c r="L19" i="35"/>
  <c r="M19" i="35" s="1"/>
  <c r="H19" i="35"/>
  <c r="I19" i="35" s="1"/>
  <c r="D19" i="35"/>
  <c r="E19" i="35" s="1"/>
  <c r="A20" i="35"/>
  <c r="B19" i="35"/>
  <c r="T15" i="34"/>
  <c r="U15" i="34" s="1"/>
  <c r="P15" i="34"/>
  <c r="Q15" i="34" s="1"/>
  <c r="L15" i="34"/>
  <c r="M15" i="34" s="1"/>
  <c r="H15" i="34"/>
  <c r="I15" i="34" s="1"/>
  <c r="D15" i="34"/>
  <c r="E15" i="34" s="1"/>
  <c r="A16" i="34"/>
  <c r="B15" i="34"/>
  <c r="T12" i="33"/>
  <c r="U12" i="33" s="1"/>
  <c r="P12" i="33"/>
  <c r="Q12" i="33" s="1"/>
  <c r="L12" i="33"/>
  <c r="M12" i="33" s="1"/>
  <c r="H12" i="33"/>
  <c r="I12" i="33" s="1"/>
  <c r="D12" i="33"/>
  <c r="E12" i="33" s="1"/>
  <c r="A13" i="33"/>
  <c r="B12" i="33"/>
  <c r="H4" i="32"/>
  <c r="I4" i="32" s="1"/>
  <c r="T7" i="32"/>
  <c r="U7" i="32" s="1"/>
  <c r="P7" i="32"/>
  <c r="Q7" i="32" s="1"/>
  <c r="L7" i="32"/>
  <c r="M7" i="32" s="1"/>
  <c r="H7" i="32"/>
  <c r="I7" i="32" s="1"/>
  <c r="D7" i="32"/>
  <c r="E7" i="32" s="1"/>
  <c r="A8" i="32"/>
  <c r="B7" i="32"/>
  <c r="I871" i="49"/>
  <c r="R18" i="35"/>
  <c r="I462" i="49"/>
  <c r="J4" i="32"/>
  <c r="N23" i="36"/>
  <c r="J11" i="33"/>
  <c r="R28" i="37"/>
  <c r="N18" i="35"/>
  <c r="I696" i="49"/>
  <c r="I580" i="49"/>
  <c r="F18" i="35"/>
  <c r="V23" i="36"/>
  <c r="I833" i="49"/>
  <c r="I597" i="49"/>
  <c r="J14" i="34"/>
  <c r="I755" i="49"/>
  <c r="J5" i="32"/>
  <c r="I548" i="49"/>
  <c r="I500" i="49"/>
  <c r="N6" i="32"/>
  <c r="I1019" i="49"/>
  <c r="J6" i="32"/>
  <c r="R23" i="36"/>
  <c r="I898" i="49"/>
  <c r="V14" i="34"/>
  <c r="F11" i="33"/>
  <c r="I715" i="49"/>
  <c r="I635" i="49"/>
  <c r="F6" i="32"/>
  <c r="I481" i="49"/>
  <c r="N14" i="34"/>
  <c r="I1135" i="49"/>
  <c r="N11" i="33"/>
  <c r="F14" i="34"/>
  <c r="I615" i="49"/>
  <c r="I1108" i="49"/>
  <c r="R14" i="34"/>
  <c r="I992" i="49"/>
  <c r="I662" i="49"/>
  <c r="R11" i="33"/>
  <c r="J18" i="35"/>
  <c r="I734" i="49"/>
  <c r="I851" i="49"/>
  <c r="V28" i="37"/>
  <c r="I782" i="49"/>
  <c r="V18" i="35"/>
  <c r="V11" i="33"/>
  <c r="I521" i="49"/>
  <c r="H899" i="49" l="1"/>
  <c r="H872" i="49"/>
  <c r="H581" i="49"/>
  <c r="H463" i="49"/>
  <c r="H852" i="49"/>
  <c r="H1020" i="49"/>
  <c r="H501" i="49"/>
  <c r="H616" i="49"/>
  <c r="H697" i="49"/>
  <c r="H549" i="49"/>
  <c r="H363" i="49"/>
  <c r="H381" i="49"/>
  <c r="H598" i="49"/>
  <c r="H783" i="49"/>
  <c r="H756" i="49"/>
  <c r="H346" i="49"/>
  <c r="H735" i="49"/>
  <c r="H716" i="49"/>
  <c r="H482" i="49"/>
  <c r="H522" i="49"/>
  <c r="H663" i="49"/>
  <c r="H362" i="49"/>
  <c r="H993" i="49"/>
  <c r="H636" i="49"/>
  <c r="H361" i="49"/>
  <c r="F482" i="49"/>
  <c r="F501" i="49"/>
  <c r="F522" i="49"/>
  <c r="F549" i="49"/>
  <c r="F716" i="49"/>
  <c r="F735" i="49"/>
  <c r="F756" i="49"/>
  <c r="F783" i="49"/>
  <c r="F993" i="49"/>
  <c r="F1020" i="49"/>
  <c r="F581" i="49"/>
  <c r="F598" i="49"/>
  <c r="F616" i="49"/>
  <c r="F636" i="49"/>
  <c r="F663" i="49"/>
  <c r="F852" i="49"/>
  <c r="F872" i="49"/>
  <c r="F899" i="49"/>
  <c r="F1136" i="49"/>
  <c r="F697" i="49"/>
  <c r="F463" i="49"/>
  <c r="B40" i="39"/>
  <c r="A36" i="38"/>
  <c r="B35" i="38"/>
  <c r="T30" i="37"/>
  <c r="U30" i="37" s="1"/>
  <c r="P30" i="37"/>
  <c r="Q30" i="37" s="1"/>
  <c r="A31" i="37"/>
  <c r="B30" i="37"/>
  <c r="T25" i="36"/>
  <c r="U25" i="36" s="1"/>
  <c r="P25" i="36"/>
  <c r="Q25" i="36" s="1"/>
  <c r="L25" i="36"/>
  <c r="M25" i="36" s="1"/>
  <c r="A26" i="36"/>
  <c r="B25" i="36"/>
  <c r="T20" i="35"/>
  <c r="U20" i="35" s="1"/>
  <c r="P20" i="35"/>
  <c r="Q20" i="35" s="1"/>
  <c r="L20" i="35"/>
  <c r="M20" i="35" s="1"/>
  <c r="H20" i="35"/>
  <c r="I20" i="35" s="1"/>
  <c r="D20" i="35"/>
  <c r="E20" i="35" s="1"/>
  <c r="A21" i="35"/>
  <c r="B20" i="35"/>
  <c r="T16" i="34"/>
  <c r="U16" i="34" s="1"/>
  <c r="P16" i="34"/>
  <c r="Q16" i="34" s="1"/>
  <c r="L16" i="34"/>
  <c r="M16" i="34" s="1"/>
  <c r="H16" i="34"/>
  <c r="I16" i="34" s="1"/>
  <c r="D16" i="34"/>
  <c r="E16" i="34" s="1"/>
  <c r="A17" i="34"/>
  <c r="B16" i="34"/>
  <c r="T13" i="33"/>
  <c r="U13" i="33" s="1"/>
  <c r="P13" i="33"/>
  <c r="Q13" i="33" s="1"/>
  <c r="L13" i="33"/>
  <c r="M13" i="33" s="1"/>
  <c r="H13" i="33"/>
  <c r="I13" i="33" s="1"/>
  <c r="D13" i="33"/>
  <c r="E13" i="33" s="1"/>
  <c r="A14" i="33"/>
  <c r="B13" i="33"/>
  <c r="D4" i="32"/>
  <c r="E4" i="32" s="1"/>
  <c r="T8" i="32"/>
  <c r="U8" i="32" s="1"/>
  <c r="P8" i="32"/>
  <c r="Q8" i="32" s="1"/>
  <c r="L8" i="32"/>
  <c r="M8" i="32" s="1"/>
  <c r="H8" i="32"/>
  <c r="I8" i="32" s="1"/>
  <c r="D8" i="32"/>
  <c r="E8" i="32" s="1"/>
  <c r="A9" i="32"/>
  <c r="B8" i="32"/>
  <c r="B4" i="32"/>
  <c r="S9" i="31"/>
  <c r="I581" i="49"/>
  <c r="I852" i="49"/>
  <c r="S23" i="31"/>
  <c r="S22" i="31"/>
  <c r="S13" i="31"/>
  <c r="F15" i="34"/>
  <c r="N12" i="33"/>
  <c r="I697" i="49"/>
  <c r="S8" i="31"/>
  <c r="S20" i="31"/>
  <c r="I663" i="49"/>
  <c r="R24" i="36"/>
  <c r="I522" i="49"/>
  <c r="S21" i="31"/>
  <c r="V7" i="32"/>
  <c r="I636" i="49"/>
  <c r="V29" i="37"/>
  <c r="V19" i="35"/>
  <c r="R12" i="33"/>
  <c r="F12" i="33"/>
  <c r="S18" i="31"/>
  <c r="S14" i="31"/>
  <c r="S7" i="31"/>
  <c r="R15" i="34"/>
  <c r="I783" i="49"/>
  <c r="N7" i="32"/>
  <c r="S29" i="31"/>
  <c r="I756" i="49"/>
  <c r="I549" i="49"/>
  <c r="F19" i="35"/>
  <c r="F4" i="32"/>
  <c r="S10" i="31"/>
  <c r="S15" i="31"/>
  <c r="V12" i="33"/>
  <c r="I899" i="49"/>
  <c r="I735" i="49"/>
  <c r="V24" i="36"/>
  <c r="N24" i="36"/>
  <c r="S26" i="31"/>
  <c r="I482" i="49"/>
  <c r="I598" i="49"/>
  <c r="S25" i="31"/>
  <c r="F7" i="32"/>
  <c r="I463" i="49"/>
  <c r="I1136" i="49"/>
  <c r="S31" i="31"/>
  <c r="F5" i="32"/>
  <c r="J15" i="34"/>
  <c r="R7" i="32"/>
  <c r="V15" i="34"/>
  <c r="S16" i="31"/>
  <c r="I1020" i="49"/>
  <c r="S17" i="31"/>
  <c r="I716" i="49"/>
  <c r="S32" i="31"/>
  <c r="S24" i="31"/>
  <c r="I872" i="49"/>
  <c r="S12" i="31"/>
  <c r="N25" i="36"/>
  <c r="S27" i="31"/>
  <c r="J19" i="35"/>
  <c r="S28" i="31"/>
  <c r="N15" i="34"/>
  <c r="S11" i="31"/>
  <c r="J12" i="33"/>
  <c r="N19" i="35"/>
  <c r="S30" i="31"/>
  <c r="I501" i="49"/>
  <c r="I616" i="49"/>
  <c r="S19" i="31"/>
  <c r="R19" i="35"/>
  <c r="J7" i="32"/>
  <c r="R29" i="37"/>
  <c r="I993" i="49"/>
  <c r="H364" i="49" l="1"/>
  <c r="H464" i="49"/>
  <c r="H664" i="49"/>
  <c r="H382" i="49"/>
  <c r="H617" i="49"/>
  <c r="H757" i="49"/>
  <c r="H698" i="49"/>
  <c r="H523" i="49"/>
  <c r="H637" i="49"/>
  <c r="H736" i="49"/>
  <c r="H429" i="49"/>
  <c r="H717" i="49"/>
  <c r="H402" i="49"/>
  <c r="H599" i="49"/>
  <c r="H784" i="49"/>
  <c r="H1021" i="49"/>
  <c r="H345" i="49"/>
  <c r="H854" i="49"/>
  <c r="H853" i="49"/>
  <c r="H873" i="49"/>
  <c r="H347" i="49"/>
  <c r="H582" i="49"/>
  <c r="H550" i="49"/>
  <c r="H483" i="49"/>
  <c r="H344" i="49"/>
  <c r="H502" i="49"/>
  <c r="H900" i="49"/>
  <c r="H994" i="49"/>
  <c r="F483" i="49"/>
  <c r="F502" i="49"/>
  <c r="F523" i="49"/>
  <c r="F550" i="49"/>
  <c r="F717" i="49"/>
  <c r="F736" i="49"/>
  <c r="F757" i="49"/>
  <c r="F784" i="49"/>
  <c r="F994" i="49"/>
  <c r="F1021" i="49"/>
  <c r="F380" i="49"/>
  <c r="F401" i="49"/>
  <c r="F346" i="49"/>
  <c r="F428" i="49"/>
  <c r="F361" i="49"/>
  <c r="F362" i="49"/>
  <c r="F363" i="49"/>
  <c r="F381" i="49"/>
  <c r="F347" i="49"/>
  <c r="F364" i="49"/>
  <c r="F382" i="49"/>
  <c r="F402" i="49"/>
  <c r="F429" i="49"/>
  <c r="F345" i="49"/>
  <c r="F344" i="49"/>
  <c r="F582" i="49"/>
  <c r="F599" i="49"/>
  <c r="F617" i="49"/>
  <c r="F637" i="49"/>
  <c r="F664" i="49"/>
  <c r="F853" i="49"/>
  <c r="F873" i="49"/>
  <c r="F900" i="49"/>
  <c r="F698" i="49"/>
  <c r="F464" i="49"/>
  <c r="A37" i="38"/>
  <c r="B36" i="38"/>
  <c r="T31" i="37"/>
  <c r="U31" i="37" s="1"/>
  <c r="P31" i="37"/>
  <c r="Q31" i="37" s="1"/>
  <c r="A32" i="37"/>
  <c r="B31" i="37"/>
  <c r="T26" i="36"/>
  <c r="U26" i="36" s="1"/>
  <c r="P26" i="36"/>
  <c r="Q26" i="36" s="1"/>
  <c r="A27" i="36"/>
  <c r="B26" i="36"/>
  <c r="T21" i="35"/>
  <c r="U21" i="35" s="1"/>
  <c r="P21" i="35"/>
  <c r="Q21" i="35" s="1"/>
  <c r="L21" i="35"/>
  <c r="M21" i="35" s="1"/>
  <c r="H21" i="35"/>
  <c r="I21" i="35" s="1"/>
  <c r="D21" i="35"/>
  <c r="E21" i="35" s="1"/>
  <c r="A22" i="35"/>
  <c r="B21" i="35"/>
  <c r="T17" i="34"/>
  <c r="U17" i="34" s="1"/>
  <c r="P17" i="34"/>
  <c r="Q17" i="34" s="1"/>
  <c r="L17" i="34"/>
  <c r="M17" i="34" s="1"/>
  <c r="H17" i="34"/>
  <c r="I17" i="34" s="1"/>
  <c r="D17" i="34"/>
  <c r="E17" i="34" s="1"/>
  <c r="A18" i="34"/>
  <c r="B17" i="34"/>
  <c r="T14" i="33"/>
  <c r="U14" i="33" s="1"/>
  <c r="P14" i="33"/>
  <c r="Q14" i="33" s="1"/>
  <c r="L14" i="33"/>
  <c r="M14" i="33" s="1"/>
  <c r="H14" i="33"/>
  <c r="I14" i="33" s="1"/>
  <c r="D14" i="33"/>
  <c r="E14" i="33" s="1"/>
  <c r="A15" i="33"/>
  <c r="B14" i="33"/>
  <c r="T9" i="32"/>
  <c r="U9" i="32" s="1"/>
  <c r="P9" i="32"/>
  <c r="Q9" i="32" s="1"/>
  <c r="L9" i="32"/>
  <c r="M9" i="32" s="1"/>
  <c r="H9" i="32"/>
  <c r="I9" i="32" s="1"/>
  <c r="D9" i="32"/>
  <c r="E9" i="32" s="1"/>
  <c r="A10" i="32"/>
  <c r="B9" i="32"/>
  <c r="I346" i="49"/>
  <c r="K17" i="31"/>
  <c r="O12" i="31"/>
  <c r="O21" i="31"/>
  <c r="K13" i="31"/>
  <c r="I344" i="49"/>
  <c r="O9" i="31"/>
  <c r="O10" i="31"/>
  <c r="I698" i="49"/>
  <c r="O5" i="31"/>
  <c r="I637" i="49"/>
  <c r="R31" i="37"/>
  <c r="I428" i="49"/>
  <c r="O6" i="31"/>
  <c r="V20" i="35"/>
  <c r="O14" i="31"/>
  <c r="O13" i="31"/>
  <c r="I502" i="49"/>
  <c r="O8" i="31"/>
  <c r="K22" i="31"/>
  <c r="I784" i="49"/>
  <c r="V16" i="34"/>
  <c r="I464" i="49"/>
  <c r="K24" i="31"/>
  <c r="I361" i="49"/>
  <c r="O29" i="31"/>
  <c r="N13" i="33"/>
  <c r="J20" i="35"/>
  <c r="O28" i="31"/>
  <c r="I900" i="49"/>
  <c r="O19" i="31"/>
  <c r="K21" i="31"/>
  <c r="R25" i="36"/>
  <c r="N8" i="32"/>
  <c r="I429" i="49"/>
  <c r="I994" i="49"/>
  <c r="I362" i="49"/>
  <c r="N20" i="35"/>
  <c r="I381" i="49"/>
  <c r="F13" i="33"/>
  <c r="I873" i="49"/>
  <c r="K12" i="31"/>
  <c r="R20" i="35"/>
  <c r="R16" i="34"/>
  <c r="I363" i="49"/>
  <c r="O23" i="31"/>
  <c r="I402" i="49"/>
  <c r="O30" i="31"/>
  <c r="O24" i="31"/>
  <c r="R30" i="37"/>
  <c r="I757" i="49"/>
  <c r="O20" i="31"/>
  <c r="O15" i="31"/>
  <c r="V30" i="37"/>
  <c r="I401" i="49"/>
  <c r="F16" i="34"/>
  <c r="K10" i="31"/>
  <c r="I483" i="49"/>
  <c r="V25" i="36"/>
  <c r="O18" i="31"/>
  <c r="O26" i="31"/>
  <c r="K9" i="31"/>
  <c r="I617" i="49"/>
  <c r="K5" i="31"/>
  <c r="K16" i="31"/>
  <c r="S6" i="31"/>
  <c r="F8" i="32"/>
  <c r="K8" i="31"/>
  <c r="V13" i="33"/>
  <c r="O16" i="31"/>
  <c r="I380" i="49"/>
  <c r="I1021" i="49"/>
  <c r="I550" i="49"/>
  <c r="I717" i="49"/>
  <c r="O7" i="31"/>
  <c r="K7" i="31"/>
  <c r="O22" i="31"/>
  <c r="K18" i="31"/>
  <c r="R13" i="33"/>
  <c r="R8" i="32"/>
  <c r="I347" i="49"/>
  <c r="I582" i="49"/>
  <c r="K23" i="31"/>
  <c r="K15" i="31"/>
  <c r="K11" i="31"/>
  <c r="O25" i="31"/>
  <c r="I599" i="49"/>
  <c r="J16" i="34"/>
  <c r="K25" i="31"/>
  <c r="N16" i="34"/>
  <c r="I382" i="49"/>
  <c r="K14" i="31"/>
  <c r="O27" i="31"/>
  <c r="K6" i="31"/>
  <c r="K20" i="31"/>
  <c r="V8" i="32"/>
  <c r="I523" i="49"/>
  <c r="O31" i="31"/>
  <c r="I345" i="49"/>
  <c r="J8" i="32"/>
  <c r="I853" i="49"/>
  <c r="I364" i="49"/>
  <c r="I736" i="49"/>
  <c r="F20" i="35"/>
  <c r="I664" i="49"/>
  <c r="J13" i="33"/>
  <c r="K19" i="31"/>
  <c r="O11" i="31"/>
  <c r="O17" i="31"/>
  <c r="H403" i="49" l="1"/>
  <c r="H618" i="49"/>
  <c r="H699" i="49"/>
  <c r="H901" i="49"/>
  <c r="H484" i="49"/>
  <c r="H383" i="49"/>
  <c r="H524" i="49"/>
  <c r="H995" i="49"/>
  <c r="H600" i="49"/>
  <c r="H718" i="49"/>
  <c r="H737" i="49"/>
  <c r="H758" i="49"/>
  <c r="H665" i="49"/>
  <c r="H874" i="49"/>
  <c r="H638" i="49"/>
  <c r="H365" i="49"/>
  <c r="H503" i="49"/>
  <c r="H465" i="49"/>
  <c r="H583" i="49"/>
  <c r="H785" i="49"/>
  <c r="H430" i="49"/>
  <c r="H1022" i="49"/>
  <c r="H551" i="49"/>
  <c r="H996" i="49"/>
  <c r="H348" i="49"/>
  <c r="F484" i="49"/>
  <c r="F503" i="49"/>
  <c r="F524" i="49"/>
  <c r="F551" i="49"/>
  <c r="F718" i="49"/>
  <c r="F737" i="49"/>
  <c r="F758" i="49"/>
  <c r="F785" i="49"/>
  <c r="F995" i="49"/>
  <c r="F1022" i="49"/>
  <c r="F348" i="49"/>
  <c r="F365" i="49"/>
  <c r="F383" i="49"/>
  <c r="F403" i="49"/>
  <c r="F430" i="49"/>
  <c r="F583" i="49"/>
  <c r="F600" i="49"/>
  <c r="F618" i="49"/>
  <c r="F638" i="49"/>
  <c r="F665" i="49"/>
  <c r="F874" i="49"/>
  <c r="F901" i="49"/>
  <c r="F854" i="49"/>
  <c r="F699" i="49"/>
  <c r="F465" i="49"/>
  <c r="A38" i="38"/>
  <c r="B37" i="38"/>
  <c r="T32" i="37"/>
  <c r="U32" i="37" s="1"/>
  <c r="A33" i="37"/>
  <c r="B32" i="37"/>
  <c r="T27" i="36"/>
  <c r="U27" i="36" s="1"/>
  <c r="P27" i="36"/>
  <c r="Q27" i="36" s="1"/>
  <c r="A28" i="36"/>
  <c r="B27" i="36"/>
  <c r="T22" i="35"/>
  <c r="U22" i="35" s="1"/>
  <c r="P22" i="35"/>
  <c r="Q22" i="35" s="1"/>
  <c r="L22" i="35"/>
  <c r="M22" i="35" s="1"/>
  <c r="H22" i="35"/>
  <c r="I22" i="35" s="1"/>
  <c r="D22" i="35"/>
  <c r="E22" i="35" s="1"/>
  <c r="A23" i="35"/>
  <c r="B22" i="35"/>
  <c r="T18" i="34"/>
  <c r="U18" i="34" s="1"/>
  <c r="P18" i="34"/>
  <c r="Q18" i="34" s="1"/>
  <c r="L18" i="34"/>
  <c r="M18" i="34" s="1"/>
  <c r="H18" i="34"/>
  <c r="I18" i="34" s="1"/>
  <c r="D18" i="34"/>
  <c r="E18" i="34" s="1"/>
  <c r="A19" i="34"/>
  <c r="B18" i="34"/>
  <c r="T15" i="33"/>
  <c r="U15" i="33" s="1"/>
  <c r="P15" i="33"/>
  <c r="Q15" i="33" s="1"/>
  <c r="L15" i="33"/>
  <c r="M15" i="33" s="1"/>
  <c r="H15" i="33"/>
  <c r="I15" i="33" s="1"/>
  <c r="D15" i="33"/>
  <c r="E15" i="33" s="1"/>
  <c r="A16" i="33"/>
  <c r="B15" i="33"/>
  <c r="T10" i="32"/>
  <c r="U10" i="32" s="1"/>
  <c r="P10" i="32"/>
  <c r="Q10" i="32" s="1"/>
  <c r="L10" i="32"/>
  <c r="M10" i="32" s="1"/>
  <c r="H10" i="32"/>
  <c r="I10" i="32" s="1"/>
  <c r="D10" i="32"/>
  <c r="E10" i="32" s="1"/>
  <c r="A11" i="32"/>
  <c r="B10" i="32"/>
  <c r="I524" i="49"/>
  <c r="I874" i="49"/>
  <c r="N9" i="32"/>
  <c r="I403" i="49"/>
  <c r="F9" i="32"/>
  <c r="V26" i="36"/>
  <c r="I995" i="49"/>
  <c r="R9" i="32"/>
  <c r="I365" i="49"/>
  <c r="R26" i="36"/>
  <c r="I901" i="49"/>
  <c r="V17" i="34"/>
  <c r="V9" i="32"/>
  <c r="I465" i="49"/>
  <c r="I583" i="49"/>
  <c r="I665" i="49"/>
  <c r="I758" i="49"/>
  <c r="F22" i="35"/>
  <c r="I1022" i="49"/>
  <c r="J21" i="35"/>
  <c r="R17" i="34"/>
  <c r="R21" i="35"/>
  <c r="R14" i="33"/>
  <c r="N17" i="34"/>
  <c r="I484" i="49"/>
  <c r="N14" i="33"/>
  <c r="V31" i="37"/>
  <c r="I737" i="49"/>
  <c r="V21" i="35"/>
  <c r="I785" i="49"/>
  <c r="I348" i="49"/>
  <c r="I600" i="49"/>
  <c r="F17" i="34"/>
  <c r="I618" i="49"/>
  <c r="V14" i="33"/>
  <c r="I699" i="49"/>
  <c r="N21" i="35"/>
  <c r="I638" i="49"/>
  <c r="V32" i="37"/>
  <c r="J17" i="34"/>
  <c r="I551" i="49"/>
  <c r="I854" i="49"/>
  <c r="F14" i="33"/>
  <c r="I503" i="49"/>
  <c r="I430" i="49"/>
  <c r="I718" i="49"/>
  <c r="F21" i="35"/>
  <c r="J14" i="33"/>
  <c r="J9" i="32"/>
  <c r="I383" i="49"/>
  <c r="H525" i="49" l="1"/>
  <c r="H875" i="49"/>
  <c r="H1024" i="49"/>
  <c r="H700" i="49"/>
  <c r="H504" i="49"/>
  <c r="H701" i="49"/>
  <c r="H366" i="49"/>
  <c r="H719" i="49"/>
  <c r="H639" i="49"/>
  <c r="H759" i="49"/>
  <c r="H738" i="49"/>
  <c r="H466" i="49"/>
  <c r="H552" i="49"/>
  <c r="H349" i="49"/>
  <c r="H384" i="49"/>
  <c r="H666" i="49"/>
  <c r="H619" i="49"/>
  <c r="H584" i="49"/>
  <c r="H404" i="49"/>
  <c r="H485" i="49"/>
  <c r="H1023" i="49"/>
  <c r="H601" i="49"/>
  <c r="H431" i="49"/>
  <c r="H902" i="49"/>
  <c r="H786" i="49"/>
  <c r="F485" i="49"/>
  <c r="F504" i="49"/>
  <c r="F525" i="49"/>
  <c r="F552" i="49"/>
  <c r="F719" i="49"/>
  <c r="F738" i="49"/>
  <c r="F759" i="49"/>
  <c r="F786" i="49"/>
  <c r="F1023" i="49"/>
  <c r="F349" i="49"/>
  <c r="F366" i="49"/>
  <c r="F384" i="49"/>
  <c r="F404" i="49"/>
  <c r="F431" i="49"/>
  <c r="F584" i="49"/>
  <c r="F601" i="49"/>
  <c r="F619" i="49"/>
  <c r="F639" i="49"/>
  <c r="F666" i="49"/>
  <c r="F875" i="49"/>
  <c r="F902" i="49"/>
  <c r="F996" i="49"/>
  <c r="F700" i="49"/>
  <c r="F466" i="49"/>
  <c r="A39" i="38"/>
  <c r="B38" i="38"/>
  <c r="A34" i="37"/>
  <c r="B33" i="37"/>
  <c r="T28" i="36"/>
  <c r="U28" i="36" s="1"/>
  <c r="P28" i="36"/>
  <c r="Q28" i="36" s="1"/>
  <c r="A29" i="36"/>
  <c r="B28" i="36"/>
  <c r="T23" i="35"/>
  <c r="U23" i="35" s="1"/>
  <c r="P23" i="35"/>
  <c r="Q23" i="35" s="1"/>
  <c r="L23" i="35"/>
  <c r="M23" i="35" s="1"/>
  <c r="H23" i="35"/>
  <c r="I23" i="35" s="1"/>
  <c r="A24" i="35"/>
  <c r="B23" i="35"/>
  <c r="T19" i="34"/>
  <c r="U19" i="34" s="1"/>
  <c r="P19" i="34"/>
  <c r="Q19" i="34" s="1"/>
  <c r="L19" i="34"/>
  <c r="M19" i="34" s="1"/>
  <c r="H19" i="34"/>
  <c r="I19" i="34" s="1"/>
  <c r="D19" i="34"/>
  <c r="E19" i="34" s="1"/>
  <c r="A20" i="34"/>
  <c r="B19" i="34"/>
  <c r="T16" i="33"/>
  <c r="U16" i="33" s="1"/>
  <c r="P16" i="33"/>
  <c r="Q16" i="33" s="1"/>
  <c r="L16" i="33"/>
  <c r="M16" i="33" s="1"/>
  <c r="H16" i="33"/>
  <c r="I16" i="33" s="1"/>
  <c r="D16" i="33"/>
  <c r="E16" i="33" s="1"/>
  <c r="A17" i="33"/>
  <c r="B16" i="33"/>
  <c r="T11" i="32"/>
  <c r="U11" i="32" s="1"/>
  <c r="P11" i="32"/>
  <c r="Q11" i="32" s="1"/>
  <c r="L11" i="32"/>
  <c r="M11" i="32" s="1"/>
  <c r="H11" i="32"/>
  <c r="I11" i="32" s="1"/>
  <c r="D11" i="32"/>
  <c r="E11" i="32" s="1"/>
  <c r="A12" i="32"/>
  <c r="B11" i="32"/>
  <c r="R10" i="32"/>
  <c r="I552" i="49"/>
  <c r="I366" i="49"/>
  <c r="J23" i="35"/>
  <c r="J18" i="34"/>
  <c r="J10" i="32"/>
  <c r="I619" i="49"/>
  <c r="R18" i="34"/>
  <c r="R22" i="35"/>
  <c r="I584" i="49"/>
  <c r="I384" i="49"/>
  <c r="I996" i="49"/>
  <c r="I466" i="49"/>
  <c r="I786" i="49"/>
  <c r="I666" i="49"/>
  <c r="I719" i="49"/>
  <c r="I875" i="49"/>
  <c r="R27" i="36"/>
  <c r="I738" i="49"/>
  <c r="J22" i="35"/>
  <c r="I404" i="49"/>
  <c r="I349" i="49"/>
  <c r="I700" i="49"/>
  <c r="I485" i="49"/>
  <c r="J15" i="33"/>
  <c r="V27" i="36"/>
  <c r="V22" i="35"/>
  <c r="N22" i="35"/>
  <c r="I639" i="49"/>
  <c r="I759" i="49"/>
  <c r="N10" i="32"/>
  <c r="N15" i="33"/>
  <c r="N18" i="34"/>
  <c r="I504" i="49"/>
  <c r="I601" i="49"/>
  <c r="V10" i="32"/>
  <c r="I1023" i="49"/>
  <c r="R15" i="33"/>
  <c r="I525" i="49"/>
  <c r="F15" i="33"/>
  <c r="I431" i="49"/>
  <c r="V18" i="34"/>
  <c r="V15" i="33"/>
  <c r="F10" i="32"/>
  <c r="F18" i="34"/>
  <c r="I902" i="49"/>
  <c r="H876" i="49" l="1"/>
  <c r="H667" i="49"/>
  <c r="H385" i="49"/>
  <c r="H739" i="49"/>
  <c r="H526" i="49"/>
  <c r="H721" i="49"/>
  <c r="H405" i="49"/>
  <c r="H787" i="49"/>
  <c r="H486" i="49"/>
  <c r="H467" i="49"/>
  <c r="H760" i="49"/>
  <c r="H720" i="49"/>
  <c r="H585" i="49"/>
  <c r="H350" i="49"/>
  <c r="H505" i="49"/>
  <c r="H620" i="49"/>
  <c r="H432" i="49"/>
  <c r="H367" i="49"/>
  <c r="H602" i="49"/>
  <c r="H553" i="49"/>
  <c r="H903" i="49"/>
  <c r="H640" i="49"/>
  <c r="F486" i="49"/>
  <c r="F505" i="49"/>
  <c r="F526" i="49"/>
  <c r="F553" i="49"/>
  <c r="F720" i="49"/>
  <c r="F739" i="49"/>
  <c r="F760" i="49"/>
  <c r="F787" i="49"/>
  <c r="F1024" i="49"/>
  <c r="F350" i="49"/>
  <c r="F367" i="49"/>
  <c r="F385" i="49"/>
  <c r="F405" i="49"/>
  <c r="F432" i="49"/>
  <c r="F585" i="49"/>
  <c r="F602" i="49"/>
  <c r="F620" i="49"/>
  <c r="F640" i="49"/>
  <c r="F667" i="49"/>
  <c r="F876" i="49"/>
  <c r="F903" i="49"/>
  <c r="F701" i="49"/>
  <c r="F467" i="49"/>
  <c r="A40" i="38"/>
  <c r="B39" i="38"/>
  <c r="A35" i="37"/>
  <c r="B34" i="37"/>
  <c r="T29" i="36"/>
  <c r="U29" i="36" s="1"/>
  <c r="P29" i="36"/>
  <c r="Q29" i="36" s="1"/>
  <c r="A30" i="36"/>
  <c r="B29" i="36"/>
  <c r="T24" i="35"/>
  <c r="U24" i="35" s="1"/>
  <c r="P24" i="35"/>
  <c r="Q24" i="35" s="1"/>
  <c r="L24" i="35"/>
  <c r="M24" i="35" s="1"/>
  <c r="A25" i="35"/>
  <c r="B24" i="35"/>
  <c r="T20" i="34"/>
  <c r="U20" i="34" s="1"/>
  <c r="P20" i="34"/>
  <c r="Q20" i="34" s="1"/>
  <c r="L20" i="34"/>
  <c r="M20" i="34" s="1"/>
  <c r="H20" i="34"/>
  <c r="I20" i="34" s="1"/>
  <c r="D20" i="34"/>
  <c r="E20" i="34" s="1"/>
  <c r="A21" i="34"/>
  <c r="B20" i="34"/>
  <c r="T17" i="33"/>
  <c r="U17" i="33" s="1"/>
  <c r="P17" i="33"/>
  <c r="Q17" i="33" s="1"/>
  <c r="L17" i="33"/>
  <c r="M17" i="33" s="1"/>
  <c r="H17" i="33"/>
  <c r="I17" i="33" s="1"/>
  <c r="D17" i="33"/>
  <c r="E17" i="33" s="1"/>
  <c r="A18" i="33"/>
  <c r="B17" i="33"/>
  <c r="T12" i="32"/>
  <c r="U12" i="32" s="1"/>
  <c r="P12" i="32"/>
  <c r="Q12" i="32" s="1"/>
  <c r="L12" i="32"/>
  <c r="M12" i="32" s="1"/>
  <c r="H12" i="32"/>
  <c r="I12" i="32" s="1"/>
  <c r="D12" i="32"/>
  <c r="E12" i="32" s="1"/>
  <c r="A13" i="32"/>
  <c r="B12" i="32"/>
  <c r="I667" i="49"/>
  <c r="F17" i="33"/>
  <c r="V19" i="34"/>
  <c r="N11" i="32"/>
  <c r="F11" i="32"/>
  <c r="I553" i="49"/>
  <c r="V28" i="36"/>
  <c r="I903" i="49"/>
  <c r="R11" i="32"/>
  <c r="F16" i="33"/>
  <c r="J11" i="32"/>
  <c r="I432" i="49"/>
  <c r="R16" i="33"/>
  <c r="I467" i="49"/>
  <c r="R19" i="34"/>
  <c r="I505" i="49"/>
  <c r="V16" i="33"/>
  <c r="I385" i="49"/>
  <c r="I720" i="49"/>
  <c r="F20" i="34"/>
  <c r="I602" i="49"/>
  <c r="I620" i="49"/>
  <c r="I760" i="49"/>
  <c r="F19" i="34"/>
  <c r="N23" i="35"/>
  <c r="I405" i="49"/>
  <c r="I739" i="49"/>
  <c r="I787" i="49"/>
  <c r="I367" i="49"/>
  <c r="I585" i="49"/>
  <c r="F18" i="33"/>
  <c r="R28" i="36"/>
  <c r="I526" i="49"/>
  <c r="N19" i="34"/>
  <c r="V23" i="35"/>
  <c r="I1024" i="49"/>
  <c r="I701" i="49"/>
  <c r="R23" i="35"/>
  <c r="J19" i="34"/>
  <c r="I640" i="49"/>
  <c r="N16" i="33"/>
  <c r="J16" i="33"/>
  <c r="I876" i="49"/>
  <c r="I486" i="49"/>
  <c r="I350" i="49"/>
  <c r="V11" i="32"/>
  <c r="H469" i="49" l="1"/>
  <c r="H641" i="49"/>
  <c r="H433" i="49"/>
  <c r="H554" i="49"/>
  <c r="H351" i="49"/>
  <c r="H877" i="49"/>
  <c r="H527" i="49"/>
  <c r="H668" i="49"/>
  <c r="H761" i="49"/>
  <c r="H586" i="49"/>
  <c r="H603" i="49"/>
  <c r="H487" i="49"/>
  <c r="H468" i="49"/>
  <c r="H621" i="49"/>
  <c r="H740" i="49"/>
  <c r="H386" i="49"/>
  <c r="H406" i="49"/>
  <c r="H368" i="49"/>
  <c r="H587" i="49"/>
  <c r="H788" i="49"/>
  <c r="H506" i="49"/>
  <c r="H904" i="49"/>
  <c r="H470" i="49"/>
  <c r="F487" i="49"/>
  <c r="F506" i="49"/>
  <c r="F527" i="49"/>
  <c r="F554" i="49"/>
  <c r="F740" i="49"/>
  <c r="F761" i="49"/>
  <c r="F788" i="49"/>
  <c r="F351" i="49"/>
  <c r="F368" i="49"/>
  <c r="F386" i="49"/>
  <c r="F406" i="49"/>
  <c r="F433" i="49"/>
  <c r="F586" i="49"/>
  <c r="F603" i="49"/>
  <c r="F621" i="49"/>
  <c r="F641" i="49"/>
  <c r="F668" i="49"/>
  <c r="F877" i="49"/>
  <c r="F904" i="49"/>
  <c r="F721" i="49"/>
  <c r="F469" i="49"/>
  <c r="F468" i="49"/>
  <c r="F470" i="49"/>
  <c r="B40" i="38"/>
  <c r="A36" i="37"/>
  <c r="B35" i="37"/>
  <c r="T30" i="36"/>
  <c r="U30" i="36" s="1"/>
  <c r="P30" i="36"/>
  <c r="Q30" i="36" s="1"/>
  <c r="A31" i="36"/>
  <c r="B30" i="36"/>
  <c r="T25" i="35"/>
  <c r="U25" i="35" s="1"/>
  <c r="P25" i="35"/>
  <c r="Q25" i="35" s="1"/>
  <c r="L25" i="35"/>
  <c r="M25" i="35" s="1"/>
  <c r="A26" i="35"/>
  <c r="B25" i="35"/>
  <c r="T21" i="34"/>
  <c r="U21" i="34" s="1"/>
  <c r="P21" i="34"/>
  <c r="Q21" i="34" s="1"/>
  <c r="L21" i="34"/>
  <c r="M21" i="34" s="1"/>
  <c r="H21" i="34"/>
  <c r="I21" i="34" s="1"/>
  <c r="A22" i="34"/>
  <c r="B21" i="34"/>
  <c r="T18" i="33"/>
  <c r="U18" i="33" s="1"/>
  <c r="P18" i="33"/>
  <c r="Q18" i="33" s="1"/>
  <c r="L18" i="33"/>
  <c r="M18" i="33" s="1"/>
  <c r="H18" i="33"/>
  <c r="I18" i="33" s="1"/>
  <c r="A19" i="33"/>
  <c r="B18" i="33"/>
  <c r="T13" i="32"/>
  <c r="U13" i="32" s="1"/>
  <c r="P13" i="32"/>
  <c r="Q13" i="32" s="1"/>
  <c r="L13" i="32"/>
  <c r="M13" i="32" s="1"/>
  <c r="H13" i="32"/>
  <c r="I13" i="32" s="1"/>
  <c r="D13" i="32"/>
  <c r="E13" i="32" s="1"/>
  <c r="A14" i="32"/>
  <c r="B13" i="32"/>
  <c r="V20" i="34"/>
  <c r="I527" i="49"/>
  <c r="R12" i="32"/>
  <c r="J20" i="34"/>
  <c r="I506" i="49"/>
  <c r="V12" i="32"/>
  <c r="N25" i="35"/>
  <c r="I603" i="49"/>
  <c r="V24" i="35"/>
  <c r="J12" i="32"/>
  <c r="I554" i="49"/>
  <c r="I368" i="49"/>
  <c r="I668" i="49"/>
  <c r="I469" i="49"/>
  <c r="N17" i="33"/>
  <c r="I641" i="49"/>
  <c r="F12" i="32"/>
  <c r="I386" i="49"/>
  <c r="N20" i="34"/>
  <c r="I877" i="49"/>
  <c r="I487" i="49"/>
  <c r="I761" i="49"/>
  <c r="I586" i="49"/>
  <c r="I433" i="49"/>
  <c r="V17" i="33"/>
  <c r="I621" i="49"/>
  <c r="N12" i="32"/>
  <c r="V29" i="36"/>
  <c r="R20" i="34"/>
  <c r="I406" i="49"/>
  <c r="I468" i="49"/>
  <c r="I904" i="49"/>
  <c r="R24" i="35"/>
  <c r="I740" i="49"/>
  <c r="N24" i="35"/>
  <c r="I351" i="49"/>
  <c r="R17" i="33"/>
  <c r="I470" i="49"/>
  <c r="R29" i="36"/>
  <c r="J17" i="33"/>
  <c r="I788" i="49"/>
  <c r="I721" i="49"/>
  <c r="H434" i="49" l="1"/>
  <c r="H528" i="49"/>
  <c r="H507" i="49"/>
  <c r="H407" i="49"/>
  <c r="H669" i="49"/>
  <c r="H905" i="49"/>
  <c r="H555" i="49"/>
  <c r="H622" i="49"/>
  <c r="H762" i="49"/>
  <c r="H352" i="49"/>
  <c r="H604" i="49"/>
  <c r="H488" i="49"/>
  <c r="H741" i="49"/>
  <c r="H789" i="49"/>
  <c r="H642" i="49"/>
  <c r="H369" i="49"/>
  <c r="H878" i="49"/>
  <c r="H742" i="49"/>
  <c r="H387" i="49"/>
  <c r="F488" i="49"/>
  <c r="F507" i="49"/>
  <c r="F528" i="49"/>
  <c r="F555" i="49"/>
  <c r="F741" i="49"/>
  <c r="F762" i="49"/>
  <c r="F789" i="49"/>
  <c r="F587" i="49"/>
  <c r="F352" i="49"/>
  <c r="F369" i="49"/>
  <c r="F387" i="49"/>
  <c r="F407" i="49"/>
  <c r="F434" i="49"/>
  <c r="F604" i="49"/>
  <c r="F622" i="49"/>
  <c r="F642" i="49"/>
  <c r="F669" i="49"/>
  <c r="F878" i="49"/>
  <c r="F905" i="49"/>
  <c r="A37" i="37"/>
  <c r="B36" i="37"/>
  <c r="T31" i="36"/>
  <c r="U31" i="36" s="1"/>
  <c r="P31" i="36"/>
  <c r="Q31" i="36" s="1"/>
  <c r="A32" i="36"/>
  <c r="B31" i="36"/>
  <c r="T26" i="35"/>
  <c r="U26" i="35" s="1"/>
  <c r="P26" i="35"/>
  <c r="Q26" i="35" s="1"/>
  <c r="A27" i="35"/>
  <c r="B26" i="35"/>
  <c r="T22" i="34"/>
  <c r="U22" i="34" s="1"/>
  <c r="P22" i="34"/>
  <c r="Q22" i="34" s="1"/>
  <c r="L22" i="34"/>
  <c r="M22" i="34" s="1"/>
  <c r="H22" i="34"/>
  <c r="I22" i="34" s="1"/>
  <c r="A23" i="34"/>
  <c r="B22" i="34"/>
  <c r="T19" i="33"/>
  <c r="U19" i="33" s="1"/>
  <c r="P19" i="33"/>
  <c r="Q19" i="33" s="1"/>
  <c r="L19" i="33"/>
  <c r="M19" i="33" s="1"/>
  <c r="H19" i="33"/>
  <c r="I19" i="33" s="1"/>
  <c r="A20" i="33"/>
  <c r="B19" i="33"/>
  <c r="T14" i="32"/>
  <c r="U14" i="32" s="1"/>
  <c r="P14" i="32"/>
  <c r="Q14" i="32" s="1"/>
  <c r="L14" i="32"/>
  <c r="M14" i="32" s="1"/>
  <c r="H14" i="32"/>
  <c r="I14" i="32" s="1"/>
  <c r="D14" i="32"/>
  <c r="E14" i="32" s="1"/>
  <c r="A15" i="32"/>
  <c r="B14" i="32"/>
  <c r="I669" i="49"/>
  <c r="R13" i="32"/>
  <c r="I352" i="49"/>
  <c r="R21" i="34"/>
  <c r="I604" i="49"/>
  <c r="V18" i="33"/>
  <c r="V30" i="36"/>
  <c r="J13" i="32"/>
  <c r="J18" i="33"/>
  <c r="I369" i="49"/>
  <c r="N13" i="32"/>
  <c r="R25" i="35"/>
  <c r="I434" i="49"/>
  <c r="I789" i="49"/>
  <c r="I528" i="49"/>
  <c r="V13" i="32"/>
  <c r="I507" i="49"/>
  <c r="V21" i="34"/>
  <c r="I488" i="49"/>
  <c r="I741" i="49"/>
  <c r="I905" i="49"/>
  <c r="I762" i="49"/>
  <c r="I555" i="49"/>
  <c r="N18" i="33"/>
  <c r="I387" i="49"/>
  <c r="F13" i="32"/>
  <c r="I587" i="49"/>
  <c r="N21" i="34"/>
  <c r="R30" i="36"/>
  <c r="I878" i="49"/>
  <c r="I642" i="49"/>
  <c r="J22" i="34"/>
  <c r="I622" i="49"/>
  <c r="V25" i="35"/>
  <c r="J21" i="34"/>
  <c r="R18" i="33"/>
  <c r="I407" i="49"/>
  <c r="H790" i="49" l="1"/>
  <c r="H906" i="49"/>
  <c r="H529" i="49"/>
  <c r="H670" i="49"/>
  <c r="H388" i="49"/>
  <c r="H353" i="49"/>
  <c r="H489" i="49"/>
  <c r="H605" i="49"/>
  <c r="H508" i="49"/>
  <c r="H435" i="49"/>
  <c r="H408" i="49"/>
  <c r="H370" i="49"/>
  <c r="H556" i="49"/>
  <c r="H606" i="49"/>
  <c r="H879" i="49"/>
  <c r="H763" i="49"/>
  <c r="H623" i="49"/>
  <c r="H643" i="49"/>
  <c r="F489" i="49"/>
  <c r="F508" i="49"/>
  <c r="F529" i="49"/>
  <c r="F556" i="49"/>
  <c r="F763" i="49"/>
  <c r="F790" i="49"/>
  <c r="F353" i="49"/>
  <c r="F370" i="49"/>
  <c r="F388" i="49"/>
  <c r="F408" i="49"/>
  <c r="F435" i="49"/>
  <c r="F605" i="49"/>
  <c r="F623" i="49"/>
  <c r="F643" i="49"/>
  <c r="F670" i="49"/>
  <c r="F879" i="49"/>
  <c r="F906" i="49"/>
  <c r="F742" i="49"/>
  <c r="A38" i="37"/>
  <c r="B37" i="37"/>
  <c r="T32" i="36"/>
  <c r="U32" i="36" s="1"/>
  <c r="P32" i="36"/>
  <c r="Q32" i="36" s="1"/>
  <c r="A33" i="36"/>
  <c r="B32" i="36"/>
  <c r="T27" i="35"/>
  <c r="U27" i="35" s="1"/>
  <c r="P27" i="35"/>
  <c r="Q27" i="35" s="1"/>
  <c r="A28" i="35"/>
  <c r="B27" i="35"/>
  <c r="T23" i="34"/>
  <c r="U23" i="34" s="1"/>
  <c r="P23" i="34"/>
  <c r="Q23" i="34" s="1"/>
  <c r="L23" i="34"/>
  <c r="M23" i="34" s="1"/>
  <c r="A24" i="34"/>
  <c r="B23" i="34"/>
  <c r="T20" i="33"/>
  <c r="U20" i="33" s="1"/>
  <c r="P20" i="33"/>
  <c r="Q20" i="33" s="1"/>
  <c r="L20" i="33"/>
  <c r="M20" i="33" s="1"/>
  <c r="H20" i="33"/>
  <c r="I20" i="33" s="1"/>
  <c r="A21" i="33"/>
  <c r="B20" i="33"/>
  <c r="T15" i="32"/>
  <c r="U15" i="32" s="1"/>
  <c r="P15" i="32"/>
  <c r="Q15" i="32" s="1"/>
  <c r="L15" i="32"/>
  <c r="M15" i="32" s="1"/>
  <c r="H15" i="32"/>
  <c r="I15" i="32" s="1"/>
  <c r="D15" i="32"/>
  <c r="E15" i="32" s="1"/>
  <c r="A16" i="32"/>
  <c r="B15" i="32"/>
  <c r="I623" i="49"/>
  <c r="N22" i="34"/>
  <c r="V22" i="34"/>
  <c r="R22" i="34"/>
  <c r="I790" i="49"/>
  <c r="I879" i="49"/>
  <c r="I435" i="49"/>
  <c r="V26" i="35"/>
  <c r="I408" i="49"/>
  <c r="I670" i="49"/>
  <c r="N19" i="33"/>
  <c r="R26" i="35"/>
  <c r="I353" i="49"/>
  <c r="R32" i="36"/>
  <c r="I489" i="49"/>
  <c r="R19" i="33"/>
  <c r="V31" i="36"/>
  <c r="V19" i="33"/>
  <c r="I508" i="49"/>
  <c r="R14" i="32"/>
  <c r="I643" i="49"/>
  <c r="I370" i="49"/>
  <c r="J14" i="32"/>
  <c r="I906" i="49"/>
  <c r="J19" i="33"/>
  <c r="I529" i="49"/>
  <c r="I605" i="49"/>
  <c r="N14" i="32"/>
  <c r="G23" i="31"/>
  <c r="I388" i="49"/>
  <c r="I763" i="49"/>
  <c r="F14" i="32"/>
  <c r="I742" i="49"/>
  <c r="R31" i="36"/>
  <c r="V14" i="32"/>
  <c r="I556" i="49"/>
  <c r="H880" i="49" l="1"/>
  <c r="H354" i="49"/>
  <c r="H907" i="49"/>
  <c r="H644" i="49"/>
  <c r="H490" i="49"/>
  <c r="H509" i="49"/>
  <c r="H791" i="49"/>
  <c r="H881" i="49"/>
  <c r="H671" i="49"/>
  <c r="H371" i="49"/>
  <c r="H409" i="49"/>
  <c r="H389" i="49"/>
  <c r="H624" i="49"/>
  <c r="H557" i="49"/>
  <c r="H530" i="49"/>
  <c r="H436" i="49"/>
  <c r="H764" i="49"/>
  <c r="F490" i="49"/>
  <c r="F509" i="49"/>
  <c r="F530" i="49"/>
  <c r="F557" i="49"/>
  <c r="F764" i="49"/>
  <c r="F791" i="49"/>
  <c r="F606" i="49"/>
  <c r="F354" i="49"/>
  <c r="F371" i="49"/>
  <c r="F389" i="49"/>
  <c r="F409" i="49"/>
  <c r="F436" i="49"/>
  <c r="F624" i="49"/>
  <c r="F644" i="49"/>
  <c r="F671" i="49"/>
  <c r="F880" i="49"/>
  <c r="F907" i="49"/>
  <c r="A39" i="37"/>
  <c r="B38" i="37"/>
  <c r="T33" i="36"/>
  <c r="U33" i="36" s="1"/>
  <c r="A34" i="36"/>
  <c r="B33" i="36"/>
  <c r="T28" i="35"/>
  <c r="U28" i="35" s="1"/>
  <c r="P28" i="35"/>
  <c r="Q28" i="35" s="1"/>
  <c r="A29" i="35"/>
  <c r="B28" i="35"/>
  <c r="T24" i="34"/>
  <c r="U24" i="34" s="1"/>
  <c r="P24" i="34"/>
  <c r="Q24" i="34" s="1"/>
  <c r="L24" i="34"/>
  <c r="M24" i="34" s="1"/>
  <c r="A25" i="34"/>
  <c r="B24" i="34"/>
  <c r="T21" i="33"/>
  <c r="U21" i="33" s="1"/>
  <c r="P21" i="33"/>
  <c r="Q21" i="33" s="1"/>
  <c r="L21" i="33"/>
  <c r="M21" i="33" s="1"/>
  <c r="H21" i="33"/>
  <c r="I21" i="33" s="1"/>
  <c r="A22" i="33"/>
  <c r="B21" i="33"/>
  <c r="T16" i="32"/>
  <c r="U16" i="32" s="1"/>
  <c r="P16" i="32"/>
  <c r="Q16" i="32" s="1"/>
  <c r="L16" i="32"/>
  <c r="M16" i="32" s="1"/>
  <c r="H16" i="32"/>
  <c r="I16" i="32" s="1"/>
  <c r="D16" i="32"/>
  <c r="E16" i="32" s="1"/>
  <c r="A17" i="32"/>
  <c r="B16" i="32"/>
  <c r="H23" i="31"/>
  <c r="I23" i="31" s="1"/>
  <c r="G11" i="31"/>
  <c r="I436" i="49"/>
  <c r="C15" i="31"/>
  <c r="V23" i="34"/>
  <c r="G9" i="31"/>
  <c r="G10" i="31"/>
  <c r="I764" i="49"/>
  <c r="C20" i="31"/>
  <c r="G16" i="31"/>
  <c r="I671" i="49"/>
  <c r="J15" i="32"/>
  <c r="G7" i="31"/>
  <c r="G4" i="31"/>
  <c r="I409" i="49"/>
  <c r="C21" i="31"/>
  <c r="V15" i="32"/>
  <c r="C8" i="31"/>
  <c r="I624" i="49"/>
  <c r="C16" i="31"/>
  <c r="C12" i="31"/>
  <c r="G14" i="31"/>
  <c r="N20" i="33"/>
  <c r="R15" i="32"/>
  <c r="G8" i="31"/>
  <c r="C10" i="31"/>
  <c r="C14" i="31"/>
  <c r="I371" i="49"/>
  <c r="G22" i="31"/>
  <c r="G17" i="31"/>
  <c r="C5" i="31"/>
  <c r="I880" i="49"/>
  <c r="I644" i="49"/>
  <c r="C19" i="31"/>
  <c r="R27" i="35"/>
  <c r="G5" i="31"/>
  <c r="V33" i="36"/>
  <c r="I907" i="49"/>
  <c r="C6" i="31"/>
  <c r="G12" i="31"/>
  <c r="I354" i="49"/>
  <c r="G15" i="31"/>
  <c r="C11" i="31"/>
  <c r="I791" i="49"/>
  <c r="V20" i="33"/>
  <c r="I509" i="49"/>
  <c r="R23" i="34"/>
  <c r="J20" i="33"/>
  <c r="G18" i="31"/>
  <c r="R20" i="33"/>
  <c r="I557" i="49"/>
  <c r="V27" i="35"/>
  <c r="G19" i="31"/>
  <c r="I490" i="49"/>
  <c r="F15" i="32"/>
  <c r="C13" i="31"/>
  <c r="I606" i="49"/>
  <c r="G13" i="31"/>
  <c r="V32" i="36"/>
  <c r="C9" i="31"/>
  <c r="C18" i="31"/>
  <c r="G21" i="31"/>
  <c r="C7" i="31"/>
  <c r="G20" i="31"/>
  <c r="C17" i="31"/>
  <c r="G6" i="31"/>
  <c r="I530" i="49"/>
  <c r="N23" i="34"/>
  <c r="C22" i="31"/>
  <c r="N15" i="32"/>
  <c r="I389" i="49"/>
  <c r="H672" i="49" l="1"/>
  <c r="H355" i="49"/>
  <c r="H531" i="49"/>
  <c r="H410" i="49"/>
  <c r="H909" i="49"/>
  <c r="H558" i="49"/>
  <c r="H437" i="49"/>
  <c r="H510" i="49"/>
  <c r="H765" i="49"/>
  <c r="H390" i="49"/>
  <c r="H491" i="49"/>
  <c r="H645" i="49"/>
  <c r="H625" i="49"/>
  <c r="H372" i="49"/>
  <c r="H908" i="49"/>
  <c r="H792" i="49"/>
  <c r="F491" i="49"/>
  <c r="F510" i="49"/>
  <c r="F531" i="49"/>
  <c r="F558" i="49"/>
  <c r="F765" i="49"/>
  <c r="F792" i="49"/>
  <c r="F881" i="49"/>
  <c r="F355" i="49"/>
  <c r="F372" i="49"/>
  <c r="F390" i="49"/>
  <c r="F410" i="49"/>
  <c r="F437" i="49"/>
  <c r="F625" i="49"/>
  <c r="F645" i="49"/>
  <c r="F672" i="49"/>
  <c r="F908" i="49"/>
  <c r="A40" i="37"/>
  <c r="B39" i="37"/>
  <c r="A35" i="36"/>
  <c r="B34" i="36"/>
  <c r="T29" i="35"/>
  <c r="U29" i="35" s="1"/>
  <c r="P29" i="35"/>
  <c r="Q29" i="35" s="1"/>
  <c r="A30" i="35"/>
  <c r="B29" i="35"/>
  <c r="T25" i="34"/>
  <c r="U25" i="34" s="1"/>
  <c r="P25" i="34"/>
  <c r="Q25" i="34" s="1"/>
  <c r="L25" i="34"/>
  <c r="M25" i="34" s="1"/>
  <c r="A26" i="34"/>
  <c r="B25" i="34"/>
  <c r="T22" i="33"/>
  <c r="U22" i="33" s="1"/>
  <c r="P22" i="33"/>
  <c r="Q22" i="33" s="1"/>
  <c r="L22" i="33"/>
  <c r="M22" i="33" s="1"/>
  <c r="H22" i="33"/>
  <c r="I22" i="33" s="1"/>
  <c r="A23" i="33"/>
  <c r="B22" i="33"/>
  <c r="T17" i="32"/>
  <c r="U17" i="32" s="1"/>
  <c r="P17" i="32"/>
  <c r="Q17" i="32" s="1"/>
  <c r="L17" i="32"/>
  <c r="M17" i="32" s="1"/>
  <c r="H17" i="32"/>
  <c r="I17" i="32" s="1"/>
  <c r="D17" i="32"/>
  <c r="E17" i="32" s="1"/>
  <c r="A18" i="32"/>
  <c r="B17" i="32"/>
  <c r="H22" i="31"/>
  <c r="I22" i="31" s="1"/>
  <c r="A5" i="31"/>
  <c r="N21" i="33"/>
  <c r="I491" i="49"/>
  <c r="I881" i="49"/>
  <c r="I645" i="49"/>
  <c r="N25" i="34"/>
  <c r="I437" i="49"/>
  <c r="J16" i="32"/>
  <c r="R24" i="34"/>
  <c r="J21" i="33"/>
  <c r="J23" i="31"/>
  <c r="I908" i="49"/>
  <c r="C4" i="31"/>
  <c r="R21" i="33"/>
  <c r="I672" i="49"/>
  <c r="F18" i="32"/>
  <c r="N16" i="32"/>
  <c r="F16" i="32"/>
  <c r="J23" i="33"/>
  <c r="V21" i="33"/>
  <c r="I765" i="49"/>
  <c r="V24" i="34"/>
  <c r="R28" i="35"/>
  <c r="I792" i="49"/>
  <c r="I510" i="49"/>
  <c r="I355" i="49"/>
  <c r="J22" i="33"/>
  <c r="I531" i="49"/>
  <c r="N24" i="34"/>
  <c r="I410" i="49"/>
  <c r="I372" i="49"/>
  <c r="I558" i="49"/>
  <c r="I625" i="49"/>
  <c r="V28" i="35"/>
  <c r="R16" i="32"/>
  <c r="F17" i="32"/>
  <c r="V16" i="32"/>
  <c r="I390" i="49"/>
  <c r="H492" i="49" l="1"/>
  <c r="H357" i="49"/>
  <c r="H559" i="49"/>
  <c r="H356" i="49"/>
  <c r="H373" i="49"/>
  <c r="H411" i="49"/>
  <c r="H267" i="49"/>
  <c r="H391" i="49"/>
  <c r="H358" i="49"/>
  <c r="H627" i="49"/>
  <c r="H438" i="49"/>
  <c r="H673" i="49"/>
  <c r="H793" i="49"/>
  <c r="H532" i="49"/>
  <c r="H494" i="49"/>
  <c r="H626" i="49"/>
  <c r="H766" i="49"/>
  <c r="H646" i="49"/>
  <c r="H511" i="49"/>
  <c r="H493" i="49"/>
  <c r="F493" i="49"/>
  <c r="F492" i="49"/>
  <c r="F511" i="49"/>
  <c r="F532" i="49"/>
  <c r="F559" i="49"/>
  <c r="F766" i="49"/>
  <c r="F793" i="49"/>
  <c r="F356" i="49"/>
  <c r="F373" i="49"/>
  <c r="F391" i="49"/>
  <c r="F411" i="49"/>
  <c r="F438" i="49"/>
  <c r="F626" i="49"/>
  <c r="F646" i="49"/>
  <c r="F673" i="49"/>
  <c r="F358" i="49"/>
  <c r="F909" i="49"/>
  <c r="F494" i="49"/>
  <c r="F267" i="49"/>
  <c r="B40" i="37"/>
  <c r="A36" i="36"/>
  <c r="B35" i="36"/>
  <c r="T30" i="35"/>
  <c r="U30" i="35" s="1"/>
  <c r="P30" i="35"/>
  <c r="Q30" i="35" s="1"/>
  <c r="A31" i="35"/>
  <c r="B30" i="35"/>
  <c r="T26" i="34"/>
  <c r="U26" i="34" s="1"/>
  <c r="P26" i="34"/>
  <c r="Q26" i="34" s="1"/>
  <c r="A27" i="34"/>
  <c r="B26" i="34"/>
  <c r="T23" i="33"/>
  <c r="U23" i="33" s="1"/>
  <c r="P23" i="33"/>
  <c r="Q23" i="33" s="1"/>
  <c r="L23" i="33"/>
  <c r="M23" i="33" s="1"/>
  <c r="A24" i="33"/>
  <c r="B23" i="33"/>
  <c r="T18" i="32"/>
  <c r="U18" i="32" s="1"/>
  <c r="P18" i="32"/>
  <c r="Q18" i="32" s="1"/>
  <c r="L18" i="32"/>
  <c r="M18" i="32" s="1"/>
  <c r="H18" i="32"/>
  <c r="I18" i="32" s="1"/>
  <c r="A19" i="32"/>
  <c r="B18" i="32"/>
  <c r="P5" i="31"/>
  <c r="Q5" i="31" s="1"/>
  <c r="L5" i="31"/>
  <c r="M5" i="31" s="1"/>
  <c r="H5" i="31"/>
  <c r="I5" i="31" s="1"/>
  <c r="D5" i="31"/>
  <c r="E5" i="31" s="1"/>
  <c r="A6" i="31"/>
  <c r="B5" i="31"/>
  <c r="R22" i="33"/>
  <c r="V25" i="34"/>
  <c r="I511" i="49"/>
  <c r="I492" i="49"/>
  <c r="N5" i="31"/>
  <c r="I673" i="49"/>
  <c r="I909" i="49"/>
  <c r="R17" i="32"/>
  <c r="I532" i="49"/>
  <c r="R25" i="34"/>
  <c r="V22" i="33"/>
  <c r="N17" i="32"/>
  <c r="V29" i="35"/>
  <c r="I391" i="49"/>
  <c r="I358" i="49"/>
  <c r="R5" i="31"/>
  <c r="I267" i="49"/>
  <c r="I494" i="49"/>
  <c r="I493" i="49"/>
  <c r="N22" i="33"/>
  <c r="I411" i="49"/>
  <c r="I373" i="49"/>
  <c r="I766" i="49"/>
  <c r="I626" i="49"/>
  <c r="R29" i="35"/>
  <c r="V17" i="32"/>
  <c r="I646" i="49"/>
  <c r="J17" i="32"/>
  <c r="I793" i="49"/>
  <c r="I438" i="49"/>
  <c r="I559" i="49"/>
  <c r="I356" i="49"/>
  <c r="H533" i="49" l="1"/>
  <c r="H289" i="49"/>
  <c r="H374" i="49"/>
  <c r="H392" i="49"/>
  <c r="H794" i="49"/>
  <c r="H560" i="49"/>
  <c r="H674" i="49"/>
  <c r="H512" i="49"/>
  <c r="H647" i="49"/>
  <c r="H268" i="49"/>
  <c r="H412" i="49"/>
  <c r="H439" i="49"/>
  <c r="H767" i="49"/>
  <c r="F512" i="49"/>
  <c r="F533" i="49"/>
  <c r="F560" i="49"/>
  <c r="F767" i="49"/>
  <c r="F794" i="49"/>
  <c r="F357" i="49"/>
  <c r="F627" i="49"/>
  <c r="F374" i="49"/>
  <c r="F392" i="49"/>
  <c r="F412" i="49"/>
  <c r="F439" i="49"/>
  <c r="F647" i="49"/>
  <c r="F674" i="49"/>
  <c r="A37" i="36"/>
  <c r="B36" i="36"/>
  <c r="T31" i="35"/>
  <c r="U31" i="35" s="1"/>
  <c r="P31" i="35"/>
  <c r="Q31" i="35" s="1"/>
  <c r="A32" i="35"/>
  <c r="B31" i="35"/>
  <c r="T27" i="34"/>
  <c r="U27" i="34" s="1"/>
  <c r="P27" i="34"/>
  <c r="Q27" i="34" s="1"/>
  <c r="A28" i="34"/>
  <c r="B27" i="34"/>
  <c r="T24" i="33"/>
  <c r="U24" i="33" s="1"/>
  <c r="P24" i="33"/>
  <c r="Q24" i="33" s="1"/>
  <c r="L24" i="33"/>
  <c r="M24" i="33" s="1"/>
  <c r="A25" i="33"/>
  <c r="B24" i="33"/>
  <c r="T19" i="32"/>
  <c r="U19" i="32" s="1"/>
  <c r="P19" i="32"/>
  <c r="Q19" i="32" s="1"/>
  <c r="L19" i="32"/>
  <c r="M19" i="32" s="1"/>
  <c r="H19" i="32"/>
  <c r="I19" i="32" s="1"/>
  <c r="A20" i="32"/>
  <c r="B19" i="32"/>
  <c r="T6" i="31"/>
  <c r="U6" i="31" s="1"/>
  <c r="P6" i="31"/>
  <c r="Q6" i="31" s="1"/>
  <c r="L6" i="31"/>
  <c r="M6" i="31" s="1"/>
  <c r="H6" i="31"/>
  <c r="I6" i="31" s="1"/>
  <c r="D6" i="31"/>
  <c r="E6" i="31" s="1"/>
  <c r="A7" i="31"/>
  <c r="B6" i="31"/>
  <c r="V30" i="35"/>
  <c r="I392" i="49"/>
  <c r="I560" i="49"/>
  <c r="N23" i="33"/>
  <c r="I647" i="49"/>
  <c r="R18" i="32"/>
  <c r="I439" i="49"/>
  <c r="R31" i="35"/>
  <c r="R26" i="34"/>
  <c r="I627" i="49"/>
  <c r="J18" i="32"/>
  <c r="V23" i="33"/>
  <c r="I794" i="49"/>
  <c r="I374" i="49"/>
  <c r="R23" i="33"/>
  <c r="N18" i="32"/>
  <c r="V26" i="34"/>
  <c r="I674" i="49"/>
  <c r="I767" i="49"/>
  <c r="I412" i="49"/>
  <c r="V18" i="32"/>
  <c r="I357" i="49"/>
  <c r="I512" i="49"/>
  <c r="R30" i="35"/>
  <c r="I533" i="49"/>
  <c r="H561" i="49" l="1"/>
  <c r="H375" i="49"/>
  <c r="H769" i="49"/>
  <c r="H768" i="49"/>
  <c r="H513" i="49"/>
  <c r="H393" i="49"/>
  <c r="H675" i="49"/>
  <c r="H648" i="49"/>
  <c r="H413" i="49"/>
  <c r="H795" i="49"/>
  <c r="H440" i="49"/>
  <c r="H534" i="49"/>
  <c r="F513" i="49"/>
  <c r="F534" i="49"/>
  <c r="F561" i="49"/>
  <c r="F768" i="49"/>
  <c r="F795" i="49"/>
  <c r="F375" i="49"/>
  <c r="F393" i="49"/>
  <c r="F413" i="49"/>
  <c r="F440" i="49"/>
  <c r="F648" i="49"/>
  <c r="F675" i="49"/>
  <c r="A38" i="36"/>
  <c r="B37" i="36"/>
  <c r="T32" i="35"/>
  <c r="U32" i="35" s="1"/>
  <c r="A33" i="35"/>
  <c r="B32" i="35"/>
  <c r="T28" i="34"/>
  <c r="U28" i="34" s="1"/>
  <c r="P28" i="34"/>
  <c r="Q28" i="34" s="1"/>
  <c r="A29" i="34"/>
  <c r="B28" i="34"/>
  <c r="T25" i="33"/>
  <c r="U25" i="33" s="1"/>
  <c r="P25" i="33"/>
  <c r="Q25" i="33" s="1"/>
  <c r="L25" i="33"/>
  <c r="M25" i="33" s="1"/>
  <c r="A26" i="33"/>
  <c r="B25" i="33"/>
  <c r="T20" i="32"/>
  <c r="U20" i="32" s="1"/>
  <c r="P20" i="32"/>
  <c r="Q20" i="32" s="1"/>
  <c r="L20" i="32"/>
  <c r="M20" i="32" s="1"/>
  <c r="H20" i="32"/>
  <c r="I20" i="32" s="1"/>
  <c r="A21" i="32"/>
  <c r="B20" i="32"/>
  <c r="H4" i="31"/>
  <c r="I4" i="31" s="1"/>
  <c r="T7" i="31"/>
  <c r="U7" i="31" s="1"/>
  <c r="P7" i="31"/>
  <c r="Q7" i="31" s="1"/>
  <c r="L7" i="31"/>
  <c r="M7" i="31" s="1"/>
  <c r="H7" i="31"/>
  <c r="I7" i="31" s="1"/>
  <c r="D7" i="31"/>
  <c r="E7" i="31" s="1"/>
  <c r="A8" i="31"/>
  <c r="B7" i="31"/>
  <c r="I440" i="49"/>
  <c r="J5" i="31"/>
  <c r="I795" i="49"/>
  <c r="V24" i="33"/>
  <c r="F6" i="31"/>
  <c r="N25" i="33"/>
  <c r="I561" i="49"/>
  <c r="V19" i="32"/>
  <c r="V27" i="34"/>
  <c r="I675" i="49"/>
  <c r="J19" i="32"/>
  <c r="I393" i="49"/>
  <c r="N6" i="31"/>
  <c r="I413" i="49"/>
  <c r="J6" i="31"/>
  <c r="R19" i="32"/>
  <c r="I513" i="49"/>
  <c r="I768" i="49"/>
  <c r="I648" i="49"/>
  <c r="V32" i="35"/>
  <c r="R6" i="31"/>
  <c r="J4" i="31"/>
  <c r="I375" i="49"/>
  <c r="R24" i="33"/>
  <c r="N24" i="33"/>
  <c r="R27" i="34"/>
  <c r="V31" i="35"/>
  <c r="N19" i="32"/>
  <c r="V6" i="31"/>
  <c r="I534" i="49"/>
  <c r="H248" i="49" l="1"/>
  <c r="H796" i="49"/>
  <c r="H376" i="49"/>
  <c r="H231" i="49"/>
  <c r="H394" i="49"/>
  <c r="H290" i="49"/>
  <c r="H317" i="49"/>
  <c r="H676" i="49"/>
  <c r="H562" i="49"/>
  <c r="H514" i="49"/>
  <c r="H250" i="49"/>
  <c r="H649" i="49"/>
  <c r="H797" i="49"/>
  <c r="H414" i="49"/>
  <c r="H441" i="49"/>
  <c r="H269" i="49"/>
  <c r="H249" i="49"/>
  <c r="H535" i="49"/>
  <c r="H515" i="49"/>
  <c r="F514" i="49"/>
  <c r="F535" i="49"/>
  <c r="F562" i="49"/>
  <c r="F796" i="49"/>
  <c r="F376" i="49"/>
  <c r="F394" i="49"/>
  <c r="F414" i="49"/>
  <c r="F441" i="49"/>
  <c r="F649" i="49"/>
  <c r="F676" i="49"/>
  <c r="F769" i="49"/>
  <c r="A39" i="36"/>
  <c r="B38" i="36"/>
  <c r="A34" i="35"/>
  <c r="B33" i="35"/>
  <c r="T29" i="34"/>
  <c r="U29" i="34" s="1"/>
  <c r="P29" i="34"/>
  <c r="Q29" i="34" s="1"/>
  <c r="A30" i="34"/>
  <c r="B29" i="34"/>
  <c r="T26" i="33"/>
  <c r="U26" i="33" s="1"/>
  <c r="P26" i="33"/>
  <c r="Q26" i="33" s="1"/>
  <c r="A27" i="33"/>
  <c r="B26" i="33"/>
  <c r="T21" i="32"/>
  <c r="U21" i="32" s="1"/>
  <c r="P21" i="32"/>
  <c r="Q21" i="32" s="1"/>
  <c r="L21" i="32"/>
  <c r="M21" i="32" s="1"/>
  <c r="H21" i="32"/>
  <c r="I21" i="32" s="1"/>
  <c r="A22" i="32"/>
  <c r="B21" i="32"/>
  <c r="D4" i="31"/>
  <c r="E4" i="31" s="1"/>
  <c r="T8" i="31"/>
  <c r="U8" i="31" s="1"/>
  <c r="P8" i="31"/>
  <c r="Q8" i="31" s="1"/>
  <c r="L8" i="31"/>
  <c r="M8" i="31" s="1"/>
  <c r="H8" i="31"/>
  <c r="I8" i="31" s="1"/>
  <c r="D8" i="31"/>
  <c r="E8" i="31" s="1"/>
  <c r="A9" i="31"/>
  <c r="B8" i="31"/>
  <c r="B4" i="31"/>
  <c r="I562" i="49"/>
  <c r="F7" i="31"/>
  <c r="N7" i="31"/>
  <c r="I796" i="49"/>
  <c r="I649" i="49"/>
  <c r="I514" i="49"/>
  <c r="R25" i="33"/>
  <c r="I414" i="49"/>
  <c r="N20" i="32"/>
  <c r="F5" i="31"/>
  <c r="R7" i="31"/>
  <c r="V25" i="33"/>
  <c r="R20" i="32"/>
  <c r="I394" i="49"/>
  <c r="I676" i="49"/>
  <c r="I376" i="49"/>
  <c r="V7" i="31"/>
  <c r="V28" i="34"/>
  <c r="I535" i="49"/>
  <c r="J20" i="32"/>
  <c r="F4" i="31"/>
  <c r="J7" i="31"/>
  <c r="I441" i="49"/>
  <c r="R28" i="34"/>
  <c r="V20" i="32"/>
  <c r="I769" i="49"/>
  <c r="H650" i="49" l="1"/>
  <c r="H563" i="49"/>
  <c r="H536" i="49"/>
  <c r="H377" i="49"/>
  <c r="H677" i="49"/>
  <c r="H291" i="49"/>
  <c r="H442" i="49"/>
  <c r="H251" i="49"/>
  <c r="H232" i="49"/>
  <c r="H318" i="49"/>
  <c r="H415" i="49"/>
  <c r="H230" i="49"/>
  <c r="H270" i="49"/>
  <c r="H229" i="49"/>
  <c r="H395" i="49"/>
  <c r="F248" i="49"/>
  <c r="F249" i="49"/>
  <c r="F250" i="49"/>
  <c r="F251" i="49"/>
  <c r="F269" i="49"/>
  <c r="F270" i="49"/>
  <c r="F289" i="49"/>
  <c r="F290" i="49"/>
  <c r="F291" i="49"/>
  <c r="F317" i="49"/>
  <c r="F318" i="49"/>
  <c r="F536" i="49"/>
  <c r="F563" i="49"/>
  <c r="F797" i="49"/>
  <c r="F377" i="49"/>
  <c r="F395" i="49"/>
  <c r="F415" i="49"/>
  <c r="F442" i="49"/>
  <c r="F650" i="49"/>
  <c r="F677" i="49"/>
  <c r="F515" i="49"/>
  <c r="F268" i="49"/>
  <c r="F231" i="49"/>
  <c r="F232" i="49"/>
  <c r="F230" i="49"/>
  <c r="F229" i="49"/>
  <c r="A40" i="36"/>
  <c r="B39" i="36"/>
  <c r="A35" i="35"/>
  <c r="B34" i="35"/>
  <c r="T30" i="34"/>
  <c r="U30" i="34" s="1"/>
  <c r="P30" i="34"/>
  <c r="Q30" i="34" s="1"/>
  <c r="A31" i="34"/>
  <c r="B30" i="34"/>
  <c r="T27" i="33"/>
  <c r="U27" i="33" s="1"/>
  <c r="P27" i="33"/>
  <c r="Q27" i="33" s="1"/>
  <c r="A28" i="33"/>
  <c r="B27" i="33"/>
  <c r="T22" i="32"/>
  <c r="U22" i="32" s="1"/>
  <c r="P22" i="32"/>
  <c r="Q22" i="32" s="1"/>
  <c r="L22" i="32"/>
  <c r="M22" i="32" s="1"/>
  <c r="H22" i="32"/>
  <c r="I22" i="32" s="1"/>
  <c r="A23" i="32"/>
  <c r="B22" i="32"/>
  <c r="T9" i="31"/>
  <c r="U9" i="31" s="1"/>
  <c r="P9" i="31"/>
  <c r="Q9" i="31" s="1"/>
  <c r="L9" i="31"/>
  <c r="M9" i="31" s="1"/>
  <c r="H9" i="31"/>
  <c r="I9" i="31" s="1"/>
  <c r="D9" i="31"/>
  <c r="E9" i="31" s="1"/>
  <c r="A10" i="31"/>
  <c r="B9" i="31"/>
  <c r="I650" i="49"/>
  <c r="I797" i="49"/>
  <c r="J22" i="32"/>
  <c r="V29" i="34"/>
  <c r="I229" i="49"/>
  <c r="V8" i="31"/>
  <c r="I230" i="49"/>
  <c r="J21" i="32"/>
  <c r="I251" i="49"/>
  <c r="I395" i="49"/>
  <c r="I290" i="49"/>
  <c r="R21" i="32"/>
  <c r="I563" i="49"/>
  <c r="I269" i="49"/>
  <c r="R29" i="34"/>
  <c r="I248" i="49"/>
  <c r="I536" i="49"/>
  <c r="I317" i="49"/>
  <c r="I515" i="49"/>
  <c r="N21" i="32"/>
  <c r="I250" i="49"/>
  <c r="I268" i="49"/>
  <c r="N8" i="31"/>
  <c r="R26" i="33"/>
  <c r="F8" i="31"/>
  <c r="I270" i="49"/>
  <c r="V26" i="33"/>
  <c r="V21" i="32"/>
  <c r="I442" i="49"/>
  <c r="I232" i="49"/>
  <c r="J8" i="31"/>
  <c r="I415" i="49"/>
  <c r="I289" i="49"/>
  <c r="R8" i="31"/>
  <c r="I249" i="49"/>
  <c r="I291" i="49"/>
  <c r="I677" i="49"/>
  <c r="I231" i="49"/>
  <c r="I318" i="49"/>
  <c r="I377" i="49"/>
  <c r="H678" i="49" l="1"/>
  <c r="H378" i="49"/>
  <c r="H233" i="49"/>
  <c r="H443" i="49"/>
  <c r="H651" i="49"/>
  <c r="H564" i="49"/>
  <c r="H319" i="49"/>
  <c r="H271" i="49"/>
  <c r="H252" i="49"/>
  <c r="H379" i="49"/>
  <c r="H416" i="49"/>
  <c r="H537" i="49"/>
  <c r="H292" i="49"/>
  <c r="H396" i="49"/>
  <c r="F252" i="49"/>
  <c r="F271" i="49"/>
  <c r="F292" i="49"/>
  <c r="F319" i="49"/>
  <c r="F537" i="49"/>
  <c r="F564" i="49"/>
  <c r="F378" i="49"/>
  <c r="F396" i="49"/>
  <c r="F416" i="49"/>
  <c r="F443" i="49"/>
  <c r="F651" i="49"/>
  <c r="F678" i="49"/>
  <c r="F233" i="49"/>
  <c r="B40" i="36"/>
  <c r="A36" i="35"/>
  <c r="B35" i="35"/>
  <c r="T31" i="34"/>
  <c r="U31" i="34" s="1"/>
  <c r="P31" i="34"/>
  <c r="Q31" i="34" s="1"/>
  <c r="A32" i="34"/>
  <c r="B31" i="34"/>
  <c r="T28" i="33"/>
  <c r="U28" i="33" s="1"/>
  <c r="P28" i="33"/>
  <c r="Q28" i="33" s="1"/>
  <c r="A29" i="33"/>
  <c r="B28" i="33"/>
  <c r="T23" i="32"/>
  <c r="U23" i="32" s="1"/>
  <c r="P23" i="32"/>
  <c r="Q23" i="32" s="1"/>
  <c r="L23" i="32"/>
  <c r="M23" i="32" s="1"/>
  <c r="A24" i="32"/>
  <c r="B23" i="32"/>
  <c r="T10" i="31"/>
  <c r="U10" i="31" s="1"/>
  <c r="P10" i="31"/>
  <c r="Q10" i="31" s="1"/>
  <c r="L10" i="31"/>
  <c r="M10" i="31" s="1"/>
  <c r="H10" i="31"/>
  <c r="I10" i="31" s="1"/>
  <c r="D10" i="31"/>
  <c r="E10" i="31" s="1"/>
  <c r="A11" i="31"/>
  <c r="B10" i="31"/>
  <c r="I271" i="49"/>
  <c r="I378" i="49"/>
  <c r="N9" i="31"/>
  <c r="V22" i="32"/>
  <c r="V9" i="31"/>
  <c r="I396" i="49"/>
  <c r="I678" i="49"/>
  <c r="I416" i="49"/>
  <c r="V30" i="34"/>
  <c r="J9" i="31"/>
  <c r="I252" i="49"/>
  <c r="N22" i="32"/>
  <c r="I292" i="49"/>
  <c r="I319" i="49"/>
  <c r="F9" i="31"/>
  <c r="R22" i="32"/>
  <c r="R9" i="31"/>
  <c r="I651" i="49"/>
  <c r="V27" i="33"/>
  <c r="I564" i="49"/>
  <c r="I443" i="49"/>
  <c r="I537" i="49"/>
  <c r="I233" i="49"/>
  <c r="R30" i="34"/>
  <c r="R27" i="33"/>
  <c r="H538" i="49" l="1"/>
  <c r="H293" i="49"/>
  <c r="H417" i="49"/>
  <c r="H565" i="49"/>
  <c r="H652" i="49"/>
  <c r="H444" i="49"/>
  <c r="H679" i="49"/>
  <c r="H234" i="49"/>
  <c r="H397" i="49"/>
  <c r="H253" i="49"/>
  <c r="H320" i="49"/>
  <c r="H272" i="49"/>
  <c r="F253" i="49"/>
  <c r="F272" i="49"/>
  <c r="F293" i="49"/>
  <c r="F320" i="49"/>
  <c r="F538" i="49"/>
  <c r="F565" i="49"/>
  <c r="F379" i="49"/>
  <c r="F397" i="49"/>
  <c r="F417" i="49"/>
  <c r="F444" i="49"/>
  <c r="F652" i="49"/>
  <c r="F679" i="49"/>
  <c r="F234" i="49"/>
  <c r="A37" i="35"/>
  <c r="B36" i="35"/>
  <c r="T32" i="34"/>
  <c r="U32" i="34" s="1"/>
  <c r="P32" i="34"/>
  <c r="Q32" i="34" s="1"/>
  <c r="A33" i="34"/>
  <c r="B32" i="34"/>
  <c r="T29" i="33"/>
  <c r="U29" i="33" s="1"/>
  <c r="P29" i="33"/>
  <c r="Q29" i="33" s="1"/>
  <c r="A30" i="33"/>
  <c r="B29" i="33"/>
  <c r="T24" i="32"/>
  <c r="U24" i="32" s="1"/>
  <c r="P24" i="32"/>
  <c r="Q24" i="32" s="1"/>
  <c r="L24" i="32"/>
  <c r="M24" i="32" s="1"/>
  <c r="A25" i="32"/>
  <c r="B24" i="32"/>
  <c r="T11" i="31"/>
  <c r="U11" i="31" s="1"/>
  <c r="P11" i="31"/>
  <c r="Q11" i="31" s="1"/>
  <c r="L11" i="31"/>
  <c r="M11" i="31" s="1"/>
  <c r="H11" i="31"/>
  <c r="I11" i="31" s="1"/>
  <c r="D11" i="31"/>
  <c r="E11" i="31" s="1"/>
  <c r="A12" i="31"/>
  <c r="B11" i="31"/>
  <c r="I272" i="49"/>
  <c r="I652" i="49"/>
  <c r="I417" i="49"/>
  <c r="I679" i="49"/>
  <c r="I379" i="49"/>
  <c r="F10" i="31"/>
  <c r="J10" i="31"/>
  <c r="N23" i="32"/>
  <c r="I253" i="49"/>
  <c r="I293" i="49"/>
  <c r="I320" i="49"/>
  <c r="I538" i="49"/>
  <c r="R32" i="34"/>
  <c r="V23" i="32"/>
  <c r="I565" i="49"/>
  <c r="V10" i="31"/>
  <c r="R28" i="33"/>
  <c r="I444" i="49"/>
  <c r="I397" i="49"/>
  <c r="R31" i="34"/>
  <c r="I234" i="49"/>
  <c r="V31" i="34"/>
  <c r="N10" i="31"/>
  <c r="R23" i="32"/>
  <c r="V28" i="33"/>
  <c r="R10" i="31"/>
  <c r="H653" i="49" l="1"/>
  <c r="H654" i="49"/>
  <c r="H398" i="49"/>
  <c r="H539" i="49"/>
  <c r="H566" i="49"/>
  <c r="H321" i="49"/>
  <c r="H445" i="49"/>
  <c r="H235" i="49"/>
  <c r="H254" i="49"/>
  <c r="H273" i="49"/>
  <c r="H680" i="49"/>
  <c r="H294" i="49"/>
  <c r="H418" i="49"/>
  <c r="F254" i="49"/>
  <c r="F273" i="49"/>
  <c r="F294" i="49"/>
  <c r="F321" i="49"/>
  <c r="F539" i="49"/>
  <c r="F566" i="49"/>
  <c r="F398" i="49"/>
  <c r="F418" i="49"/>
  <c r="F445" i="49"/>
  <c r="F653" i="49"/>
  <c r="F680" i="49"/>
  <c r="F235" i="49"/>
  <c r="A38" i="35"/>
  <c r="B37" i="35"/>
  <c r="T33" i="34"/>
  <c r="U33" i="34" s="1"/>
  <c r="A34" i="34"/>
  <c r="B33" i="34"/>
  <c r="T30" i="33"/>
  <c r="U30" i="33" s="1"/>
  <c r="P30" i="33"/>
  <c r="Q30" i="33" s="1"/>
  <c r="A31" i="33"/>
  <c r="B30" i="33"/>
  <c r="T25" i="32"/>
  <c r="U25" i="32" s="1"/>
  <c r="P25" i="32"/>
  <c r="Q25" i="32" s="1"/>
  <c r="L25" i="32"/>
  <c r="M25" i="32" s="1"/>
  <c r="A26" i="32"/>
  <c r="B25" i="32"/>
  <c r="T12" i="31"/>
  <c r="U12" i="31" s="1"/>
  <c r="P12" i="31"/>
  <c r="Q12" i="31" s="1"/>
  <c r="L12" i="31"/>
  <c r="M12" i="31" s="1"/>
  <c r="H12" i="31"/>
  <c r="I12" i="31" s="1"/>
  <c r="D12" i="31"/>
  <c r="E12" i="31" s="1"/>
  <c r="A13" i="31"/>
  <c r="B12" i="31"/>
  <c r="I294" i="49"/>
  <c r="V33" i="34"/>
  <c r="I445" i="49"/>
  <c r="I680" i="49"/>
  <c r="I418" i="49"/>
  <c r="N25" i="32"/>
  <c r="V24" i="32"/>
  <c r="V29" i="33"/>
  <c r="R29" i="33"/>
  <c r="I398" i="49"/>
  <c r="V32" i="34"/>
  <c r="N24" i="32"/>
  <c r="F11" i="31"/>
  <c r="N11" i="31"/>
  <c r="I653" i="49"/>
  <c r="I566" i="49"/>
  <c r="I254" i="49"/>
  <c r="I273" i="49"/>
  <c r="J11" i="31"/>
  <c r="I321" i="49"/>
  <c r="I539" i="49"/>
  <c r="I235" i="49"/>
  <c r="R24" i="32"/>
  <c r="V11" i="31"/>
  <c r="R11" i="31"/>
  <c r="H274" i="49" l="1"/>
  <c r="H682" i="49"/>
  <c r="H236" i="49"/>
  <c r="H681" i="49"/>
  <c r="H399" i="49"/>
  <c r="H567" i="49"/>
  <c r="H255" i="49"/>
  <c r="H540" i="49"/>
  <c r="H322" i="49"/>
  <c r="H400" i="49"/>
  <c r="H295" i="49"/>
  <c r="H419" i="49"/>
  <c r="H446" i="49"/>
  <c r="F255" i="49"/>
  <c r="F274" i="49"/>
  <c r="F295" i="49"/>
  <c r="F322" i="49"/>
  <c r="F540" i="49"/>
  <c r="F567" i="49"/>
  <c r="F654" i="49"/>
  <c r="F399" i="49"/>
  <c r="F419" i="49"/>
  <c r="F446" i="49"/>
  <c r="F681" i="49"/>
  <c r="F236" i="49"/>
  <c r="A39" i="35"/>
  <c r="B38" i="35"/>
  <c r="A35" i="34"/>
  <c r="B34" i="34"/>
  <c r="T31" i="33"/>
  <c r="U31" i="33" s="1"/>
  <c r="P31" i="33"/>
  <c r="Q31" i="33" s="1"/>
  <c r="A32" i="33"/>
  <c r="B31" i="33"/>
  <c r="T26" i="32"/>
  <c r="U26" i="32" s="1"/>
  <c r="P26" i="32"/>
  <c r="Q26" i="32" s="1"/>
  <c r="A27" i="32"/>
  <c r="B26" i="32"/>
  <c r="T13" i="31"/>
  <c r="U13" i="31" s="1"/>
  <c r="P13" i="31"/>
  <c r="Q13" i="31" s="1"/>
  <c r="L13" i="31"/>
  <c r="M13" i="31" s="1"/>
  <c r="H13" i="31"/>
  <c r="I13" i="31" s="1"/>
  <c r="D13" i="31"/>
  <c r="E13" i="31" s="1"/>
  <c r="A14" i="31"/>
  <c r="B13" i="31"/>
  <c r="I681" i="49"/>
  <c r="R12" i="31"/>
  <c r="I274" i="49"/>
  <c r="I446" i="49"/>
  <c r="I255" i="49"/>
  <c r="I419" i="49"/>
  <c r="I654" i="49"/>
  <c r="V12" i="31"/>
  <c r="V30" i="33"/>
  <c r="I540" i="49"/>
  <c r="I322" i="49"/>
  <c r="N12" i="31"/>
  <c r="I567" i="49"/>
  <c r="J12" i="31"/>
  <c r="R31" i="33"/>
  <c r="I236" i="49"/>
  <c r="V25" i="32"/>
  <c r="I399" i="49"/>
  <c r="I295" i="49"/>
  <c r="F12" i="31"/>
  <c r="R25" i="32"/>
  <c r="R30" i="33"/>
  <c r="H568" i="49" l="1"/>
  <c r="H323" i="49"/>
  <c r="H237" i="49"/>
  <c r="H447" i="49"/>
  <c r="H542" i="49"/>
  <c r="H541" i="49"/>
  <c r="H420" i="49"/>
  <c r="H256" i="49"/>
  <c r="H296" i="49"/>
  <c r="H275" i="49"/>
  <c r="F256" i="49"/>
  <c r="F275" i="49"/>
  <c r="F296" i="49"/>
  <c r="F323" i="49"/>
  <c r="F541" i="49"/>
  <c r="F568" i="49"/>
  <c r="F400" i="49"/>
  <c r="F420" i="49"/>
  <c r="F447" i="49"/>
  <c r="F682" i="49"/>
  <c r="F237" i="49"/>
  <c r="A40" i="35"/>
  <c r="B39" i="35"/>
  <c r="A36" i="34"/>
  <c r="B35" i="34"/>
  <c r="T32" i="33"/>
  <c r="U32" i="33" s="1"/>
  <c r="A33" i="33"/>
  <c r="B32" i="33"/>
  <c r="T27" i="32"/>
  <c r="U27" i="32" s="1"/>
  <c r="P27" i="32"/>
  <c r="Q27" i="32" s="1"/>
  <c r="A28" i="32"/>
  <c r="B27" i="32"/>
  <c r="T14" i="31"/>
  <c r="U14" i="31" s="1"/>
  <c r="P14" i="31"/>
  <c r="Q14" i="31" s="1"/>
  <c r="L14" i="31"/>
  <c r="M14" i="31" s="1"/>
  <c r="H14" i="31"/>
  <c r="I14" i="31" s="1"/>
  <c r="D14" i="31"/>
  <c r="E14" i="31" s="1"/>
  <c r="A15" i="31"/>
  <c r="B14" i="31"/>
  <c r="V26" i="32"/>
  <c r="I541" i="49"/>
  <c r="I237" i="49"/>
  <c r="V31" i="33"/>
  <c r="I568" i="49"/>
  <c r="R26" i="32"/>
  <c r="J13" i="31"/>
  <c r="F13" i="31"/>
  <c r="V13" i="31"/>
  <c r="I420" i="49"/>
  <c r="I323" i="49"/>
  <c r="I256" i="49"/>
  <c r="I400" i="49"/>
  <c r="N13" i="31"/>
  <c r="R13" i="31"/>
  <c r="I275" i="49"/>
  <c r="V32" i="33"/>
  <c r="I296" i="49"/>
  <c r="I447" i="49"/>
  <c r="I682" i="49"/>
  <c r="H421" i="49" l="1"/>
  <c r="H569" i="49"/>
  <c r="H324" i="49"/>
  <c r="H257" i="49"/>
  <c r="H297" i="49"/>
  <c r="H448" i="49"/>
  <c r="H570" i="49"/>
  <c r="H238" i="49"/>
  <c r="H276" i="49"/>
  <c r="F257" i="49"/>
  <c r="F276" i="49"/>
  <c r="F297" i="49"/>
  <c r="F324" i="49"/>
  <c r="F569" i="49"/>
  <c r="F421" i="49"/>
  <c r="F448" i="49"/>
  <c r="F542" i="49"/>
  <c r="F238" i="49"/>
  <c r="B40" i="35"/>
  <c r="A37" i="34"/>
  <c r="B36" i="34"/>
  <c r="A34" i="33"/>
  <c r="B33" i="33"/>
  <c r="T28" i="32"/>
  <c r="U28" i="32" s="1"/>
  <c r="P28" i="32"/>
  <c r="Q28" i="32" s="1"/>
  <c r="A29" i="32"/>
  <c r="B28" i="32"/>
  <c r="T15" i="31"/>
  <c r="U15" i="31" s="1"/>
  <c r="P15" i="31"/>
  <c r="Q15" i="31" s="1"/>
  <c r="L15" i="31"/>
  <c r="M15" i="31" s="1"/>
  <c r="H15" i="31"/>
  <c r="I15" i="31" s="1"/>
  <c r="D15" i="31"/>
  <c r="E15" i="31" s="1"/>
  <c r="A16" i="31"/>
  <c r="B15" i="31"/>
  <c r="I421" i="49"/>
  <c r="I324" i="49"/>
  <c r="R14" i="31"/>
  <c r="V27" i="32"/>
  <c r="I257" i="49"/>
  <c r="I276" i="49"/>
  <c r="I542" i="49"/>
  <c r="V14" i="31"/>
  <c r="I448" i="49"/>
  <c r="I569" i="49"/>
  <c r="J14" i="31"/>
  <c r="F14" i="31"/>
  <c r="N14" i="31"/>
  <c r="I238" i="49"/>
  <c r="I297" i="49"/>
  <c r="R27" i="32"/>
  <c r="H239" i="49" l="1"/>
  <c r="H422" i="49"/>
  <c r="H325" i="49"/>
  <c r="H298" i="49"/>
  <c r="H277" i="49"/>
  <c r="H258" i="49"/>
  <c r="H449" i="49"/>
  <c r="F258" i="49"/>
  <c r="F277" i="49"/>
  <c r="F298" i="49"/>
  <c r="F325" i="49"/>
  <c r="F570" i="49"/>
  <c r="F422" i="49"/>
  <c r="F449" i="49"/>
  <c r="F239" i="49"/>
  <c r="A38" i="34"/>
  <c r="B37" i="34"/>
  <c r="A35" i="33"/>
  <c r="B34" i="33"/>
  <c r="T29" i="32"/>
  <c r="U29" i="32" s="1"/>
  <c r="P29" i="32"/>
  <c r="Q29" i="32" s="1"/>
  <c r="A30" i="32"/>
  <c r="B29" i="32"/>
  <c r="T16" i="31"/>
  <c r="U16" i="31" s="1"/>
  <c r="P16" i="31"/>
  <c r="Q16" i="31" s="1"/>
  <c r="L16" i="31"/>
  <c r="M16" i="31" s="1"/>
  <c r="H16" i="31"/>
  <c r="I16" i="31" s="1"/>
  <c r="D16" i="31"/>
  <c r="E16" i="31" s="1"/>
  <c r="A17" i="31"/>
  <c r="B16" i="31"/>
  <c r="R28" i="32"/>
  <c r="J15" i="31"/>
  <c r="I277" i="49"/>
  <c r="V28" i="32"/>
  <c r="N15" i="31"/>
  <c r="I422" i="49"/>
  <c r="V15" i="31"/>
  <c r="F15" i="31"/>
  <c r="I258" i="49"/>
  <c r="I298" i="49"/>
  <c r="I570" i="49"/>
  <c r="I239" i="49"/>
  <c r="R15" i="31"/>
  <c r="I325" i="49"/>
  <c r="I449" i="49"/>
  <c r="H450" i="49" l="1"/>
  <c r="H259" i="49"/>
  <c r="H326" i="49"/>
  <c r="H278" i="49"/>
  <c r="H423" i="49"/>
  <c r="H240" i="49"/>
  <c r="H299" i="49"/>
  <c r="F259" i="49"/>
  <c r="F278" i="49"/>
  <c r="F299" i="49"/>
  <c r="F326" i="49"/>
  <c r="F423" i="49"/>
  <c r="F450" i="49"/>
  <c r="F240" i="49"/>
  <c r="A39" i="34"/>
  <c r="B38" i="34"/>
  <c r="A36" i="33"/>
  <c r="B35" i="33"/>
  <c r="T30" i="32"/>
  <c r="U30" i="32" s="1"/>
  <c r="P30" i="32"/>
  <c r="Q30" i="32" s="1"/>
  <c r="A31" i="32"/>
  <c r="B30" i="32"/>
  <c r="T17" i="31"/>
  <c r="U17" i="31" s="1"/>
  <c r="P17" i="31"/>
  <c r="Q17" i="31" s="1"/>
  <c r="L17" i="31"/>
  <c r="M17" i="31" s="1"/>
  <c r="H17" i="31"/>
  <c r="I17" i="31" s="1"/>
  <c r="D17" i="31"/>
  <c r="E17" i="31" s="1"/>
  <c r="A18" i="31"/>
  <c r="B17" i="31"/>
  <c r="R29" i="32"/>
  <c r="I450" i="49"/>
  <c r="I423" i="49"/>
  <c r="V29" i="32"/>
  <c r="I299" i="49"/>
  <c r="I240" i="49"/>
  <c r="I326" i="49"/>
  <c r="F16" i="31"/>
  <c r="J16" i="31"/>
  <c r="I278" i="49"/>
  <c r="R16" i="31"/>
  <c r="N16" i="31"/>
  <c r="I259" i="49"/>
  <c r="V16" i="31"/>
  <c r="H279" i="49" l="1"/>
  <c r="H327" i="49"/>
  <c r="H300" i="49"/>
  <c r="H260" i="49"/>
  <c r="H451" i="49"/>
  <c r="H241" i="49"/>
  <c r="H424" i="49"/>
  <c r="F260" i="49"/>
  <c r="F279" i="49"/>
  <c r="F300" i="49"/>
  <c r="F327" i="49"/>
  <c r="F424" i="49"/>
  <c r="F451" i="49"/>
  <c r="F241" i="49"/>
  <c r="A40" i="34"/>
  <c r="B39" i="34"/>
  <c r="A37" i="33"/>
  <c r="B36" i="33"/>
  <c r="T31" i="32"/>
  <c r="U31" i="32" s="1"/>
  <c r="P31" i="32"/>
  <c r="Q31" i="32" s="1"/>
  <c r="A32" i="32"/>
  <c r="B31" i="32"/>
  <c r="T18" i="31"/>
  <c r="U18" i="31" s="1"/>
  <c r="P18" i="31"/>
  <c r="Q18" i="31" s="1"/>
  <c r="L18" i="31"/>
  <c r="M18" i="31" s="1"/>
  <c r="H18" i="31"/>
  <c r="I18" i="31" s="1"/>
  <c r="D18" i="31"/>
  <c r="E18" i="31" s="1"/>
  <c r="A19" i="31"/>
  <c r="B18" i="31"/>
  <c r="I300" i="49"/>
  <c r="J17" i="31"/>
  <c r="I279" i="49"/>
  <c r="V30" i="32"/>
  <c r="I451" i="49"/>
  <c r="R17" i="31"/>
  <c r="I424" i="49"/>
  <c r="F17" i="31"/>
  <c r="R30" i="32"/>
  <c r="I241" i="49"/>
  <c r="I260" i="49"/>
  <c r="I327" i="49"/>
  <c r="N17" i="31"/>
  <c r="V17" i="31"/>
  <c r="H280" i="49" l="1"/>
  <c r="H242" i="49"/>
  <c r="H301" i="49"/>
  <c r="H425" i="49"/>
  <c r="H452" i="49"/>
  <c r="H328" i="49"/>
  <c r="H261" i="49"/>
  <c r="B37" i="33"/>
  <c r="A38" i="33"/>
  <c r="F261" i="49"/>
  <c r="F280" i="49"/>
  <c r="F301" i="49"/>
  <c r="F328" i="49"/>
  <c r="F425" i="49"/>
  <c r="F452" i="49"/>
  <c r="F242" i="49"/>
  <c r="B40" i="34"/>
  <c r="T32" i="32"/>
  <c r="U32" i="32" s="1"/>
  <c r="P32" i="32"/>
  <c r="Q32" i="32" s="1"/>
  <c r="A33" i="32"/>
  <c r="B32" i="32"/>
  <c r="T19" i="31"/>
  <c r="U19" i="31" s="1"/>
  <c r="P19" i="31"/>
  <c r="Q19" i="31" s="1"/>
  <c r="L19" i="31"/>
  <c r="M19" i="31" s="1"/>
  <c r="H19" i="31"/>
  <c r="I19" i="31" s="1"/>
  <c r="D19" i="31"/>
  <c r="E19" i="31" s="1"/>
  <c r="A20" i="31"/>
  <c r="B19" i="31"/>
  <c r="R31" i="32"/>
  <c r="V31" i="32"/>
  <c r="I280" i="49"/>
  <c r="R18" i="31"/>
  <c r="I425" i="49"/>
  <c r="I242" i="49"/>
  <c r="F18" i="31"/>
  <c r="J18" i="31"/>
  <c r="I328" i="49"/>
  <c r="V18" i="31"/>
  <c r="I452" i="49"/>
  <c r="N18" i="31"/>
  <c r="I261" i="49"/>
  <c r="I301" i="49"/>
  <c r="R32" i="32"/>
  <c r="H243" i="49" l="1"/>
  <c r="H281" i="49"/>
  <c r="H427" i="49"/>
  <c r="H329" i="49"/>
  <c r="H302" i="49"/>
  <c r="H453" i="49"/>
  <c r="H262" i="49"/>
  <c r="H426" i="49"/>
  <c r="B38" i="33"/>
  <c r="A39" i="33"/>
  <c r="F262" i="49"/>
  <c r="F281" i="49"/>
  <c r="F302" i="49"/>
  <c r="F329" i="49"/>
  <c r="F426" i="49"/>
  <c r="F453" i="49"/>
  <c r="F243" i="49"/>
  <c r="T33" i="32"/>
  <c r="U33" i="32" s="1"/>
  <c r="A34" i="32"/>
  <c r="B33" i="32"/>
  <c r="T20" i="31"/>
  <c r="U20" i="31" s="1"/>
  <c r="P20" i="31"/>
  <c r="Q20" i="31" s="1"/>
  <c r="L20" i="31"/>
  <c r="M20" i="31" s="1"/>
  <c r="H20" i="31"/>
  <c r="I20" i="31" s="1"/>
  <c r="D20" i="31"/>
  <c r="E20" i="31" s="1"/>
  <c r="A21" i="31"/>
  <c r="B20" i="31"/>
  <c r="R19" i="31"/>
  <c r="I453" i="49"/>
  <c r="I302" i="49"/>
  <c r="N19" i="31"/>
  <c r="J19" i="31"/>
  <c r="I262" i="49"/>
  <c r="V19" i="31"/>
  <c r="I243" i="49"/>
  <c r="F19" i="31"/>
  <c r="I329" i="49"/>
  <c r="I281" i="49"/>
  <c r="I426" i="49"/>
  <c r="V33" i="32"/>
  <c r="V32" i="32"/>
  <c r="H454" i="49" l="1"/>
  <c r="H244" i="49"/>
  <c r="H263" i="49"/>
  <c r="H303" i="49"/>
  <c r="H282" i="49"/>
  <c r="H455" i="49"/>
  <c r="H330" i="49"/>
  <c r="B39" i="33"/>
  <c r="A40" i="33"/>
  <c r="B40" i="33" s="1"/>
  <c r="F263" i="49"/>
  <c r="F282" i="49"/>
  <c r="F303" i="49"/>
  <c r="F330" i="49"/>
  <c r="F427" i="49"/>
  <c r="F454" i="49"/>
  <c r="F244" i="49"/>
  <c r="A35" i="32"/>
  <c r="B34" i="32"/>
  <c r="T21" i="31"/>
  <c r="U21" i="31" s="1"/>
  <c r="P21" i="31"/>
  <c r="Q21" i="31" s="1"/>
  <c r="L21" i="31"/>
  <c r="M21" i="31" s="1"/>
  <c r="H21" i="31"/>
  <c r="I21" i="31" s="1"/>
  <c r="D21" i="31"/>
  <c r="E21" i="31" s="1"/>
  <c r="A22" i="31"/>
  <c r="B21" i="31"/>
  <c r="R20" i="31"/>
  <c r="I263" i="49"/>
  <c r="F20" i="31"/>
  <c r="J20" i="31"/>
  <c r="J21" i="31"/>
  <c r="I454" i="49"/>
  <c r="V20" i="31"/>
  <c r="I282" i="49"/>
  <c r="J22" i="31"/>
  <c r="I244" i="49"/>
  <c r="I330" i="49"/>
  <c r="N20" i="31"/>
  <c r="I427" i="49"/>
  <c r="I303" i="49"/>
  <c r="H283" i="49" l="1"/>
  <c r="H331" i="49"/>
  <c r="H304" i="49"/>
  <c r="H265" i="49"/>
  <c r="H266" i="49"/>
  <c r="H264" i="49"/>
  <c r="H245" i="49"/>
  <c r="F265" i="49"/>
  <c r="F264" i="49"/>
  <c r="F266" i="49"/>
  <c r="F283" i="49"/>
  <c r="F304" i="49"/>
  <c r="F331" i="49"/>
  <c r="F455" i="49"/>
  <c r="F245" i="49"/>
  <c r="A36" i="32"/>
  <c r="B35" i="32"/>
  <c r="T22" i="31"/>
  <c r="U22" i="31" s="1"/>
  <c r="P22" i="31"/>
  <c r="Q22" i="31" s="1"/>
  <c r="L22" i="31"/>
  <c r="M22" i="31" s="1"/>
  <c r="D22" i="31"/>
  <c r="E22" i="31" s="1"/>
  <c r="A23" i="31"/>
  <c r="B22" i="31"/>
  <c r="F22" i="31"/>
  <c r="I265" i="49"/>
  <c r="V21" i="31"/>
  <c r="N21" i="31"/>
  <c r="I304" i="49"/>
  <c r="I264" i="49"/>
  <c r="R21" i="31"/>
  <c r="I455" i="49"/>
  <c r="I266" i="49"/>
  <c r="I331" i="49"/>
  <c r="F21" i="31"/>
  <c r="I245" i="49"/>
  <c r="I283" i="49"/>
  <c r="H305" i="49" l="1"/>
  <c r="H284" i="49"/>
  <c r="H246" i="49"/>
  <c r="H332" i="49"/>
  <c r="H247" i="49"/>
  <c r="F284" i="49"/>
  <c r="F305" i="49"/>
  <c r="F332" i="49"/>
  <c r="F247" i="49"/>
  <c r="F246" i="49"/>
  <c r="A37" i="32"/>
  <c r="B36" i="32"/>
  <c r="T23" i="31"/>
  <c r="U23" i="31" s="1"/>
  <c r="P23" i="31"/>
  <c r="Q23" i="31" s="1"/>
  <c r="L23" i="31"/>
  <c r="M23" i="31" s="1"/>
  <c r="A24" i="31"/>
  <c r="B23" i="31"/>
  <c r="N22" i="31"/>
  <c r="I246" i="49"/>
  <c r="I332" i="49"/>
  <c r="V22" i="31"/>
  <c r="R22" i="31"/>
  <c r="I247" i="49"/>
  <c r="I284" i="49"/>
  <c r="I305" i="49"/>
  <c r="H306" i="49" l="1"/>
  <c r="H333" i="49"/>
  <c r="H285" i="49"/>
  <c r="F285" i="49"/>
  <c r="F306" i="49"/>
  <c r="F333" i="49"/>
  <c r="B37" i="32"/>
  <c r="T24" i="31"/>
  <c r="U24" i="31" s="1"/>
  <c r="P24" i="31"/>
  <c r="Q24" i="31" s="1"/>
  <c r="L24" i="31"/>
  <c r="M24" i="31" s="1"/>
  <c r="A25" i="31"/>
  <c r="B24" i="31"/>
  <c r="I285" i="49"/>
  <c r="I333" i="49"/>
  <c r="R23" i="31"/>
  <c r="I306" i="49"/>
  <c r="N23" i="31"/>
  <c r="V23" i="31"/>
  <c r="H307" i="49" l="1"/>
  <c r="H334" i="49"/>
  <c r="H286" i="49"/>
  <c r="F286" i="49"/>
  <c r="F307" i="49"/>
  <c r="F334" i="49"/>
  <c r="T25" i="31"/>
  <c r="U25" i="31" s="1"/>
  <c r="P25" i="31"/>
  <c r="Q25" i="31" s="1"/>
  <c r="L25" i="31"/>
  <c r="M25" i="31" s="1"/>
  <c r="A26" i="31"/>
  <c r="B25" i="31"/>
  <c r="I286" i="49"/>
  <c r="V24" i="31"/>
  <c r="R24" i="31"/>
  <c r="N24" i="31"/>
  <c r="I307" i="49"/>
  <c r="N25" i="31"/>
  <c r="I334" i="49"/>
  <c r="H308" i="49" l="1"/>
  <c r="H335" i="49"/>
  <c r="H288" i="49"/>
  <c r="H287" i="49"/>
  <c r="F287" i="49"/>
  <c r="F308" i="49"/>
  <c r="F335" i="49"/>
  <c r="T26" i="31"/>
  <c r="U26" i="31" s="1"/>
  <c r="P26" i="31"/>
  <c r="Q26" i="31" s="1"/>
  <c r="A27" i="31"/>
  <c r="B26" i="31"/>
  <c r="I308" i="49"/>
  <c r="I287" i="49"/>
  <c r="I335" i="49"/>
  <c r="R25" i="31"/>
  <c r="V25" i="31"/>
  <c r="H336" i="49" l="1"/>
  <c r="H309" i="49"/>
  <c r="F309" i="49"/>
  <c r="F336" i="49"/>
  <c r="F288" i="49"/>
  <c r="T27" i="31"/>
  <c r="U27" i="31" s="1"/>
  <c r="P27" i="31"/>
  <c r="Q27" i="31" s="1"/>
  <c r="A28" i="31"/>
  <c r="B27" i="31"/>
  <c r="I309" i="49"/>
  <c r="I336" i="49"/>
  <c r="R26" i="31"/>
  <c r="I288" i="49"/>
  <c r="V26" i="31"/>
  <c r="H310" i="49" l="1"/>
  <c r="H337" i="49"/>
  <c r="F310" i="49"/>
  <c r="F337" i="49"/>
  <c r="T28" i="31"/>
  <c r="U28" i="31" s="1"/>
  <c r="P28" i="31"/>
  <c r="Q28" i="31" s="1"/>
  <c r="A29" i="31"/>
  <c r="B28" i="31"/>
  <c r="I310" i="49"/>
  <c r="V27" i="31"/>
  <c r="R27" i="31"/>
  <c r="I337" i="49"/>
  <c r="H338" i="49" l="1"/>
  <c r="H311" i="49"/>
  <c r="F311" i="49"/>
  <c r="F338" i="49"/>
  <c r="T29" i="31"/>
  <c r="U29" i="31" s="1"/>
  <c r="P29" i="31"/>
  <c r="Q29" i="31" s="1"/>
  <c r="A30" i="31"/>
  <c r="B29" i="31"/>
  <c r="I338" i="49"/>
  <c r="V28" i="31"/>
  <c r="I311" i="49"/>
  <c r="R28" i="31"/>
  <c r="H312" i="49" l="1"/>
  <c r="H339" i="49"/>
  <c r="F312" i="49"/>
  <c r="F339" i="49"/>
  <c r="T30" i="31"/>
  <c r="U30" i="31" s="1"/>
  <c r="P30" i="31"/>
  <c r="Q30" i="31" s="1"/>
  <c r="A31" i="31"/>
  <c r="B30" i="31"/>
  <c r="I312" i="49"/>
  <c r="R29" i="31"/>
  <c r="V29" i="31"/>
  <c r="I339" i="49"/>
  <c r="H340" i="49" l="1"/>
  <c r="H313" i="49"/>
  <c r="F313" i="49"/>
  <c r="F340" i="49"/>
  <c r="T31" i="31"/>
  <c r="U31" i="31" s="1"/>
  <c r="P31" i="31"/>
  <c r="Q31" i="31" s="1"/>
  <c r="A32" i="31"/>
  <c r="B31" i="31"/>
  <c r="H4" i="24"/>
  <c r="I4" i="24" s="1"/>
  <c r="V30" i="31"/>
  <c r="R31" i="31"/>
  <c r="R30" i="31"/>
  <c r="I313" i="49"/>
  <c r="J4" i="24"/>
  <c r="I340" i="49"/>
  <c r="H315" i="49" l="1"/>
  <c r="H341" i="49"/>
  <c r="H134" i="49"/>
  <c r="H314" i="49"/>
  <c r="F314" i="49"/>
  <c r="F341" i="49"/>
  <c r="F134" i="49"/>
  <c r="T32" i="31"/>
  <c r="U32" i="31" s="1"/>
  <c r="A33" i="31"/>
  <c r="B32" i="31"/>
  <c r="V31" i="31"/>
  <c r="I134" i="49"/>
  <c r="V32" i="31"/>
  <c r="I314" i="49"/>
  <c r="I341" i="49"/>
  <c r="H343" i="49" l="1"/>
  <c r="H342" i="49"/>
  <c r="F342" i="49"/>
  <c r="F315" i="49"/>
  <c r="A34" i="31"/>
  <c r="B33" i="31"/>
  <c r="B4" i="17"/>
  <c r="B4" i="24"/>
  <c r="I342" i="49"/>
  <c r="I315" i="49"/>
  <c r="F343" i="49" l="1"/>
  <c r="A35" i="31"/>
  <c r="B34" i="31"/>
  <c r="A5" i="24"/>
  <c r="I343" i="49"/>
  <c r="A36" i="31" l="1"/>
  <c r="B35" i="31"/>
  <c r="H5" i="24"/>
  <c r="I5" i="24" s="1"/>
  <c r="L5" i="24"/>
  <c r="M5" i="24" s="1"/>
  <c r="B5" i="24"/>
  <c r="A6" i="24"/>
  <c r="N5" i="24"/>
  <c r="H153" i="49" l="1"/>
  <c r="A37" i="31"/>
  <c r="A38" i="31" s="1"/>
  <c r="B36" i="31"/>
  <c r="H6" i="24"/>
  <c r="I6" i="24" s="1"/>
  <c r="L6" i="24"/>
  <c r="M6" i="24" s="1"/>
  <c r="P6" i="24"/>
  <c r="Q6" i="24" s="1"/>
  <c r="T6" i="24"/>
  <c r="U6" i="24" s="1"/>
  <c r="B6" i="24"/>
  <c r="A7" i="24"/>
  <c r="V6" i="24"/>
  <c r="J5" i="24"/>
  <c r="R6" i="24"/>
  <c r="H201" i="49" l="1"/>
  <c r="H135" i="49"/>
  <c r="H174" i="49"/>
  <c r="B38" i="31"/>
  <c r="A39" i="31"/>
  <c r="B39" i="31" s="1"/>
  <c r="F135" i="49"/>
  <c r="F153" i="49"/>
  <c r="B37" i="31"/>
  <c r="H7" i="24"/>
  <c r="I7" i="24" s="1"/>
  <c r="L7" i="24"/>
  <c r="M7" i="24" s="1"/>
  <c r="P7" i="24"/>
  <c r="Q7" i="24" s="1"/>
  <c r="T7" i="24"/>
  <c r="U7" i="24" s="1"/>
  <c r="B7" i="24"/>
  <c r="A8" i="24"/>
  <c r="I135" i="49"/>
  <c r="J6" i="24"/>
  <c r="I153" i="49"/>
  <c r="N6" i="24"/>
  <c r="H154" i="49" l="1"/>
  <c r="H136" i="49"/>
  <c r="F174" i="49"/>
  <c r="F136" i="49"/>
  <c r="F154" i="49"/>
  <c r="H8" i="24"/>
  <c r="I8" i="24" s="1"/>
  <c r="L8" i="24"/>
  <c r="M8" i="24" s="1"/>
  <c r="P8" i="24"/>
  <c r="Q8" i="24" s="1"/>
  <c r="T8" i="24"/>
  <c r="U8" i="24" s="1"/>
  <c r="B8" i="24"/>
  <c r="A9" i="24"/>
  <c r="R7" i="24"/>
  <c r="I174" i="49"/>
  <c r="J7" i="24"/>
  <c r="I136" i="49"/>
  <c r="N7" i="24"/>
  <c r="V7" i="24"/>
  <c r="I154" i="49"/>
  <c r="H175" i="49" l="1"/>
  <c r="H137" i="49"/>
  <c r="H202" i="49"/>
  <c r="H155" i="49"/>
  <c r="F137" i="49"/>
  <c r="F155" i="49"/>
  <c r="F175" i="49"/>
  <c r="H9" i="24"/>
  <c r="I9" i="24" s="1"/>
  <c r="L9" i="24"/>
  <c r="M9" i="24" s="1"/>
  <c r="P9" i="24"/>
  <c r="Q9" i="24" s="1"/>
  <c r="T9" i="24"/>
  <c r="U9" i="24" s="1"/>
  <c r="B9" i="24"/>
  <c r="A10" i="24"/>
  <c r="D4" i="17"/>
  <c r="E4" i="17" s="1"/>
  <c r="H4" i="17"/>
  <c r="I4" i="17" s="1"/>
  <c r="I155" i="49"/>
  <c r="J8" i="24"/>
  <c r="I137" i="49"/>
  <c r="V8" i="24"/>
  <c r="F4" i="17"/>
  <c r="I175" i="49"/>
  <c r="J4" i="17"/>
  <c r="N8" i="24"/>
  <c r="R8" i="24"/>
  <c r="H21" i="49" l="1"/>
  <c r="H138" i="49"/>
  <c r="H2" i="49"/>
  <c r="H156" i="49"/>
  <c r="H176" i="49"/>
  <c r="H203" i="49"/>
  <c r="F138" i="49"/>
  <c r="F156" i="49"/>
  <c r="F176" i="49"/>
  <c r="F2" i="49"/>
  <c r="F21" i="49"/>
  <c r="H10" i="24"/>
  <c r="I10" i="24" s="1"/>
  <c r="L10" i="24"/>
  <c r="M10" i="24" s="1"/>
  <c r="P10" i="24"/>
  <c r="Q10" i="24" s="1"/>
  <c r="T10" i="24"/>
  <c r="U10" i="24" s="1"/>
  <c r="B10" i="24"/>
  <c r="D4" i="24"/>
  <c r="E4" i="24" s="1"/>
  <c r="D5" i="24"/>
  <c r="E5" i="24" s="1"/>
  <c r="D6" i="24"/>
  <c r="E6" i="24" s="1"/>
  <c r="D7" i="24"/>
  <c r="E7" i="24" s="1"/>
  <c r="D8" i="24"/>
  <c r="E8" i="24" s="1"/>
  <c r="D9" i="24"/>
  <c r="E9" i="24" s="1"/>
  <c r="D10" i="24"/>
  <c r="E10" i="24" s="1"/>
  <c r="A11" i="24"/>
  <c r="I21" i="49"/>
  <c r="I2" i="49"/>
  <c r="F7" i="24"/>
  <c r="F5" i="24"/>
  <c r="V9" i="24"/>
  <c r="F8" i="24"/>
  <c r="N9" i="24"/>
  <c r="F4" i="24"/>
  <c r="I176" i="49"/>
  <c r="I156" i="49"/>
  <c r="R9" i="24"/>
  <c r="F9" i="24"/>
  <c r="I138" i="49"/>
  <c r="F6" i="24"/>
  <c r="J9" i="24"/>
  <c r="H177" i="49" l="1"/>
  <c r="H117" i="49"/>
  <c r="H120" i="49"/>
  <c r="H118" i="49"/>
  <c r="H122" i="49"/>
  <c r="H121" i="49"/>
  <c r="H119" i="49"/>
  <c r="H139" i="49"/>
  <c r="H157" i="49"/>
  <c r="H204" i="49"/>
  <c r="F122" i="49"/>
  <c r="F121" i="49"/>
  <c r="F120" i="49"/>
  <c r="F119" i="49"/>
  <c r="F118" i="49"/>
  <c r="F117" i="49"/>
  <c r="F139" i="49"/>
  <c r="F157" i="49"/>
  <c r="F177" i="49"/>
  <c r="H11" i="24"/>
  <c r="I11" i="24" s="1"/>
  <c r="L11" i="24"/>
  <c r="M11" i="24" s="1"/>
  <c r="P11" i="24"/>
  <c r="Q11" i="24" s="1"/>
  <c r="T11" i="24"/>
  <c r="U11" i="24" s="1"/>
  <c r="B11" i="24"/>
  <c r="D11" i="24"/>
  <c r="E11" i="24" s="1"/>
  <c r="A12" i="24"/>
  <c r="I118" i="49"/>
  <c r="I177" i="49"/>
  <c r="F10" i="24"/>
  <c r="I117" i="49"/>
  <c r="I139" i="49"/>
  <c r="V10" i="24"/>
  <c r="I122" i="49"/>
  <c r="I120" i="49"/>
  <c r="I157" i="49"/>
  <c r="I121" i="49"/>
  <c r="R10" i="24"/>
  <c r="N10" i="24"/>
  <c r="I119" i="49"/>
  <c r="J10" i="24"/>
  <c r="H205" i="49" l="1"/>
  <c r="H178" i="49"/>
  <c r="H140" i="49"/>
  <c r="H123" i="49"/>
  <c r="H158" i="49"/>
  <c r="F123" i="49"/>
  <c r="F140" i="49"/>
  <c r="F158" i="49"/>
  <c r="F178" i="49"/>
  <c r="H12" i="24"/>
  <c r="I12" i="24" s="1"/>
  <c r="L12" i="24"/>
  <c r="M12" i="24" s="1"/>
  <c r="P12" i="24"/>
  <c r="Q12" i="24" s="1"/>
  <c r="T12" i="24"/>
  <c r="U12" i="24" s="1"/>
  <c r="B12" i="24"/>
  <c r="D12" i="24"/>
  <c r="E12" i="24" s="1"/>
  <c r="A13" i="24"/>
  <c r="F11" i="24"/>
  <c r="I123" i="49"/>
  <c r="I158" i="49"/>
  <c r="J11" i="24"/>
  <c r="I178" i="49"/>
  <c r="N11" i="24"/>
  <c r="V11" i="24"/>
  <c r="R11" i="24"/>
  <c r="I140" i="49"/>
  <c r="H179" i="49" l="1"/>
  <c r="H141" i="49"/>
  <c r="H124" i="49"/>
  <c r="H206" i="49"/>
  <c r="H159" i="49"/>
  <c r="F124" i="49"/>
  <c r="F141" i="49"/>
  <c r="F159" i="49"/>
  <c r="F179" i="49"/>
  <c r="H13" i="24"/>
  <c r="I13" i="24" s="1"/>
  <c r="L13" i="24"/>
  <c r="M13" i="24" s="1"/>
  <c r="P13" i="24"/>
  <c r="Q13" i="24" s="1"/>
  <c r="T13" i="24"/>
  <c r="U13" i="24" s="1"/>
  <c r="B13" i="24"/>
  <c r="D13" i="24"/>
  <c r="E13" i="24" s="1"/>
  <c r="A14" i="24"/>
  <c r="N12" i="24"/>
  <c r="J12" i="24"/>
  <c r="F12" i="24"/>
  <c r="I141" i="49"/>
  <c r="I159" i="49"/>
  <c r="I179" i="49"/>
  <c r="R12" i="24"/>
  <c r="I124" i="49"/>
  <c r="V12" i="24"/>
  <c r="H125" i="49" l="1"/>
  <c r="H207" i="49"/>
  <c r="H142" i="49"/>
  <c r="H180" i="49"/>
  <c r="H160" i="49"/>
  <c r="F125" i="49"/>
  <c r="F142" i="49"/>
  <c r="F160" i="49"/>
  <c r="F180" i="49"/>
  <c r="H14" i="24"/>
  <c r="I14" i="24" s="1"/>
  <c r="L14" i="24"/>
  <c r="M14" i="24" s="1"/>
  <c r="P14" i="24"/>
  <c r="Q14" i="24" s="1"/>
  <c r="T14" i="24"/>
  <c r="U14" i="24" s="1"/>
  <c r="B14" i="24"/>
  <c r="D14" i="24"/>
  <c r="E14" i="24" s="1"/>
  <c r="A15" i="24"/>
  <c r="I180" i="49"/>
  <c r="I160" i="49"/>
  <c r="R13" i="24"/>
  <c r="F13" i="24"/>
  <c r="J13" i="24"/>
  <c r="V13" i="24"/>
  <c r="I142" i="49"/>
  <c r="N13" i="24"/>
  <c r="I125" i="49"/>
  <c r="H161" i="49" l="1"/>
  <c r="H126" i="49"/>
  <c r="H143" i="49"/>
  <c r="H181" i="49"/>
  <c r="H208" i="49"/>
  <c r="F126" i="49"/>
  <c r="F143" i="49"/>
  <c r="F161" i="49"/>
  <c r="F181" i="49"/>
  <c r="H15" i="24"/>
  <c r="I15" i="24" s="1"/>
  <c r="L15" i="24"/>
  <c r="M15" i="24" s="1"/>
  <c r="P15" i="24"/>
  <c r="Q15" i="24" s="1"/>
  <c r="T15" i="24"/>
  <c r="U15" i="24" s="1"/>
  <c r="B15" i="24"/>
  <c r="D15" i="24"/>
  <c r="E15" i="24" s="1"/>
  <c r="A16" i="24"/>
  <c r="I126" i="49"/>
  <c r="R14" i="24"/>
  <c r="I181" i="49"/>
  <c r="F14" i="24"/>
  <c r="V14" i="24"/>
  <c r="I161" i="49"/>
  <c r="N14" i="24"/>
  <c r="I143" i="49"/>
  <c r="J14" i="24"/>
  <c r="H127" i="49" l="1"/>
  <c r="H162" i="49"/>
  <c r="H209" i="49"/>
  <c r="H182" i="49"/>
  <c r="H144" i="49"/>
  <c r="F127" i="49"/>
  <c r="F144" i="49"/>
  <c r="F162" i="49"/>
  <c r="F182" i="49"/>
  <c r="H16" i="24"/>
  <c r="I16" i="24" s="1"/>
  <c r="L16" i="24"/>
  <c r="M16" i="24" s="1"/>
  <c r="P16" i="24"/>
  <c r="Q16" i="24" s="1"/>
  <c r="T16" i="24"/>
  <c r="U16" i="24" s="1"/>
  <c r="B16" i="24"/>
  <c r="D16" i="24"/>
  <c r="E16" i="24" s="1"/>
  <c r="A17" i="24"/>
  <c r="J15" i="24"/>
  <c r="I144" i="49"/>
  <c r="R15" i="24"/>
  <c r="I162" i="49"/>
  <c r="I127" i="49"/>
  <c r="I182" i="49"/>
  <c r="V15" i="24"/>
  <c r="N15" i="24"/>
  <c r="F15" i="24"/>
  <c r="H210" i="49" l="1"/>
  <c r="H145" i="49"/>
  <c r="H163" i="49"/>
  <c r="H128" i="49"/>
  <c r="H183" i="49"/>
  <c r="F128" i="49"/>
  <c r="F145" i="49"/>
  <c r="F163" i="49"/>
  <c r="F183" i="49"/>
  <c r="H17" i="24"/>
  <c r="I17" i="24" s="1"/>
  <c r="L17" i="24"/>
  <c r="M17" i="24" s="1"/>
  <c r="P17" i="24"/>
  <c r="Q17" i="24" s="1"/>
  <c r="T17" i="24"/>
  <c r="U17" i="24" s="1"/>
  <c r="B17" i="24"/>
  <c r="D17" i="24"/>
  <c r="E17" i="24" s="1"/>
  <c r="A18" i="24"/>
  <c r="I128" i="49"/>
  <c r="J16" i="24"/>
  <c r="R16" i="24"/>
  <c r="I183" i="49"/>
  <c r="I145" i="49"/>
  <c r="F16" i="24"/>
  <c r="I163" i="49"/>
  <c r="N16" i="24"/>
  <c r="V16" i="24"/>
  <c r="H184" i="49" l="1"/>
  <c r="H129" i="49"/>
  <c r="H146" i="49"/>
  <c r="H164" i="49"/>
  <c r="H211" i="49"/>
  <c r="F129" i="49"/>
  <c r="F146" i="49"/>
  <c r="F164" i="49"/>
  <c r="F184" i="49"/>
  <c r="H18" i="24"/>
  <c r="I18" i="24" s="1"/>
  <c r="L18" i="24"/>
  <c r="M18" i="24" s="1"/>
  <c r="P18" i="24"/>
  <c r="Q18" i="24" s="1"/>
  <c r="T18" i="24"/>
  <c r="U18" i="24" s="1"/>
  <c r="B18" i="24"/>
  <c r="D18" i="24"/>
  <c r="E18" i="24" s="1"/>
  <c r="A19" i="24"/>
  <c r="F17" i="24"/>
  <c r="I146" i="49"/>
  <c r="R17" i="24"/>
  <c r="J17" i="24"/>
  <c r="I164" i="49"/>
  <c r="I184" i="49"/>
  <c r="I129" i="49"/>
  <c r="V17" i="24"/>
  <c r="N17" i="24"/>
  <c r="H147" i="49" l="1"/>
  <c r="H212" i="49"/>
  <c r="H165" i="49"/>
  <c r="H185" i="49"/>
  <c r="H130" i="49"/>
  <c r="F147" i="49"/>
  <c r="F165" i="49"/>
  <c r="F185" i="49"/>
  <c r="F130" i="49"/>
  <c r="H19" i="24"/>
  <c r="I19" i="24" s="1"/>
  <c r="L19" i="24"/>
  <c r="M19" i="24" s="1"/>
  <c r="P19" i="24"/>
  <c r="Q19" i="24" s="1"/>
  <c r="T19" i="24"/>
  <c r="U19" i="24" s="1"/>
  <c r="B19" i="24"/>
  <c r="D19" i="24"/>
  <c r="E19" i="24" s="1"/>
  <c r="A20" i="24"/>
  <c r="F18" i="24"/>
  <c r="N18" i="24"/>
  <c r="R18" i="24"/>
  <c r="V18" i="24"/>
  <c r="I165" i="49"/>
  <c r="I147" i="49"/>
  <c r="J18" i="24"/>
  <c r="I130" i="49"/>
  <c r="I185" i="49"/>
  <c r="H131" i="49" l="1"/>
  <c r="H148" i="49"/>
  <c r="H186" i="49"/>
  <c r="H166" i="49"/>
  <c r="H213" i="49"/>
  <c r="F148" i="49"/>
  <c r="F166" i="49"/>
  <c r="F186" i="49"/>
  <c r="F131" i="49"/>
  <c r="H20" i="24"/>
  <c r="I20" i="24" s="1"/>
  <c r="L20" i="24"/>
  <c r="M20" i="24" s="1"/>
  <c r="P20" i="24"/>
  <c r="Q20" i="24" s="1"/>
  <c r="T20" i="24"/>
  <c r="U20" i="24" s="1"/>
  <c r="B20" i="24"/>
  <c r="D20" i="24"/>
  <c r="E20" i="24" s="1"/>
  <c r="A21" i="24"/>
  <c r="N19" i="24"/>
  <c r="I186" i="49"/>
  <c r="F20" i="24"/>
  <c r="F19" i="24"/>
  <c r="I166" i="49"/>
  <c r="R19" i="24"/>
  <c r="I131" i="49"/>
  <c r="V19" i="24"/>
  <c r="J19" i="24"/>
  <c r="I148" i="49"/>
  <c r="H187" i="49" l="1"/>
  <c r="H133" i="49"/>
  <c r="H214" i="49"/>
  <c r="H167" i="49"/>
  <c r="H149" i="49"/>
  <c r="H132" i="49"/>
  <c r="F149" i="49"/>
  <c r="F167" i="49"/>
  <c r="F187" i="49"/>
  <c r="F133" i="49"/>
  <c r="F132" i="49"/>
  <c r="H21" i="24"/>
  <c r="I21" i="24" s="1"/>
  <c r="L21" i="24"/>
  <c r="M21" i="24" s="1"/>
  <c r="P21" i="24"/>
  <c r="Q21" i="24" s="1"/>
  <c r="T21" i="24"/>
  <c r="U21" i="24" s="1"/>
  <c r="B21" i="24"/>
  <c r="A22" i="24"/>
  <c r="V20" i="24"/>
  <c r="R20" i="24"/>
  <c r="J20" i="24"/>
  <c r="I132" i="49"/>
  <c r="I133" i="49"/>
  <c r="J22" i="24"/>
  <c r="I167" i="49"/>
  <c r="J21" i="24"/>
  <c r="I187" i="49"/>
  <c r="I149" i="49"/>
  <c r="N20" i="24"/>
  <c r="H150" i="49" l="1"/>
  <c r="H151" i="49"/>
  <c r="H215" i="49"/>
  <c r="H168" i="49"/>
  <c r="H188" i="49"/>
  <c r="H152" i="49"/>
  <c r="F150" i="49"/>
  <c r="F168" i="49"/>
  <c r="F188" i="49"/>
  <c r="F152" i="49"/>
  <c r="L22" i="24"/>
  <c r="M22" i="24" s="1"/>
  <c r="P22" i="24"/>
  <c r="Q22" i="24" s="1"/>
  <c r="T22" i="24"/>
  <c r="U22" i="24" s="1"/>
  <c r="B22" i="24"/>
  <c r="A23" i="24"/>
  <c r="I168" i="49"/>
  <c r="I152" i="49"/>
  <c r="I150" i="49"/>
  <c r="V21" i="24"/>
  <c r="I188" i="49"/>
  <c r="R21" i="24"/>
  <c r="N21" i="24"/>
  <c r="H216" i="49" l="1"/>
  <c r="H169" i="49"/>
  <c r="H189" i="49"/>
  <c r="F169" i="49"/>
  <c r="F189" i="49"/>
  <c r="F151" i="49"/>
  <c r="L23" i="24"/>
  <c r="M23" i="24" s="1"/>
  <c r="P23" i="24"/>
  <c r="Q23" i="24" s="1"/>
  <c r="T23" i="24"/>
  <c r="U23" i="24" s="1"/>
  <c r="B23" i="24"/>
  <c r="A24" i="24"/>
  <c r="I151" i="49"/>
  <c r="N22" i="24"/>
  <c r="I169" i="49"/>
  <c r="V22" i="24"/>
  <c r="I189" i="49"/>
  <c r="R22" i="24"/>
  <c r="H217" i="49" l="1"/>
  <c r="H170" i="49"/>
  <c r="H190" i="49"/>
  <c r="F170" i="49"/>
  <c r="F190" i="49"/>
  <c r="L24" i="24"/>
  <c r="M24" i="24" s="1"/>
  <c r="P24" i="24"/>
  <c r="Q24" i="24" s="1"/>
  <c r="T24" i="24"/>
  <c r="U24" i="24" s="1"/>
  <c r="B24" i="24"/>
  <c r="A25" i="24"/>
  <c r="V23" i="24"/>
  <c r="I170" i="49"/>
  <c r="R23" i="24"/>
  <c r="I190" i="49"/>
  <c r="N23" i="24"/>
  <c r="H191" i="49" l="1"/>
  <c r="H218" i="49"/>
  <c r="H171" i="49"/>
  <c r="F171" i="49"/>
  <c r="F191" i="49"/>
  <c r="L25" i="24"/>
  <c r="M25" i="24" s="1"/>
  <c r="P25" i="24"/>
  <c r="Q25" i="24" s="1"/>
  <c r="T25" i="24"/>
  <c r="U25" i="24" s="1"/>
  <c r="B25" i="24"/>
  <c r="A26" i="24"/>
  <c r="I171" i="49"/>
  <c r="V24" i="24"/>
  <c r="N25" i="24"/>
  <c r="N24" i="24"/>
  <c r="I191" i="49"/>
  <c r="R24" i="24"/>
  <c r="H219" i="49" l="1"/>
  <c r="H173" i="49"/>
  <c r="H172" i="49"/>
  <c r="H192" i="49"/>
  <c r="F172" i="49"/>
  <c r="F192" i="49"/>
  <c r="P26" i="24"/>
  <c r="Q26" i="24" s="1"/>
  <c r="T26" i="24"/>
  <c r="U26" i="24" s="1"/>
  <c r="B26" i="24"/>
  <c r="A27" i="24"/>
  <c r="R25" i="24"/>
  <c r="I192" i="49"/>
  <c r="V25" i="24"/>
  <c r="I172" i="49"/>
  <c r="H220" i="49" l="1"/>
  <c r="H193" i="49"/>
  <c r="F173" i="49"/>
  <c r="F193" i="49"/>
  <c r="P27" i="24"/>
  <c r="Q27" i="24" s="1"/>
  <c r="T27" i="24"/>
  <c r="U27" i="24" s="1"/>
  <c r="B27" i="24"/>
  <c r="A28" i="24"/>
  <c r="R26" i="24"/>
  <c r="V26" i="24"/>
  <c r="I173" i="49"/>
  <c r="I193" i="49"/>
  <c r="H221" i="49" l="1"/>
  <c r="H194" i="49"/>
  <c r="F194" i="49"/>
  <c r="P28" i="24"/>
  <c r="Q28" i="24" s="1"/>
  <c r="T28" i="24"/>
  <c r="U28" i="24" s="1"/>
  <c r="B28" i="24"/>
  <c r="A29" i="24"/>
  <c r="R27" i="24"/>
  <c r="V27" i="24"/>
  <c r="I194" i="49"/>
  <c r="H195" i="49" l="1"/>
  <c r="H222" i="49"/>
  <c r="F195" i="49"/>
  <c r="P29" i="24"/>
  <c r="Q29" i="24" s="1"/>
  <c r="T29" i="24"/>
  <c r="U29" i="24" s="1"/>
  <c r="B29" i="24"/>
  <c r="A30" i="24"/>
  <c r="V28" i="24"/>
  <c r="I195" i="49"/>
  <c r="R28" i="24"/>
  <c r="H223" i="49" l="1"/>
  <c r="H196" i="49"/>
  <c r="F196" i="49"/>
  <c r="P30" i="24"/>
  <c r="Q30" i="24" s="1"/>
  <c r="T30" i="24"/>
  <c r="U30" i="24" s="1"/>
  <c r="B30" i="24"/>
  <c r="A31" i="24"/>
  <c r="R29" i="24"/>
  <c r="I196" i="49"/>
  <c r="V29" i="24"/>
  <c r="H197" i="49" l="1"/>
  <c r="H224" i="49"/>
  <c r="F197" i="49"/>
  <c r="P31" i="24"/>
  <c r="Q31" i="24" s="1"/>
  <c r="T31" i="24"/>
  <c r="U31" i="24" s="1"/>
  <c r="B31" i="24"/>
  <c r="A32" i="24"/>
  <c r="V30" i="24"/>
  <c r="I197" i="49"/>
  <c r="R30" i="24"/>
  <c r="H225" i="49" l="1"/>
  <c r="H198" i="49"/>
  <c r="F198" i="49"/>
  <c r="P32" i="24"/>
  <c r="Q32" i="24" s="1"/>
  <c r="T32" i="24"/>
  <c r="U32" i="24" s="1"/>
  <c r="B32" i="24"/>
  <c r="A33" i="24"/>
  <c r="I198" i="49"/>
  <c r="V31" i="24"/>
  <c r="R31" i="24"/>
  <c r="R32" i="24"/>
  <c r="H200" i="49" l="1"/>
  <c r="H199" i="49"/>
  <c r="H226" i="49"/>
  <c r="F199" i="49"/>
  <c r="T33" i="24"/>
  <c r="U33" i="24" s="1"/>
  <c r="B33" i="24"/>
  <c r="A34" i="24"/>
  <c r="V33" i="24"/>
  <c r="V32" i="24"/>
  <c r="I199" i="49"/>
  <c r="H227" i="49" l="1"/>
  <c r="H228" i="49"/>
  <c r="F200" i="49"/>
  <c r="B34" i="24"/>
  <c r="A35" i="24"/>
  <c r="I200" i="49"/>
  <c r="B35" i="24" l="1"/>
  <c r="A36" i="24"/>
  <c r="B36" i="24" l="1"/>
  <c r="A37" i="24"/>
  <c r="B37" i="24" l="1"/>
  <c r="A5" i="17" l="1"/>
  <c r="B5" i="17" l="1"/>
  <c r="T5" i="17"/>
  <c r="U5" i="17" s="1"/>
  <c r="P5" i="17"/>
  <c r="Q5" i="17" s="1"/>
  <c r="L5" i="17"/>
  <c r="M5" i="17" s="1"/>
  <c r="H5" i="17"/>
  <c r="I5" i="17" s="1"/>
  <c r="D5" i="17"/>
  <c r="E5" i="17" s="1"/>
  <c r="A6" i="17"/>
  <c r="R5" i="17"/>
  <c r="N5" i="17"/>
  <c r="V5" i="17"/>
  <c r="H41" i="49" l="1"/>
  <c r="H89" i="49"/>
  <c r="H62" i="49"/>
  <c r="B6" i="17"/>
  <c r="T6" i="17"/>
  <c r="U6" i="17" s="1"/>
  <c r="P6" i="17"/>
  <c r="Q6" i="17" s="1"/>
  <c r="L6" i="17"/>
  <c r="M6" i="17" s="1"/>
  <c r="H6" i="17"/>
  <c r="I6" i="17" s="1"/>
  <c r="D6" i="17"/>
  <c r="E6" i="17" s="1"/>
  <c r="A7" i="17"/>
  <c r="F5" i="17"/>
  <c r="J5" i="17"/>
  <c r="H22" i="49" l="1"/>
  <c r="H3" i="49"/>
  <c r="F41" i="49"/>
  <c r="F62" i="49"/>
  <c r="F3" i="49"/>
  <c r="F22" i="49"/>
  <c r="F89" i="49"/>
  <c r="B7" i="17"/>
  <c r="T7" i="17"/>
  <c r="U7" i="17" s="1"/>
  <c r="P7" i="17"/>
  <c r="Q7" i="17" s="1"/>
  <c r="L7" i="17"/>
  <c r="M7" i="17" s="1"/>
  <c r="H7" i="17"/>
  <c r="I7" i="17" s="1"/>
  <c r="D7" i="17"/>
  <c r="E7" i="17" s="1"/>
  <c r="A8" i="17"/>
  <c r="A9" i="17" s="1"/>
  <c r="I3" i="49"/>
  <c r="R6" i="17"/>
  <c r="V6" i="17"/>
  <c r="I62" i="49"/>
  <c r="I22" i="49"/>
  <c r="I41" i="49"/>
  <c r="J6" i="17"/>
  <c r="F6" i="17"/>
  <c r="I89" i="49"/>
  <c r="N6" i="17"/>
  <c r="H90" i="49" l="1"/>
  <c r="H4" i="49"/>
  <c r="H63" i="49"/>
  <c r="H42" i="49"/>
  <c r="H23" i="49"/>
  <c r="F4" i="49"/>
  <c r="F23" i="49"/>
  <c r="F42" i="49"/>
  <c r="F63" i="49"/>
  <c r="F90" i="49"/>
  <c r="B8" i="17"/>
  <c r="P8" i="17"/>
  <c r="Q8" i="17" s="1"/>
  <c r="T8" i="17"/>
  <c r="U8" i="17" s="1"/>
  <c r="L8" i="17"/>
  <c r="M8" i="17" s="1"/>
  <c r="H8" i="17"/>
  <c r="I8" i="17" s="1"/>
  <c r="D8" i="17"/>
  <c r="E8" i="17" s="1"/>
  <c r="R7" i="17"/>
  <c r="J7" i="17"/>
  <c r="I42" i="49"/>
  <c r="F7" i="17"/>
  <c r="V7" i="17"/>
  <c r="N7" i="17"/>
  <c r="I90" i="49"/>
  <c r="I4" i="49"/>
  <c r="I63" i="49"/>
  <c r="I23" i="49"/>
  <c r="H64" i="49" l="1"/>
  <c r="H43" i="49"/>
  <c r="H91" i="49"/>
  <c r="H5" i="49"/>
  <c r="H24" i="49"/>
  <c r="F5" i="49"/>
  <c r="F24" i="49"/>
  <c r="F43" i="49"/>
  <c r="F64" i="49"/>
  <c r="F91" i="49"/>
  <c r="B9" i="17"/>
  <c r="P9" i="17"/>
  <c r="Q9" i="17" s="1"/>
  <c r="T9" i="17"/>
  <c r="U9" i="17" s="1"/>
  <c r="L9" i="17"/>
  <c r="M9" i="17" s="1"/>
  <c r="H9" i="17"/>
  <c r="I9" i="17" s="1"/>
  <c r="D9" i="17"/>
  <c r="E9" i="17" s="1"/>
  <c r="A10" i="17"/>
  <c r="I64" i="49"/>
  <c r="I91" i="49"/>
  <c r="J8" i="17"/>
  <c r="I43" i="49"/>
  <c r="I24" i="49"/>
  <c r="V8" i="17"/>
  <c r="R8" i="17"/>
  <c r="I5" i="49"/>
  <c r="N8" i="17"/>
  <c r="F8" i="17"/>
  <c r="H92" i="49" l="1"/>
  <c r="H6" i="49"/>
  <c r="H44" i="49"/>
  <c r="H65" i="49"/>
  <c r="H25" i="49"/>
  <c r="F6" i="49"/>
  <c r="F25" i="49"/>
  <c r="F44" i="49"/>
  <c r="F65" i="49"/>
  <c r="F92" i="49"/>
  <c r="B10" i="17"/>
  <c r="P10" i="17"/>
  <c r="Q10" i="17" s="1"/>
  <c r="T10" i="17"/>
  <c r="U10" i="17" s="1"/>
  <c r="L10" i="17"/>
  <c r="M10" i="17" s="1"/>
  <c r="H10" i="17"/>
  <c r="I10" i="17" s="1"/>
  <c r="D10" i="17"/>
  <c r="E10" i="17" s="1"/>
  <c r="A11" i="17"/>
  <c r="I92" i="49"/>
  <c r="V9" i="17"/>
  <c r="R9" i="17"/>
  <c r="J9" i="17"/>
  <c r="I44" i="49"/>
  <c r="I6" i="49"/>
  <c r="F9" i="17"/>
  <c r="N9" i="17"/>
  <c r="I65" i="49"/>
  <c r="I25" i="49"/>
  <c r="H7" i="49" l="1"/>
  <c r="H26" i="49"/>
  <c r="H66" i="49"/>
  <c r="H93" i="49"/>
  <c r="H45" i="49"/>
  <c r="F7" i="49"/>
  <c r="F26" i="49"/>
  <c r="F45" i="49"/>
  <c r="F66" i="49"/>
  <c r="F93" i="49"/>
  <c r="B11" i="17"/>
  <c r="P11" i="17"/>
  <c r="Q11" i="17" s="1"/>
  <c r="T11" i="17"/>
  <c r="U11" i="17" s="1"/>
  <c r="L11" i="17"/>
  <c r="M11" i="17" s="1"/>
  <c r="H11" i="17"/>
  <c r="I11" i="17" s="1"/>
  <c r="D11" i="17"/>
  <c r="E11" i="17" s="1"/>
  <c r="A12" i="17"/>
  <c r="I26" i="49"/>
  <c r="I7" i="49"/>
  <c r="V10" i="17"/>
  <c r="N10" i="17"/>
  <c r="F10" i="17"/>
  <c r="R10" i="17"/>
  <c r="I45" i="49"/>
  <c r="J10" i="17"/>
  <c r="I66" i="49"/>
  <c r="I93" i="49"/>
  <c r="H67" i="49" l="1"/>
  <c r="H94" i="49"/>
  <c r="H27" i="49"/>
  <c r="H46" i="49"/>
  <c r="H8" i="49"/>
  <c r="F8" i="49"/>
  <c r="F27" i="49"/>
  <c r="F46" i="49"/>
  <c r="F67" i="49"/>
  <c r="F94" i="49"/>
  <c r="B12" i="17"/>
  <c r="P12" i="17"/>
  <c r="Q12" i="17" s="1"/>
  <c r="T12" i="17"/>
  <c r="U12" i="17" s="1"/>
  <c r="L12" i="17"/>
  <c r="M12" i="17" s="1"/>
  <c r="H12" i="17"/>
  <c r="I12" i="17" s="1"/>
  <c r="D12" i="17"/>
  <c r="E12" i="17" s="1"/>
  <c r="A13" i="17"/>
  <c r="V11" i="17"/>
  <c r="R11" i="17"/>
  <c r="F11" i="17"/>
  <c r="I27" i="49"/>
  <c r="I8" i="49"/>
  <c r="I67" i="49"/>
  <c r="I46" i="49"/>
  <c r="N11" i="17"/>
  <c r="I94" i="49"/>
  <c r="J11" i="17"/>
  <c r="H9" i="49" l="1"/>
  <c r="H28" i="49"/>
  <c r="H95" i="49"/>
  <c r="H47" i="49"/>
  <c r="H68" i="49"/>
  <c r="F9" i="49"/>
  <c r="F28" i="49"/>
  <c r="F47" i="49"/>
  <c r="F68" i="49"/>
  <c r="F95" i="49"/>
  <c r="B13" i="17"/>
  <c r="P13" i="17"/>
  <c r="Q13" i="17" s="1"/>
  <c r="T13" i="17"/>
  <c r="U13" i="17" s="1"/>
  <c r="L13" i="17"/>
  <c r="M13" i="17" s="1"/>
  <c r="H13" i="17"/>
  <c r="I13" i="17" s="1"/>
  <c r="D13" i="17"/>
  <c r="E13" i="17" s="1"/>
  <c r="A14" i="17"/>
  <c r="I9" i="49"/>
  <c r="I47" i="49"/>
  <c r="F12" i="17"/>
  <c r="I28" i="49"/>
  <c r="J12" i="17"/>
  <c r="N12" i="17"/>
  <c r="I68" i="49"/>
  <c r="I95" i="49"/>
  <c r="V12" i="17"/>
  <c r="R12" i="17"/>
  <c r="H69" i="49" l="1"/>
  <c r="H96" i="49"/>
  <c r="H48" i="49"/>
  <c r="H29" i="49"/>
  <c r="H10" i="49"/>
  <c r="F10" i="49"/>
  <c r="F29" i="49"/>
  <c r="F48" i="49"/>
  <c r="F69" i="49"/>
  <c r="F96" i="49"/>
  <c r="B14" i="17"/>
  <c r="P14" i="17"/>
  <c r="Q14" i="17" s="1"/>
  <c r="T14" i="17"/>
  <c r="U14" i="17" s="1"/>
  <c r="L14" i="17"/>
  <c r="M14" i="17" s="1"/>
  <c r="H14" i="17"/>
  <c r="I14" i="17" s="1"/>
  <c r="D14" i="17"/>
  <c r="E14" i="17" s="1"/>
  <c r="A15" i="17"/>
  <c r="F13" i="17"/>
  <c r="I69" i="49"/>
  <c r="I96" i="49"/>
  <c r="J13" i="17"/>
  <c r="R13" i="17"/>
  <c r="N13" i="17"/>
  <c r="I29" i="49"/>
  <c r="I48" i="49"/>
  <c r="V13" i="17"/>
  <c r="I10" i="49"/>
  <c r="H11" i="49" l="1"/>
  <c r="H49" i="49"/>
  <c r="H70" i="49"/>
  <c r="H97" i="49"/>
  <c r="H30" i="49"/>
  <c r="F11" i="49"/>
  <c r="F30" i="49"/>
  <c r="F49" i="49"/>
  <c r="F70" i="49"/>
  <c r="F97" i="49"/>
  <c r="B15" i="17"/>
  <c r="P15" i="17"/>
  <c r="Q15" i="17" s="1"/>
  <c r="T15" i="17"/>
  <c r="U15" i="17" s="1"/>
  <c r="L15" i="17"/>
  <c r="M15" i="17" s="1"/>
  <c r="H15" i="17"/>
  <c r="I15" i="17" s="1"/>
  <c r="D15" i="17"/>
  <c r="E15" i="17" s="1"/>
  <c r="A16" i="17"/>
  <c r="I97" i="49"/>
  <c r="R14" i="17"/>
  <c r="J14" i="17"/>
  <c r="F14" i="17"/>
  <c r="N14" i="17"/>
  <c r="I49" i="49"/>
  <c r="I70" i="49"/>
  <c r="I30" i="49"/>
  <c r="V14" i="17"/>
  <c r="I11" i="49"/>
  <c r="H50" i="49" l="1"/>
  <c r="H12" i="49"/>
  <c r="H71" i="49"/>
  <c r="H98" i="49"/>
  <c r="H31" i="49"/>
  <c r="F12" i="49"/>
  <c r="F31" i="49"/>
  <c r="F50" i="49"/>
  <c r="F71" i="49"/>
  <c r="F98" i="49"/>
  <c r="B16" i="17"/>
  <c r="P16" i="17"/>
  <c r="Q16" i="17" s="1"/>
  <c r="T16" i="17"/>
  <c r="U16" i="17" s="1"/>
  <c r="L16" i="17"/>
  <c r="M16" i="17" s="1"/>
  <c r="H16" i="17"/>
  <c r="I16" i="17" s="1"/>
  <c r="D16" i="17"/>
  <c r="E16" i="17" s="1"/>
  <c r="A17" i="17"/>
  <c r="V15" i="17"/>
  <c r="R15" i="17"/>
  <c r="N15" i="17"/>
  <c r="I71" i="49"/>
  <c r="I98" i="49"/>
  <c r="I12" i="49"/>
  <c r="I31" i="49"/>
  <c r="F15" i="17"/>
  <c r="J15" i="17"/>
  <c r="I50" i="49"/>
  <c r="H32" i="49" l="1"/>
  <c r="H72" i="49"/>
  <c r="H99" i="49"/>
  <c r="H13" i="49"/>
  <c r="H51" i="49"/>
  <c r="F13" i="49"/>
  <c r="F32" i="49"/>
  <c r="F51" i="49"/>
  <c r="F72" i="49"/>
  <c r="F99" i="49"/>
  <c r="B17" i="17"/>
  <c r="P17" i="17"/>
  <c r="Q17" i="17" s="1"/>
  <c r="T17" i="17"/>
  <c r="U17" i="17" s="1"/>
  <c r="L17" i="17"/>
  <c r="M17" i="17" s="1"/>
  <c r="H17" i="17"/>
  <c r="I17" i="17" s="1"/>
  <c r="D17" i="17"/>
  <c r="E17" i="17" s="1"/>
  <c r="A18" i="17"/>
  <c r="I13" i="49"/>
  <c r="I51" i="49"/>
  <c r="I72" i="49"/>
  <c r="R16" i="17"/>
  <c r="N16" i="17"/>
  <c r="F16" i="17"/>
  <c r="J16" i="17"/>
  <c r="I99" i="49"/>
  <c r="V16" i="17"/>
  <c r="I32" i="49"/>
  <c r="H52" i="49" l="1"/>
  <c r="H73" i="49"/>
  <c r="H33" i="49"/>
  <c r="H14" i="49"/>
  <c r="H100" i="49"/>
  <c r="F14" i="49"/>
  <c r="F33" i="49"/>
  <c r="F52" i="49"/>
  <c r="F73" i="49"/>
  <c r="F100" i="49"/>
  <c r="B18" i="17"/>
  <c r="P18" i="17"/>
  <c r="Q18" i="17" s="1"/>
  <c r="T18" i="17"/>
  <c r="U18" i="17" s="1"/>
  <c r="L18" i="17"/>
  <c r="M18" i="17" s="1"/>
  <c r="H18" i="17"/>
  <c r="I18" i="17" s="1"/>
  <c r="D18" i="17"/>
  <c r="E18" i="17" s="1"/>
  <c r="A19" i="17"/>
  <c r="N17" i="17"/>
  <c r="I52" i="49"/>
  <c r="I73" i="49"/>
  <c r="I33" i="49"/>
  <c r="I14" i="49"/>
  <c r="J17" i="17"/>
  <c r="F17" i="17"/>
  <c r="V17" i="17"/>
  <c r="I100" i="49"/>
  <c r="R17" i="17"/>
  <c r="H53" i="49" l="1"/>
  <c r="H15" i="49"/>
  <c r="H101" i="49"/>
  <c r="H74" i="49"/>
  <c r="H34" i="49"/>
  <c r="F15" i="49"/>
  <c r="F34" i="49"/>
  <c r="F53" i="49"/>
  <c r="F74" i="49"/>
  <c r="F101" i="49"/>
  <c r="B19" i="17"/>
  <c r="P19" i="17"/>
  <c r="Q19" i="17" s="1"/>
  <c r="T19" i="17"/>
  <c r="U19" i="17" s="1"/>
  <c r="L19" i="17"/>
  <c r="M19" i="17" s="1"/>
  <c r="H19" i="17"/>
  <c r="I19" i="17" s="1"/>
  <c r="D19" i="17"/>
  <c r="E19" i="17" s="1"/>
  <c r="A20" i="17"/>
  <c r="I101" i="49"/>
  <c r="I15" i="49"/>
  <c r="V18" i="17"/>
  <c r="I74" i="49"/>
  <c r="J18" i="17"/>
  <c r="F18" i="17"/>
  <c r="I34" i="49"/>
  <c r="R18" i="17"/>
  <c r="I53" i="49"/>
  <c r="N18" i="17"/>
  <c r="H16" i="49" l="1"/>
  <c r="H35" i="49"/>
  <c r="H75" i="49"/>
  <c r="H54" i="49"/>
  <c r="H102" i="49"/>
  <c r="F16" i="49"/>
  <c r="F35" i="49"/>
  <c r="F54" i="49"/>
  <c r="F75" i="49"/>
  <c r="F102" i="49"/>
  <c r="B20" i="17"/>
  <c r="P20" i="17"/>
  <c r="Q20" i="17" s="1"/>
  <c r="T20" i="17"/>
  <c r="U20" i="17" s="1"/>
  <c r="L20" i="17"/>
  <c r="M20" i="17" s="1"/>
  <c r="H20" i="17"/>
  <c r="I20" i="17" s="1"/>
  <c r="D20" i="17"/>
  <c r="E20" i="17" s="1"/>
  <c r="A21" i="17"/>
  <c r="I16" i="49"/>
  <c r="I75" i="49"/>
  <c r="V19" i="17"/>
  <c r="I35" i="49"/>
  <c r="F19" i="17"/>
  <c r="I102" i="49"/>
  <c r="R19" i="17"/>
  <c r="N19" i="17"/>
  <c r="I54" i="49"/>
  <c r="J19" i="17"/>
  <c r="H17" i="49" l="1"/>
  <c r="H55" i="49"/>
  <c r="H36" i="49"/>
  <c r="H76" i="49"/>
  <c r="H103" i="49"/>
  <c r="F17" i="49"/>
  <c r="F36" i="49"/>
  <c r="F55" i="49"/>
  <c r="F76" i="49"/>
  <c r="F103" i="49"/>
  <c r="B21" i="17"/>
  <c r="P21" i="17"/>
  <c r="Q21" i="17" s="1"/>
  <c r="T21" i="17"/>
  <c r="U21" i="17" s="1"/>
  <c r="L21" i="17"/>
  <c r="M21" i="17" s="1"/>
  <c r="H21" i="17"/>
  <c r="I21" i="17" s="1"/>
  <c r="D21" i="17"/>
  <c r="E21" i="17" s="1"/>
  <c r="A22" i="17"/>
  <c r="R20" i="17"/>
  <c r="I55" i="49"/>
  <c r="J20" i="17"/>
  <c r="V20" i="17"/>
  <c r="I103" i="49"/>
  <c r="F20" i="17"/>
  <c r="I76" i="49"/>
  <c r="I36" i="49"/>
  <c r="N20" i="17"/>
  <c r="I17" i="49"/>
  <c r="H18" i="49" l="1"/>
  <c r="H77" i="49"/>
  <c r="H37" i="49"/>
  <c r="H56" i="49"/>
  <c r="H104" i="49"/>
  <c r="F18" i="49"/>
  <c r="F37" i="49"/>
  <c r="F56" i="49"/>
  <c r="F77" i="49"/>
  <c r="F104" i="49"/>
  <c r="B22" i="17"/>
  <c r="P22" i="17"/>
  <c r="Q22" i="17" s="1"/>
  <c r="D22" i="17"/>
  <c r="E22" i="17" s="1"/>
  <c r="T22" i="17"/>
  <c r="U22" i="17" s="1"/>
  <c r="L22" i="17"/>
  <c r="M22" i="17" s="1"/>
  <c r="H22" i="17"/>
  <c r="I22" i="17" s="1"/>
  <c r="A23" i="17"/>
  <c r="I18" i="49"/>
  <c r="R21" i="17"/>
  <c r="I104" i="49"/>
  <c r="V21" i="17"/>
  <c r="J21" i="17"/>
  <c r="F22" i="17"/>
  <c r="I77" i="49"/>
  <c r="I56" i="49"/>
  <c r="F21" i="17"/>
  <c r="I37" i="49"/>
  <c r="N21" i="17"/>
  <c r="H105" i="49" l="1"/>
  <c r="H57" i="49"/>
  <c r="H20" i="49"/>
  <c r="H78" i="49"/>
  <c r="H19" i="49"/>
  <c r="H38" i="49"/>
  <c r="F19" i="49"/>
  <c r="F38" i="49"/>
  <c r="F57" i="49"/>
  <c r="F78" i="49"/>
  <c r="F105" i="49"/>
  <c r="B23" i="17"/>
  <c r="P23" i="17"/>
  <c r="Q23" i="17" s="1"/>
  <c r="T23" i="17"/>
  <c r="U23" i="17" s="1"/>
  <c r="L23" i="17"/>
  <c r="M23" i="17" s="1"/>
  <c r="H23" i="17"/>
  <c r="I23" i="17" s="1"/>
  <c r="A24" i="17"/>
  <c r="I105" i="49"/>
  <c r="I19" i="49"/>
  <c r="R22" i="17"/>
  <c r="V22" i="17"/>
  <c r="J23" i="17"/>
  <c r="I57" i="49"/>
  <c r="J22" i="17"/>
  <c r="N22" i="17"/>
  <c r="I38" i="49"/>
  <c r="I78" i="49"/>
  <c r="H58" i="49" l="1"/>
  <c r="H39" i="49"/>
  <c r="H79" i="49"/>
  <c r="H40" i="49"/>
  <c r="H106" i="49"/>
  <c r="F20" i="49"/>
  <c r="F39" i="49"/>
  <c r="F58" i="49"/>
  <c r="F79" i="49"/>
  <c r="F106" i="49"/>
  <c r="B24" i="17"/>
  <c r="P24" i="17"/>
  <c r="Q24" i="17" s="1"/>
  <c r="T24" i="17"/>
  <c r="U24" i="17" s="1"/>
  <c r="L24" i="17"/>
  <c r="M24" i="17" s="1"/>
  <c r="A25" i="17"/>
  <c r="I58" i="49"/>
  <c r="R23" i="17"/>
  <c r="N23" i="17"/>
  <c r="I106" i="49"/>
  <c r="I79" i="49"/>
  <c r="I39" i="49"/>
  <c r="V23" i="17"/>
  <c r="I20" i="49"/>
  <c r="H59" i="49" l="1"/>
  <c r="H80" i="49"/>
  <c r="H107" i="49"/>
  <c r="F40" i="49"/>
  <c r="F59" i="49"/>
  <c r="F80" i="49"/>
  <c r="F107" i="49"/>
  <c r="B25" i="17"/>
  <c r="P25" i="17"/>
  <c r="Q25" i="17" s="1"/>
  <c r="T25" i="17"/>
  <c r="U25" i="17" s="1"/>
  <c r="L25" i="17"/>
  <c r="M25" i="17" s="1"/>
  <c r="A26" i="17"/>
  <c r="I80" i="49"/>
  <c r="R24" i="17"/>
  <c r="I107" i="49"/>
  <c r="V24" i="17"/>
  <c r="N24" i="17"/>
  <c r="I40" i="49"/>
  <c r="I59" i="49"/>
  <c r="N25" i="17"/>
  <c r="H60" i="49" l="1"/>
  <c r="H108" i="49"/>
  <c r="H81" i="49"/>
  <c r="H61" i="49"/>
  <c r="F60" i="49"/>
  <c r="F81" i="49"/>
  <c r="F108" i="49"/>
  <c r="B26" i="17"/>
  <c r="P26" i="17"/>
  <c r="Q26" i="17" s="1"/>
  <c r="T26" i="17"/>
  <c r="U26" i="17" s="1"/>
  <c r="A27" i="17"/>
  <c r="I81" i="49"/>
  <c r="V25" i="17"/>
  <c r="R25" i="17"/>
  <c r="I60" i="49"/>
  <c r="I108" i="49"/>
  <c r="H109" i="49" l="1"/>
  <c r="H82" i="49"/>
  <c r="F61" i="49"/>
  <c r="F82" i="49"/>
  <c r="F109" i="49"/>
  <c r="B27" i="17"/>
  <c r="P27" i="17"/>
  <c r="Q27" i="17" s="1"/>
  <c r="T27" i="17"/>
  <c r="U27" i="17" s="1"/>
  <c r="A28" i="17"/>
  <c r="I109" i="49"/>
  <c r="R26" i="17"/>
  <c r="I61" i="49"/>
  <c r="I82" i="49"/>
  <c r="V26" i="17"/>
  <c r="H110" i="49" l="1"/>
  <c r="H83" i="49"/>
  <c r="F83" i="49"/>
  <c r="F110" i="49"/>
  <c r="B28" i="17"/>
  <c r="P28" i="17"/>
  <c r="Q28" i="17" s="1"/>
  <c r="T28" i="17"/>
  <c r="U28" i="17" s="1"/>
  <c r="A29" i="17"/>
  <c r="I110" i="49"/>
  <c r="R27" i="17"/>
  <c r="V27" i="17"/>
  <c r="I83" i="49"/>
  <c r="H84" i="49" l="1"/>
  <c r="H111" i="49"/>
  <c r="F84" i="49"/>
  <c r="F111" i="49"/>
  <c r="B29" i="17"/>
  <c r="P29" i="17"/>
  <c r="Q29" i="17" s="1"/>
  <c r="T29" i="17"/>
  <c r="U29" i="17" s="1"/>
  <c r="A30" i="17"/>
  <c r="I84" i="49"/>
  <c r="V28" i="17"/>
  <c r="I111" i="49"/>
  <c r="R28" i="17"/>
  <c r="H85" i="49" l="1"/>
  <c r="H112" i="49"/>
  <c r="F85" i="49"/>
  <c r="F112" i="49"/>
  <c r="B30" i="17"/>
  <c r="P30" i="17"/>
  <c r="Q30" i="17" s="1"/>
  <c r="T30" i="17"/>
  <c r="U30" i="17" s="1"/>
  <c r="A31" i="17"/>
  <c r="V29" i="17"/>
  <c r="R29" i="17"/>
  <c r="I85" i="49"/>
  <c r="I112" i="49"/>
  <c r="H113" i="49" l="1"/>
  <c r="H86" i="49"/>
  <c r="F86" i="49"/>
  <c r="F113" i="49"/>
  <c r="B31" i="17"/>
  <c r="P31" i="17"/>
  <c r="Q31" i="17" s="1"/>
  <c r="T31" i="17"/>
  <c r="U31" i="17" s="1"/>
  <c r="A32" i="17"/>
  <c r="I113" i="49"/>
  <c r="V30" i="17"/>
  <c r="R31" i="17"/>
  <c r="R30" i="17"/>
  <c r="I86" i="49"/>
  <c r="H87" i="49" l="1"/>
  <c r="H88" i="49"/>
  <c r="H114" i="49"/>
  <c r="F87" i="49"/>
  <c r="F114" i="49"/>
  <c r="B32" i="17"/>
  <c r="T32" i="17"/>
  <c r="U32" i="17" s="1"/>
  <c r="A33" i="17"/>
  <c r="V32" i="17"/>
  <c r="V31" i="17"/>
  <c r="I114" i="49"/>
  <c r="I87" i="49"/>
  <c r="H115" i="49" l="1"/>
  <c r="H116" i="49"/>
  <c r="F88" i="49"/>
  <c r="F115" i="49"/>
  <c r="B33" i="17"/>
  <c r="A34" i="17"/>
  <c r="I88" i="49"/>
  <c r="I115" i="49"/>
  <c r="F116" i="49" l="1"/>
  <c r="B34" i="17"/>
  <c r="A35" i="17"/>
  <c r="I116" i="49"/>
  <c r="B35" i="17" l="1"/>
  <c r="A36" i="17"/>
  <c r="B36" i="17" l="1"/>
  <c r="A37" i="17"/>
  <c r="A38" i="17" s="1"/>
  <c r="B38" i="17" l="1"/>
  <c r="A39" i="17"/>
  <c r="B37" i="17"/>
  <c r="F228" i="49" l="1"/>
  <c r="F227" i="49"/>
  <c r="F226" i="49"/>
  <c r="F225" i="49"/>
  <c r="F224" i="49"/>
  <c r="F223" i="49"/>
  <c r="F222" i="49"/>
  <c r="F221" i="49"/>
  <c r="F220" i="49"/>
  <c r="F219" i="49"/>
  <c r="F218" i="49"/>
  <c r="F217" i="49"/>
  <c r="F216" i="49"/>
  <c r="F215" i="49"/>
  <c r="F214" i="49"/>
  <c r="F213" i="49"/>
  <c r="F212" i="49"/>
  <c r="F211" i="49"/>
  <c r="F210" i="49"/>
  <c r="F209" i="49"/>
  <c r="F208" i="49"/>
  <c r="F207" i="49"/>
  <c r="F206" i="49"/>
  <c r="F205" i="49"/>
  <c r="F204" i="49"/>
  <c r="F203" i="49"/>
  <c r="F202" i="49"/>
  <c r="F201" i="49"/>
  <c r="B39" i="17"/>
  <c r="A40" i="17"/>
  <c r="I217" i="49"/>
  <c r="I225" i="49"/>
  <c r="I205" i="49"/>
  <c r="I203" i="49"/>
  <c r="I222" i="49"/>
  <c r="I208" i="49"/>
  <c r="I228" i="49"/>
  <c r="I221" i="49"/>
  <c r="I213" i="49"/>
  <c r="I224" i="49"/>
  <c r="I223" i="49"/>
  <c r="I206" i="49"/>
  <c r="I214" i="49"/>
  <c r="I211" i="49"/>
  <c r="I212" i="49"/>
  <c r="I227" i="49"/>
  <c r="I202" i="49"/>
  <c r="I207" i="49"/>
  <c r="I209" i="49"/>
  <c r="I220" i="49"/>
  <c r="I204" i="49"/>
  <c r="I216" i="49"/>
  <c r="I215" i="49"/>
  <c r="I226" i="49"/>
  <c r="I201" i="49"/>
  <c r="I218" i="49"/>
  <c r="I219" i="49"/>
  <c r="I210" i="49"/>
  <c r="B40" i="17" l="1"/>
  <c r="A41" i="17"/>
  <c r="B41" i="17" l="1"/>
</calcChain>
</file>

<file path=xl/sharedStrings.xml><?xml version="1.0" encoding="utf-8"?>
<sst xmlns="http://schemas.openxmlformats.org/spreadsheetml/2006/main" count="7647" uniqueCount="40">
  <si>
    <t>Neerslag</t>
  </si>
  <si>
    <t>Scenario</t>
  </si>
  <si>
    <t>Duur</t>
  </si>
  <si>
    <t>Seizoen</t>
  </si>
  <si>
    <t>k</t>
  </si>
  <si>
    <t>s</t>
  </si>
  <si>
    <t>mu</t>
  </si>
  <si>
    <t>winter</t>
  </si>
  <si>
    <t>ov.kans</t>
  </si>
  <si>
    <t>GEV</t>
  </si>
  <si>
    <t>ov.freq (1/j)</t>
  </si>
  <si>
    <t>zomer</t>
  </si>
  <si>
    <t>Bovengrens</t>
  </si>
  <si>
    <t>Klassefreq</t>
  </si>
  <si>
    <t>Repr. Volume</t>
  </si>
  <si>
    <t>Klassenvolumes</t>
  </si>
  <si>
    <t>Huidig</t>
  </si>
  <si>
    <t>Herh</t>
  </si>
  <si>
    <t>KL2030</t>
  </si>
  <si>
    <t>GL2050</t>
  </si>
  <si>
    <t>GH2050</t>
  </si>
  <si>
    <t>WL2050</t>
  </si>
  <si>
    <t>WH2050</t>
  </si>
  <si>
    <t>GL2085</t>
  </si>
  <si>
    <t>GH2085</t>
  </si>
  <si>
    <t>WL2085</t>
  </si>
  <si>
    <t>WH2085</t>
  </si>
  <si>
    <t>freqsom</t>
  </si>
  <si>
    <t>VOLUME</t>
  </si>
  <si>
    <t>DUUR</t>
  </si>
  <si>
    <t>SEIZOEN</t>
  </si>
  <si>
    <t>HUIDIG</t>
  </si>
  <si>
    <t>USE</t>
  </si>
  <si>
    <t>TRUE</t>
  </si>
  <si>
    <t>KANS</t>
  </si>
  <si>
    <t>KLIMAATSCENARIO</t>
  </si>
  <si>
    <t>KANSCORR</t>
  </si>
  <si>
    <t>disp</t>
  </si>
  <si>
    <t>STOWA 2019</t>
  </si>
  <si>
    <t>STOWA 2015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</si>
</sst>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0"/>
    <numFmt numFmtId="166" formatCode="0.0000000"/>
    <numFmt numFmtId="167" formatCode="0.000000000"/>
  </numFmts>
  <fonts count="7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Verdana"/>
      <family val="2"/>
    </font>
    <font>
      <sz val="10"/>
      <name val="Verdana"/>
    </font>
  </fonts>
  <fills count="3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79998168889431442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36">
    <xf numFmtId="0" fontId="0" fillId="0" borderId="0"/>
    <xf numFmtId="0" fontId="1" fillId="0" borderId="0"/>
    <xf numFmtId="0" fontId="2" fillId="0" borderId="0"/>
    <xf numFmtId="0" fontId="4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4" fillId="8" borderId="0" applyNumberFormat="0" applyBorder="0" applyAlignment="0" applyProtection="0"/>
    <xf numFmtId="0" fontId="4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4" fillId="24" borderId="0" applyNumberFormat="0" applyBorder="0" applyAlignment="0" applyProtection="0"/>
    <xf numFmtId="0" fontId="4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7" borderId="0" applyNumberFormat="0" applyBorder="0" applyAlignment="0" applyProtection="0"/>
    <xf numFmtId="0" fontId="4" fillId="28" borderId="0" applyNumberFormat="0" applyBorder="0" applyAlignment="0" applyProtection="0"/>
    <xf numFmtId="0" fontId="5" fillId="0" borderId="0"/>
    <xf numFmtId="0" fontId="3" fillId="4" borderId="16" applyNumberFormat="0" applyFont="0" applyAlignment="0" applyProtection="0"/>
    <xf numFmtId="0" fontId="3" fillId="0" borderId="0"/>
    <xf numFmtId="0" fontId="5" fillId="0" borderId="0"/>
    <xf numFmtId="0" fontId="6" fillId="0" borderId="0"/>
    <xf numFmtId="0" fontId="1" fillId="0" borderId="0"/>
    <xf numFmtId="0" fontId="2" fillId="0" borderId="0"/>
    <xf numFmtId="0" fontId="3" fillId="0" borderId="0"/>
    <xf numFmtId="0" fontId="1" fillId="0" borderId="0"/>
  </cellStyleXfs>
  <cellXfs count="69">
    <xf numFmtId="0" fontId="0" fillId="0" borderId="0" xfId="0"/>
    <xf numFmtId="0" fontId="0" fillId="0" borderId="7" xfId="0" applyBorder="1"/>
    <xf numFmtId="164" fontId="0" fillId="0" borderId="7" xfId="0" applyNumberFormat="1" applyBorder="1" applyAlignment="1">
      <alignment horizontal="left"/>
    </xf>
    <xf numFmtId="164" fontId="0" fillId="0" borderId="0" xfId="0" applyNumberFormat="1" applyAlignment="1">
      <alignment horizontal="left"/>
    </xf>
    <xf numFmtId="164" fontId="0" fillId="0" borderId="11" xfId="0" applyNumberFormat="1" applyBorder="1" applyAlignment="1">
      <alignment horizontal="left"/>
    </xf>
    <xf numFmtId="164" fontId="0" fillId="0" borderId="7" xfId="0" applyNumberFormat="1" applyBorder="1"/>
    <xf numFmtId="164" fontId="0" fillId="0" borderId="0" xfId="0" applyNumberFormat="1"/>
    <xf numFmtId="164" fontId="0" fillId="0" borderId="11" xfId="0" applyNumberFormat="1" applyBorder="1"/>
    <xf numFmtId="164" fontId="0" fillId="0" borderId="4" xfId="0" applyNumberFormat="1" applyBorder="1"/>
    <xf numFmtId="164" fontId="0" fillId="0" borderId="9" xfId="0" applyNumberFormat="1" applyBorder="1" applyAlignment="1">
      <alignment horizontal="left"/>
    </xf>
    <xf numFmtId="164" fontId="0" fillId="0" borderId="10" xfId="0" applyNumberFormat="1" applyBorder="1"/>
    <xf numFmtId="164" fontId="0" fillId="0" borderId="12" xfId="0" applyNumberFormat="1" applyBorder="1" applyAlignment="1">
      <alignment horizontal="left"/>
    </xf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2" xfId="0" applyBorder="1"/>
    <xf numFmtId="0" fontId="0" fillId="0" borderId="11" xfId="0" applyBorder="1"/>
    <xf numFmtId="0" fontId="0" fillId="0" borderId="10" xfId="0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0" xfId="0" applyAlignment="1">
      <alignment horizontal="left"/>
    </xf>
    <xf numFmtId="0" fontId="0" fillId="0" borderId="6" xfId="0" applyBorder="1" applyAlignment="1">
      <alignment horizontal="left"/>
    </xf>
    <xf numFmtId="2" fontId="0" fillId="0" borderId="0" xfId="0" applyNumberFormat="1"/>
    <xf numFmtId="165" fontId="0" fillId="0" borderId="0" xfId="0" applyNumberFormat="1"/>
    <xf numFmtId="0" fontId="0" fillId="0" borderId="4" xfId="0" applyBorder="1"/>
    <xf numFmtId="0" fontId="0" fillId="0" borderId="2" xfId="0" applyBorder="1"/>
    <xf numFmtId="0" fontId="0" fillId="0" borderId="5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1" xfId="0" applyBorder="1"/>
    <xf numFmtId="166" fontId="0" fillId="0" borderId="0" xfId="0" applyNumberFormat="1" applyAlignment="1">
      <alignment horizontal="left"/>
    </xf>
    <xf numFmtId="0" fontId="0" fillId="0" borderId="1" xfId="0" applyBorder="1" applyAlignment="1">
      <alignment horizontal="center"/>
    </xf>
    <xf numFmtId="0" fontId="0" fillId="29" borderId="1" xfId="0" applyFill="1" applyBorder="1" applyAlignment="1">
      <alignment horizontal="center"/>
    </xf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6" xfId="0" applyBorder="1"/>
    <xf numFmtId="164" fontId="0" fillId="0" borderId="6" xfId="0" applyNumberFormat="1" applyBorder="1"/>
    <xf numFmtId="0" fontId="0" fillId="0" borderId="13" xfId="0" applyBorder="1" applyAlignment="1">
      <alignment horizontal="center"/>
    </xf>
    <xf numFmtId="164" fontId="0" fillId="0" borderId="8" xfId="0" applyNumberFormat="1" applyBorder="1" applyAlignment="1">
      <alignment horizontal="left"/>
    </xf>
    <xf numFmtId="0" fontId="0" fillId="0" borderId="7" xfId="0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12" xfId="0" applyBorder="1" applyAlignment="1">
      <alignment horizontal="left"/>
    </xf>
    <xf numFmtId="167" fontId="0" fillId="0" borderId="0" xfId="0" applyNumberFormat="1" applyAlignment="1">
      <alignment horizontal="left"/>
    </xf>
    <xf numFmtId="165" fontId="0" fillId="0" borderId="0" xfId="0" applyNumberFormat="1" applyAlignment="1">
      <alignment horizontal="left"/>
    </xf>
    <xf numFmtId="0" fontId="0" fillId="0" borderId="5" xfId="0" applyBorder="1"/>
    <xf numFmtId="0" fontId="0" fillId="0" borderId="3" xfId="0" applyBorder="1"/>
    <xf numFmtId="0" fontId="0" fillId="0" borderId="2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29" borderId="0" xfId="0" applyFill="1" applyAlignment="1">
      <alignment horizontal="center" vertical="center"/>
    </xf>
    <xf numFmtId="0" fontId="0" fillId="29" borderId="9" xfId="0" applyFill="1" applyBorder="1" applyAlignment="1">
      <alignment horizontal="center" vertical="center"/>
    </xf>
    <xf numFmtId="0" fontId="0" fillId="29" borderId="11" xfId="0" applyFill="1" applyBorder="1" applyAlignment="1">
      <alignment horizontal="center" vertical="center"/>
    </xf>
    <xf numFmtId="0" fontId="0" fillId="29" borderId="12" xfId="0" applyFill="1" applyBorder="1" applyAlignment="1">
      <alignment horizontal="center" vertical="center"/>
    </xf>
    <xf numFmtId="0" fontId="0" fillId="3" borderId="2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2" borderId="12" xfId="0" applyFill="1" applyBorder="1" applyAlignment="1">
      <alignment horizontal="center"/>
    </xf>
  </cellXfs>
  <cellStyles count="36">
    <cellStyle name="20% - Accent1" xfId="4" builtinId="30" customBuiltin="1"/>
    <cellStyle name="20% - Accent2" xfId="8" builtinId="34" customBuiltin="1"/>
    <cellStyle name="20% - Accent3" xfId="12" builtinId="38" customBuiltin="1"/>
    <cellStyle name="20% - Accent4" xfId="16" builtinId="42" customBuiltin="1"/>
    <cellStyle name="20% - Accent5" xfId="20" builtinId="46" customBuiltin="1"/>
    <cellStyle name="20% - Accent6" xfId="24" builtinId="50" customBuiltin="1"/>
    <cellStyle name="40% - Accent1" xfId="5" builtinId="31" customBuiltin="1"/>
    <cellStyle name="40% - Accent2" xfId="9" builtinId="35" customBuiltin="1"/>
    <cellStyle name="40% - Accent3" xfId="13" builtinId="39" customBuiltin="1"/>
    <cellStyle name="40% - Accent4" xfId="17" builtinId="43" customBuiltin="1"/>
    <cellStyle name="40% - Accent5" xfId="21" builtinId="47" customBuiltin="1"/>
    <cellStyle name="40% - Accent6" xfId="25" builtinId="51" customBuiltin="1"/>
    <cellStyle name="60% - Accent1" xfId="6" builtinId="32" customBuiltin="1"/>
    <cellStyle name="60% - Accent2" xfId="10" builtinId="36" customBuiltin="1"/>
    <cellStyle name="60% - Accent3" xfId="14" builtinId="40" customBuiltin="1"/>
    <cellStyle name="60% - Accent4" xfId="18" builtinId="44" customBuiltin="1"/>
    <cellStyle name="60% - Accent5" xfId="22" builtinId="48" customBuiltin="1"/>
    <cellStyle name="60% - Accent6" xfId="26" builtinId="52" customBuiltin="1"/>
    <cellStyle name="Accent1" xfId="3" builtinId="29" customBuiltin="1"/>
    <cellStyle name="Accent2" xfId="7" builtinId="33" customBuiltin="1"/>
    <cellStyle name="Accent3" xfId="11" builtinId="37" customBuiltin="1"/>
    <cellStyle name="Accent4" xfId="15" builtinId="41" customBuiltin="1"/>
    <cellStyle name="Accent5" xfId="19" builtinId="45" customBuiltin="1"/>
    <cellStyle name="Accent6" xfId="23" builtinId="49" customBuiltin="1"/>
    <cellStyle name="Notitie 2" xfId="28" xr:uid="{00000000-0005-0000-0000-000019000000}"/>
    <cellStyle name="Standaard" xfId="0" builtinId="0"/>
    <cellStyle name="Standaard 2" xfId="29" xr:uid="{00000000-0005-0000-0000-00001B000000}"/>
    <cellStyle name="Standaard 2 2" xfId="2" xr:uid="{00000000-0005-0000-0000-00001C000000}"/>
    <cellStyle name="Standaard 2 2 2" xfId="34" xr:uid="{00000000-0005-0000-0000-00001D000000}"/>
    <cellStyle name="Standaard 2 3" xfId="32" xr:uid="{00000000-0005-0000-0000-00001E000000}"/>
    <cellStyle name="Standaard 3" xfId="27" xr:uid="{00000000-0005-0000-0000-00001F000000}"/>
    <cellStyle name="Standaard 3 2" xfId="33" xr:uid="{00000000-0005-0000-0000-000020000000}"/>
    <cellStyle name="Standaard 4" xfId="30" xr:uid="{00000000-0005-0000-0000-000021000000}"/>
    <cellStyle name="Standaard 4 2" xfId="35" xr:uid="{00000000-0005-0000-0000-000022000000}"/>
    <cellStyle name="Standaard 5" xfId="1" xr:uid="{00000000-0005-0000-0000-000023000000}"/>
    <cellStyle name="Standaard 6" xfId="31" xr:uid="{00000000-0005-0000-0000-000024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2"/>
  <dimension ref="A1:J128"/>
  <sheetViews>
    <sheetView showGridLines="0" zoomScale="75" zoomScaleNormal="75" workbookViewId="0">
      <selection activeCell="E14" sqref="E14"/>
    </sheetView>
  </sheetViews>
  <sheetFormatPr defaultColWidth="9.140625" defaultRowHeight="15" x14ac:dyDescent="0.25"/>
  <cols>
    <col min="1" max="1" width="14.85546875" bestFit="1" customWidth="1"/>
    <col min="2" max="2" width="5.7109375" bestFit="1" customWidth="1"/>
    <col min="3" max="3" width="9.140625" bestFit="1" customWidth="1"/>
    <col min="5" max="5" width="9.140625" customWidth="1"/>
    <col min="6" max="6" width="7.85546875" customWidth="1"/>
  </cols>
  <sheetData>
    <row r="1" spans="1:10" x14ac:dyDescent="0.25">
      <c r="A1" s="47" t="s">
        <v>0</v>
      </c>
      <c r="B1" s="48"/>
      <c r="C1" s="49"/>
      <c r="D1" s="47" t="s">
        <v>39</v>
      </c>
      <c r="E1" s="48"/>
      <c r="F1" s="49"/>
      <c r="G1" s="47" t="s">
        <v>38</v>
      </c>
      <c r="H1" s="48"/>
      <c r="I1" s="48"/>
      <c r="J1" s="49"/>
    </row>
    <row r="2" spans="1:10" x14ac:dyDescent="0.25">
      <c r="A2" s="14" t="s">
        <v>1</v>
      </c>
      <c r="B2" s="16" t="s">
        <v>2</v>
      </c>
      <c r="C2" s="15" t="s">
        <v>3</v>
      </c>
      <c r="D2" s="14" t="s">
        <v>6</v>
      </c>
      <c r="E2" s="16" t="s">
        <v>5</v>
      </c>
      <c r="F2" s="15" t="s">
        <v>4</v>
      </c>
      <c r="G2" s="24" t="s">
        <v>6</v>
      </c>
      <c r="H2" s="45" t="s">
        <v>5</v>
      </c>
      <c r="I2" s="45" t="s">
        <v>4</v>
      </c>
      <c r="J2" s="46" t="s">
        <v>37</v>
      </c>
    </row>
    <row r="3" spans="1:10" x14ac:dyDescent="0.25">
      <c r="A3" s="18" t="s">
        <v>16</v>
      </c>
      <c r="B3">
        <v>24</v>
      </c>
      <c r="C3" s="13" t="s">
        <v>11</v>
      </c>
      <c r="D3" s="38">
        <v>35.291454678320598</v>
      </c>
      <c r="E3" s="38">
        <v>8.9956918632821203</v>
      </c>
      <c r="F3" s="39">
        <v>7.2999999999999995E-2</v>
      </c>
      <c r="G3" s="34">
        <f>1.02*(0.239-0.025*LN(B3))^(-1/0.512)</f>
        <v>36.766263652842042</v>
      </c>
      <c r="H3" s="1">
        <f>J3*G3</f>
        <v>9.6664211167466938</v>
      </c>
      <c r="I3" s="1">
        <f>-(0.118-0.266*LOG10(B3*60) + 0.0586*(LOG10(B3*60))^2)</f>
        <v>0.13757456009295332</v>
      </c>
      <c r="J3" s="12">
        <f>0.478 - 0.0681 *LOG10(B3*60)</f>
        <v>0.2629155142883135</v>
      </c>
    </row>
    <row r="4" spans="1:10" x14ac:dyDescent="0.25">
      <c r="A4" s="18" t="s">
        <v>16</v>
      </c>
      <c r="B4">
        <v>48</v>
      </c>
      <c r="C4" s="13" t="s">
        <v>11</v>
      </c>
      <c r="D4" s="19">
        <v>43.89406800573645</v>
      </c>
      <c r="E4" s="19">
        <v>10.753363919143915</v>
      </c>
      <c r="F4" s="40">
        <v>5.5999999999999994E-2</v>
      </c>
      <c r="G4" s="23">
        <f>1.02*(0.239-0.025*LN(B4))^(-1/0.512)</f>
        <v>46.022902594950573</v>
      </c>
      <c r="H4">
        <f>J4*G4</f>
        <v>11.156659033910604</v>
      </c>
      <c r="I4">
        <f t="shared" ref="I4:I7" si="0">-(0.118-0.266*LOG10(B4*60) + 0.0586*(LOG10(B4*60))^2)</f>
        <v>0.10090897362016649</v>
      </c>
      <c r="J4" s="13">
        <f>0.478 - 0.0681 *LOG10(B4*60)</f>
        <v>0.24241537158359636</v>
      </c>
    </row>
    <row r="5" spans="1:10" x14ac:dyDescent="0.25">
      <c r="A5" s="18" t="s">
        <v>16</v>
      </c>
      <c r="B5">
        <v>96</v>
      </c>
      <c r="C5" s="13" t="s">
        <v>11</v>
      </c>
      <c r="D5" s="19">
        <v>56.096739389123357</v>
      </c>
      <c r="E5" s="19">
        <v>13.623377115282929</v>
      </c>
      <c r="F5" s="40">
        <v>2.1999999999999992E-2</v>
      </c>
      <c r="G5" s="23">
        <f>1.02*(0.239-0.025*LN(B5))^(-1/0.512)</f>
        <v>59.317901437066197</v>
      </c>
      <c r="H5">
        <f>J5*G5</f>
        <v>13.163545674021346</v>
      </c>
      <c r="I5">
        <f t="shared" si="0"/>
        <v>5.3622833515855395E-2</v>
      </c>
      <c r="J5" s="13">
        <f>0.478 - 0.0681 *LOG10(B5*60)</f>
        <v>0.22191522887887927</v>
      </c>
    </row>
    <row r="6" spans="1:10" x14ac:dyDescent="0.25">
      <c r="A6" s="18" t="s">
        <v>16</v>
      </c>
      <c r="B6">
        <v>192</v>
      </c>
      <c r="C6" s="13" t="s">
        <v>11</v>
      </c>
      <c r="D6" s="19">
        <v>74.237884416257188</v>
      </c>
      <c r="E6" s="19">
        <v>18.448783672355781</v>
      </c>
      <c r="F6" s="40">
        <v>-4.6000000000000013E-2</v>
      </c>
      <c r="G6" s="23">
        <f>1.02*(0.239-0.025*LN(B6))^(-1/0.512)</f>
        <v>79.412083055058815</v>
      </c>
      <c r="H6">
        <f>J6*G6</f>
        <v>15.994791551804393</v>
      </c>
      <c r="I6">
        <f t="shared" si="0"/>
        <v>-4.2838602199801734E-3</v>
      </c>
      <c r="J6" s="13">
        <f>0.478 - 0.0681 *LOG10(B6*60)</f>
        <v>0.20141508617416215</v>
      </c>
    </row>
    <row r="7" spans="1:10" x14ac:dyDescent="0.25">
      <c r="A7" s="18" t="s">
        <v>16</v>
      </c>
      <c r="B7">
        <v>216</v>
      </c>
      <c r="C7" s="13" t="s">
        <v>11</v>
      </c>
      <c r="D7" s="19">
        <v>78.187529452611244</v>
      </c>
      <c r="E7" s="19">
        <v>19.56591533204282</v>
      </c>
      <c r="F7" s="40">
        <v>-6.3E-2</v>
      </c>
      <c r="G7" s="14">
        <f>1.02*(0.239-0.025*LN(B7))^(-1/0.512)</f>
        <v>83.836101164087992</v>
      </c>
      <c r="H7" s="16">
        <f>J7*G7</f>
        <v>16.593813590490498</v>
      </c>
      <c r="I7" s="16">
        <f t="shared" si="0"/>
        <v>-1.5179335652528825E-2</v>
      </c>
      <c r="J7" s="15">
        <f>0.478 - 0.0681 *LOG10(B7*60)</f>
        <v>0.19793159939549548</v>
      </c>
    </row>
    <row r="8" spans="1:10" x14ac:dyDescent="0.25">
      <c r="A8" s="20" t="s">
        <v>16</v>
      </c>
      <c r="B8" s="1">
        <v>24</v>
      </c>
      <c r="C8" s="12" t="s">
        <v>7</v>
      </c>
      <c r="D8" s="20">
        <v>25.651552638533918</v>
      </c>
      <c r="E8" s="38">
        <v>6.0024633174169368</v>
      </c>
      <c r="F8" s="39">
        <v>7.2999999999999995E-2</v>
      </c>
      <c r="G8" s="34">
        <f>(0.67-0.0426*LN(B8))^(-1/0.193)</f>
        <v>25.651552638533918</v>
      </c>
      <c r="H8" s="1">
        <f t="shared" ref="H8:H12" si="1">J8*G8</f>
        <v>6.0024633174169368</v>
      </c>
      <c r="I8" s="1">
        <f>-(-0.09 + 0.017*B8/24)</f>
        <v>7.2999999999999995E-2</v>
      </c>
      <c r="J8" s="12">
        <v>0.23400000000000001</v>
      </c>
    </row>
    <row r="9" spans="1:10" x14ac:dyDescent="0.25">
      <c r="A9" s="18" t="s">
        <v>16</v>
      </c>
      <c r="B9">
        <v>48</v>
      </c>
      <c r="C9" s="13" t="s">
        <v>7</v>
      </c>
      <c r="D9" s="18">
        <v>34.432096660530057</v>
      </c>
      <c r="E9" s="19">
        <v>8.0571106185640335</v>
      </c>
      <c r="F9" s="40">
        <v>5.5999999999999994E-2</v>
      </c>
      <c r="G9" s="23">
        <f t="shared" ref="G9:G12" si="2">(0.67-0.0426*LN(B9))^(-1/0.193)</f>
        <v>34.432096660530057</v>
      </c>
      <c r="H9">
        <f t="shared" si="1"/>
        <v>8.0571106185640335</v>
      </c>
      <c r="I9">
        <f t="shared" ref="I9:I12" si="3">-(-0.09 + 0.017*B9/24)</f>
        <v>5.5999999999999994E-2</v>
      </c>
      <c r="J9" s="13">
        <v>0.23400000000000001</v>
      </c>
    </row>
    <row r="10" spans="1:10" x14ac:dyDescent="0.25">
      <c r="A10" s="18" t="s">
        <v>16</v>
      </c>
      <c r="B10">
        <v>96</v>
      </c>
      <c r="C10" s="13" t="s">
        <v>7</v>
      </c>
      <c r="D10" s="18">
        <v>47.045397002483348</v>
      </c>
      <c r="E10" s="19">
        <v>11.008622898581104</v>
      </c>
      <c r="F10" s="40">
        <v>2.1999999999999992E-2</v>
      </c>
      <c r="G10" s="23">
        <f t="shared" si="2"/>
        <v>47.045397002483348</v>
      </c>
      <c r="H10">
        <f t="shared" si="1"/>
        <v>11.008622898581104</v>
      </c>
      <c r="I10">
        <f t="shared" si="3"/>
        <v>2.1999999999999992E-2</v>
      </c>
      <c r="J10" s="13">
        <v>0.23400000000000001</v>
      </c>
    </row>
    <row r="11" spans="1:10" x14ac:dyDescent="0.25">
      <c r="A11" s="18" t="s">
        <v>16</v>
      </c>
      <c r="B11">
        <v>192</v>
      </c>
      <c r="C11" s="13" t="s">
        <v>7</v>
      </c>
      <c r="D11" s="18">
        <v>65.578723327150115</v>
      </c>
      <c r="E11" s="19">
        <v>15.345421258553127</v>
      </c>
      <c r="F11" s="40">
        <v>-4.6000000000000013E-2</v>
      </c>
      <c r="G11" s="23">
        <f t="shared" si="2"/>
        <v>65.578723327150115</v>
      </c>
      <c r="H11">
        <f t="shared" si="1"/>
        <v>15.345421258553127</v>
      </c>
      <c r="I11">
        <f t="shared" si="3"/>
        <v>-4.6000000000000013E-2</v>
      </c>
      <c r="J11" s="13">
        <v>0.23400000000000001</v>
      </c>
    </row>
    <row r="12" spans="1:10" x14ac:dyDescent="0.25">
      <c r="A12" s="17" t="s">
        <v>16</v>
      </c>
      <c r="B12" s="16">
        <v>216</v>
      </c>
      <c r="C12" s="15" t="s">
        <v>7</v>
      </c>
      <c r="D12" s="17">
        <v>69.537657301856513</v>
      </c>
      <c r="E12" s="41">
        <v>16.271811808634425</v>
      </c>
      <c r="F12" s="42">
        <v>-6.3E-2</v>
      </c>
      <c r="G12" s="14">
        <f t="shared" si="2"/>
        <v>69.537657301856513</v>
      </c>
      <c r="H12" s="16">
        <f t="shared" si="1"/>
        <v>16.271811808634425</v>
      </c>
      <c r="I12" s="16">
        <f t="shared" si="3"/>
        <v>-6.3E-2</v>
      </c>
      <c r="J12" s="15">
        <v>0.23400000000000001</v>
      </c>
    </row>
    <row r="13" spans="1:10" x14ac:dyDescent="0.25">
      <c r="A13" s="18" t="s">
        <v>18</v>
      </c>
      <c r="B13">
        <v>24</v>
      </c>
      <c r="C13" s="13" t="s">
        <v>11</v>
      </c>
      <c r="D13" s="38">
        <v>35.813982613132119</v>
      </c>
      <c r="E13" s="38">
        <v>9.281135740971548</v>
      </c>
      <c r="F13" s="39">
        <v>7.2999999999999995E-2</v>
      </c>
    </row>
    <row r="14" spans="1:10" x14ac:dyDescent="0.25">
      <c r="A14" s="18" t="s">
        <v>18</v>
      </c>
      <c r="B14">
        <v>48</v>
      </c>
      <c r="C14" s="13" t="s">
        <v>11</v>
      </c>
      <c r="D14" s="19">
        <v>44.474503137984357</v>
      </c>
      <c r="E14" s="19">
        <v>11.05350117509108</v>
      </c>
      <c r="F14" s="40">
        <v>5.5999999999999994E-2</v>
      </c>
    </row>
    <row r="15" spans="1:10" x14ac:dyDescent="0.25">
      <c r="A15" s="18" t="s">
        <v>18</v>
      </c>
      <c r="B15">
        <v>96</v>
      </c>
      <c r="C15" s="13" t="s">
        <v>11</v>
      </c>
      <c r="D15" s="19">
        <v>56.706358807574887</v>
      </c>
      <c r="E15" s="19">
        <v>13.922213270616217</v>
      </c>
      <c r="F15" s="40">
        <v>2.1999999999999992E-2</v>
      </c>
    </row>
    <row r="16" spans="1:10" x14ac:dyDescent="0.25">
      <c r="A16" s="18" t="s">
        <v>18</v>
      </c>
      <c r="B16">
        <v>192</v>
      </c>
      <c r="C16" s="13" t="s">
        <v>11</v>
      </c>
      <c r="D16" s="19">
        <v>74.782670777565471</v>
      </c>
      <c r="E16" s="19">
        <v>18.70193175431665</v>
      </c>
      <c r="F16" s="40">
        <v>-4.6000000000000013E-2</v>
      </c>
    </row>
    <row r="17" spans="1:6" x14ac:dyDescent="0.25">
      <c r="A17" s="18" t="s">
        <v>18</v>
      </c>
      <c r="B17">
        <v>216</v>
      </c>
      <c r="C17" s="13" t="s">
        <v>11</v>
      </c>
      <c r="D17" s="19">
        <v>78.701911295858707</v>
      </c>
      <c r="E17" s="19">
        <v>19.80256684607966</v>
      </c>
      <c r="F17" s="40">
        <v>-6.3E-2</v>
      </c>
    </row>
    <row r="18" spans="1:6" x14ac:dyDescent="0.25">
      <c r="A18" s="20" t="s">
        <v>18</v>
      </c>
      <c r="B18" s="1">
        <v>24</v>
      </c>
      <c r="C18" s="12" t="s">
        <v>7</v>
      </c>
      <c r="D18" s="20">
        <v>25.923355680427548</v>
      </c>
      <c r="E18" s="38">
        <v>6.0401418735396186</v>
      </c>
      <c r="F18" s="39">
        <v>7.2999999999999995E-2</v>
      </c>
    </row>
    <row r="19" spans="1:6" x14ac:dyDescent="0.25">
      <c r="A19" s="18" t="s">
        <v>18</v>
      </c>
      <c r="B19">
        <v>48</v>
      </c>
      <c r="C19" s="13" t="s">
        <v>7</v>
      </c>
      <c r="D19" s="18">
        <v>34.862152278136826</v>
      </c>
      <c r="E19" s="19">
        <v>8.12288148080588</v>
      </c>
      <c r="F19" s="40">
        <v>5.5999999999999994E-2</v>
      </c>
    </row>
    <row r="20" spans="1:6" x14ac:dyDescent="0.25">
      <c r="A20" s="18" t="s">
        <v>18</v>
      </c>
      <c r="B20">
        <v>96</v>
      </c>
      <c r="C20" s="13" t="s">
        <v>7</v>
      </c>
      <c r="D20" s="18">
        <v>47.747566923229599</v>
      </c>
      <c r="E20" s="19">
        <v>11.125183093112497</v>
      </c>
      <c r="F20" s="40">
        <v>2.1999999999999992E-2</v>
      </c>
    </row>
    <row r="21" spans="1:6" x14ac:dyDescent="0.25">
      <c r="A21" s="18" t="s">
        <v>18</v>
      </c>
      <c r="B21">
        <v>192</v>
      </c>
      <c r="C21" s="13" t="s">
        <v>7</v>
      </c>
      <c r="D21" s="18">
        <v>66.761420661618828</v>
      </c>
      <c r="E21" s="19">
        <v>15.555411014157189</v>
      </c>
      <c r="F21" s="40">
        <v>-4.6000000000000013E-2</v>
      </c>
    </row>
    <row r="22" spans="1:6" x14ac:dyDescent="0.25">
      <c r="A22" s="17" t="s">
        <v>18</v>
      </c>
      <c r="B22" s="16">
        <v>216</v>
      </c>
      <c r="C22" s="15" t="s">
        <v>7</v>
      </c>
      <c r="D22" s="18">
        <v>70.833975230395069</v>
      </c>
      <c r="E22" s="19">
        <v>16.50431622868205</v>
      </c>
      <c r="F22" s="40">
        <v>-6.3E-2</v>
      </c>
    </row>
    <row r="23" spans="1:6" x14ac:dyDescent="0.25">
      <c r="A23" s="18" t="s">
        <v>19</v>
      </c>
      <c r="B23">
        <v>24</v>
      </c>
      <c r="C23" t="s">
        <v>11</v>
      </c>
      <c r="D23" s="20">
        <v>36.175478544049433</v>
      </c>
      <c r="E23" s="38">
        <v>9.338641348971116</v>
      </c>
      <c r="F23" s="39">
        <v>7.2999999999999995E-2</v>
      </c>
    </row>
    <row r="24" spans="1:6" x14ac:dyDescent="0.25">
      <c r="A24" s="18" t="s">
        <v>19</v>
      </c>
      <c r="B24">
        <v>48</v>
      </c>
      <c r="C24" t="s">
        <v>11</v>
      </c>
      <c r="D24" s="18">
        <v>44.997452449849234</v>
      </c>
      <c r="E24" s="19">
        <v>11.138475288940183</v>
      </c>
      <c r="F24" s="40">
        <v>5.5999999999999994E-2</v>
      </c>
    </row>
    <row r="25" spans="1:6" x14ac:dyDescent="0.25">
      <c r="A25" s="18" t="s">
        <v>19</v>
      </c>
      <c r="B25">
        <v>96</v>
      </c>
      <c r="C25" t="s">
        <v>11</v>
      </c>
      <c r="D25" s="18">
        <v>57.513127267464981</v>
      </c>
      <c r="E25" s="19">
        <v>14.062773213014726</v>
      </c>
      <c r="F25" s="40">
        <v>2.1999999999999992E-2</v>
      </c>
    </row>
    <row r="26" spans="1:6" x14ac:dyDescent="0.25">
      <c r="A26" s="18" t="s">
        <v>19</v>
      </c>
      <c r="B26">
        <v>192</v>
      </c>
      <c r="C26" t="s">
        <v>11</v>
      </c>
      <c r="D26" s="18">
        <v>76.12313330619115</v>
      </c>
      <c r="E26" s="19">
        <v>18.961036535030036</v>
      </c>
      <c r="F26" s="40">
        <v>-4.6000000000000013E-2</v>
      </c>
    </row>
    <row r="27" spans="1:6" x14ac:dyDescent="0.25">
      <c r="A27" s="18" t="s">
        <v>19</v>
      </c>
      <c r="B27">
        <v>216</v>
      </c>
      <c r="C27" t="s">
        <v>11</v>
      </c>
      <c r="D27" s="18">
        <v>80.175369020887047</v>
      </c>
      <c r="E27" s="19">
        <v>20.093135269862714</v>
      </c>
      <c r="F27" s="40">
        <v>-6.3E-2</v>
      </c>
    </row>
    <row r="28" spans="1:6" x14ac:dyDescent="0.25">
      <c r="A28" s="20" t="s">
        <v>19</v>
      </c>
      <c r="B28" s="1">
        <v>24</v>
      </c>
      <c r="C28" s="1" t="s">
        <v>7</v>
      </c>
      <c r="D28" s="20">
        <v>25.718203736931933</v>
      </c>
      <c r="E28" s="38">
        <v>6.0694960819159363</v>
      </c>
      <c r="F28" s="39">
        <v>7.2999999999999995E-2</v>
      </c>
    </row>
    <row r="29" spans="1:6" x14ac:dyDescent="0.25">
      <c r="A29" s="18" t="s">
        <v>19</v>
      </c>
      <c r="B29">
        <v>48</v>
      </c>
      <c r="C29" t="s">
        <v>7</v>
      </c>
      <c r="D29" s="18">
        <v>34.50824842018956</v>
      </c>
      <c r="E29" s="19">
        <v>8.1439466271647358</v>
      </c>
      <c r="F29" s="40">
        <v>5.5999999999999994E-2</v>
      </c>
    </row>
    <row r="30" spans="1:6" x14ac:dyDescent="0.25">
      <c r="A30" s="18" t="s">
        <v>19</v>
      </c>
      <c r="B30">
        <v>96</v>
      </c>
      <c r="C30" t="s">
        <v>7</v>
      </c>
      <c r="D30" s="18">
        <v>47.133588889728522</v>
      </c>
      <c r="E30" s="19">
        <v>11.123526977975931</v>
      </c>
      <c r="F30" s="40">
        <v>2.1999999999999992E-2</v>
      </c>
    </row>
    <row r="31" spans="1:6" x14ac:dyDescent="0.25">
      <c r="A31" s="18" t="s">
        <v>19</v>
      </c>
      <c r="B31">
        <v>192</v>
      </c>
      <c r="C31" t="s">
        <v>7</v>
      </c>
      <c r="D31" s="18">
        <v>65.68387827235982</v>
      </c>
      <c r="E31" s="19">
        <v>15.501395272276916</v>
      </c>
      <c r="F31" s="40">
        <v>-4.6000000000000013E-2</v>
      </c>
    </row>
    <row r="32" spans="1:6" x14ac:dyDescent="0.25">
      <c r="A32" s="17" t="s">
        <v>19</v>
      </c>
      <c r="B32" s="16">
        <v>216</v>
      </c>
      <c r="C32" s="16" t="s">
        <v>7</v>
      </c>
      <c r="D32" s="18">
        <v>69.646514438398071</v>
      </c>
      <c r="E32" s="19">
        <v>16.436577407461943</v>
      </c>
      <c r="F32" s="40">
        <v>-6.3E-2</v>
      </c>
    </row>
    <row r="33" spans="1:6" x14ac:dyDescent="0.25">
      <c r="A33" s="18" t="s">
        <v>20</v>
      </c>
      <c r="B33">
        <v>24</v>
      </c>
      <c r="C33" t="s">
        <v>11</v>
      </c>
      <c r="D33" s="20">
        <v>36.326376530814315</v>
      </c>
      <c r="E33" s="38">
        <v>9.694255837269834</v>
      </c>
      <c r="F33" s="39">
        <v>7.2999999999999995E-2</v>
      </c>
    </row>
    <row r="34" spans="1:6" x14ac:dyDescent="0.25">
      <c r="A34" s="18" t="s">
        <v>20</v>
      </c>
      <c r="B34">
        <v>48</v>
      </c>
      <c r="C34" t="s">
        <v>11</v>
      </c>
      <c r="D34" s="18">
        <v>45.135623060847351</v>
      </c>
      <c r="E34" s="19">
        <v>11.627005081614181</v>
      </c>
      <c r="F34" s="40">
        <v>5.5999999999999994E-2</v>
      </c>
    </row>
    <row r="35" spans="1:6" x14ac:dyDescent="0.25">
      <c r="A35" s="18" t="s">
        <v>20</v>
      </c>
      <c r="B35">
        <v>96</v>
      </c>
      <c r="C35" t="s">
        <v>11</v>
      </c>
      <c r="D35" s="18">
        <v>57.596047969996846</v>
      </c>
      <c r="E35" s="19">
        <v>14.679603919084748</v>
      </c>
      <c r="F35" s="40">
        <v>2.1999999999999992E-2</v>
      </c>
    </row>
    <row r="36" spans="1:6" x14ac:dyDescent="0.25">
      <c r="A36" s="18" t="s">
        <v>20</v>
      </c>
      <c r="B36">
        <v>192</v>
      </c>
      <c r="C36" t="s">
        <v>11</v>
      </c>
      <c r="D36" s="18">
        <v>76.047842342065579</v>
      </c>
      <c r="E36" s="19">
        <v>19.671758151459969</v>
      </c>
      <c r="F36" s="40">
        <v>-4.6000000000000013E-2</v>
      </c>
    </row>
    <row r="37" spans="1:6" x14ac:dyDescent="0.25">
      <c r="A37" s="18" t="s">
        <v>20</v>
      </c>
      <c r="B37">
        <v>216</v>
      </c>
      <c r="C37" t="s">
        <v>11</v>
      </c>
      <c r="D37" s="18">
        <v>80.054168604536414</v>
      </c>
      <c r="E37" s="19">
        <v>20.811845181414153</v>
      </c>
      <c r="F37" s="40">
        <v>-6.3E-2</v>
      </c>
    </row>
    <row r="38" spans="1:6" x14ac:dyDescent="0.25">
      <c r="A38" s="20" t="s">
        <v>20</v>
      </c>
      <c r="B38" s="1">
        <v>24</v>
      </c>
      <c r="C38" s="1" t="s">
        <v>7</v>
      </c>
      <c r="D38" s="20">
        <v>26.22654374879998</v>
      </c>
      <c r="E38" s="38">
        <v>6.1632377809679948</v>
      </c>
      <c r="F38" s="39">
        <v>7.2999999999999995E-2</v>
      </c>
    </row>
    <row r="39" spans="1:6" x14ac:dyDescent="0.25">
      <c r="A39" s="18" t="s">
        <v>20</v>
      </c>
      <c r="B39">
        <v>48</v>
      </c>
      <c r="C39" t="s">
        <v>7</v>
      </c>
      <c r="D39" s="18">
        <v>35.308656029669073</v>
      </c>
      <c r="E39" s="19">
        <v>8.2975341669722322</v>
      </c>
      <c r="F39" s="40">
        <v>5.5999999999999994E-2</v>
      </c>
    </row>
    <row r="40" spans="1:6" x14ac:dyDescent="0.25">
      <c r="A40" s="18" t="s">
        <v>20</v>
      </c>
      <c r="B40">
        <v>96</v>
      </c>
      <c r="C40" t="s">
        <v>7</v>
      </c>
      <c r="D40" s="18">
        <v>48.428713383225613</v>
      </c>
      <c r="E40" s="19">
        <v>11.380747645058019</v>
      </c>
      <c r="F40" s="40">
        <v>2.1999999999999992E-2</v>
      </c>
    </row>
    <row r="41" spans="1:6" x14ac:dyDescent="0.25">
      <c r="A41" s="18" t="s">
        <v>20</v>
      </c>
      <c r="B41">
        <v>192</v>
      </c>
      <c r="C41" t="s">
        <v>7</v>
      </c>
      <c r="D41" s="18">
        <v>67.839981115032771</v>
      </c>
      <c r="E41" s="19">
        <v>15.942395562032701</v>
      </c>
      <c r="F41" s="40">
        <v>-4.6000000000000013E-2</v>
      </c>
    </row>
    <row r="42" spans="1:6" x14ac:dyDescent="0.25">
      <c r="A42" s="17" t="s">
        <v>20</v>
      </c>
      <c r="B42" s="16">
        <v>216</v>
      </c>
      <c r="C42" s="16" t="s">
        <v>7</v>
      </c>
      <c r="D42" s="18">
        <v>72.004664365289173</v>
      </c>
      <c r="E42" s="19">
        <v>16.921096125842954</v>
      </c>
      <c r="F42" s="40">
        <v>-6.3E-2</v>
      </c>
    </row>
    <row r="43" spans="1:6" x14ac:dyDescent="0.25">
      <c r="A43" s="18" t="s">
        <v>21</v>
      </c>
      <c r="B43">
        <v>24</v>
      </c>
      <c r="C43" t="s">
        <v>11</v>
      </c>
      <c r="D43" s="20">
        <v>37.922818272944092</v>
      </c>
      <c r="E43" s="38">
        <v>10.011192759576796</v>
      </c>
      <c r="F43" s="39">
        <v>7.2999999999999995E-2</v>
      </c>
    </row>
    <row r="44" spans="1:6" x14ac:dyDescent="0.25">
      <c r="A44" s="18" t="s">
        <v>21</v>
      </c>
      <c r="B44">
        <v>48</v>
      </c>
      <c r="C44" t="s">
        <v>11</v>
      </c>
      <c r="D44" s="18">
        <v>47.093515315793347</v>
      </c>
      <c r="E44" s="19">
        <v>11.915720301853513</v>
      </c>
      <c r="F44" s="40">
        <v>5.5999999999999994E-2</v>
      </c>
    </row>
    <row r="45" spans="1:6" x14ac:dyDescent="0.25">
      <c r="A45" s="18" t="s">
        <v>21</v>
      </c>
      <c r="B45">
        <v>96</v>
      </c>
      <c r="C45" t="s">
        <v>11</v>
      </c>
      <c r="D45" s="18">
        <v>59.961230773980091</v>
      </c>
      <c r="E45" s="19">
        <v>14.957653092502873</v>
      </c>
      <c r="F45" s="40">
        <v>2.1999999999999992E-2</v>
      </c>
    </row>
    <row r="46" spans="1:6" x14ac:dyDescent="0.25">
      <c r="A46" s="18" t="s">
        <v>21</v>
      </c>
      <c r="B46">
        <v>192</v>
      </c>
      <c r="C46" t="s">
        <v>11</v>
      </c>
      <c r="D46" s="18">
        <v>78.788313465454991</v>
      </c>
      <c r="E46" s="19">
        <v>19.956075867498146</v>
      </c>
      <c r="F46" s="40">
        <v>-4.6000000000000013E-2</v>
      </c>
    </row>
    <row r="47" spans="1:6" x14ac:dyDescent="0.25">
      <c r="A47" s="18" t="s">
        <v>21</v>
      </c>
      <c r="B47">
        <v>216</v>
      </c>
      <c r="C47" t="s">
        <v>11</v>
      </c>
      <c r="D47" s="17">
        <v>82.840590883411096</v>
      </c>
      <c r="E47" s="41">
        <v>21.097331546723261</v>
      </c>
      <c r="F47" s="42">
        <v>-6.3E-2</v>
      </c>
    </row>
    <row r="48" spans="1:6" x14ac:dyDescent="0.25">
      <c r="A48" s="20" t="s">
        <v>21</v>
      </c>
      <c r="B48" s="1">
        <v>24</v>
      </c>
      <c r="C48" s="1" t="s">
        <v>7</v>
      </c>
      <c r="D48" s="18">
        <v>27.087894986693833</v>
      </c>
      <c r="E48" s="19">
        <v>6.5281826917932131</v>
      </c>
      <c r="F48" s="40">
        <v>7.2999999999999995E-2</v>
      </c>
    </row>
    <row r="49" spans="1:6" x14ac:dyDescent="0.25">
      <c r="A49" s="18" t="s">
        <v>21</v>
      </c>
      <c r="B49">
        <v>48</v>
      </c>
      <c r="C49" t="s">
        <v>7</v>
      </c>
      <c r="D49" s="18">
        <v>36.223711299873102</v>
      </c>
      <c r="E49" s="19">
        <v>8.7299144232694168</v>
      </c>
      <c r="F49" s="40">
        <v>5.5999999999999994E-2</v>
      </c>
    </row>
    <row r="50" spans="1:6" x14ac:dyDescent="0.25">
      <c r="A50" s="18" t="s">
        <v>21</v>
      </c>
      <c r="B50">
        <v>96</v>
      </c>
      <c r="C50" t="s">
        <v>7</v>
      </c>
      <c r="D50" s="18">
        <v>49.252172778123445</v>
      </c>
      <c r="E50" s="19">
        <v>11.86977363952775</v>
      </c>
      <c r="F50" s="40">
        <v>2.1999999999999992E-2</v>
      </c>
    </row>
    <row r="51" spans="1:6" x14ac:dyDescent="0.25">
      <c r="A51" s="18" t="s">
        <v>21</v>
      </c>
      <c r="B51">
        <v>192</v>
      </c>
      <c r="C51" t="s">
        <v>7</v>
      </c>
      <c r="D51" s="18">
        <v>68.225651564811088</v>
      </c>
      <c r="E51" s="19">
        <v>16.442382027119471</v>
      </c>
      <c r="F51" s="40">
        <v>-4.6000000000000013E-2</v>
      </c>
    </row>
    <row r="52" spans="1:6" x14ac:dyDescent="0.25">
      <c r="A52" s="17" t="s">
        <v>21</v>
      </c>
      <c r="B52" s="16">
        <v>216</v>
      </c>
      <c r="C52" s="16" t="s">
        <v>7</v>
      </c>
      <c r="D52" s="18">
        <v>72.255709954400885</v>
      </c>
      <c r="E52" s="19">
        <v>17.413626099010614</v>
      </c>
      <c r="F52" s="40">
        <v>-6.3E-2</v>
      </c>
    </row>
    <row r="53" spans="1:6" x14ac:dyDescent="0.25">
      <c r="A53" s="18" t="s">
        <v>22</v>
      </c>
      <c r="B53">
        <v>24</v>
      </c>
      <c r="C53" t="s">
        <v>11</v>
      </c>
      <c r="D53" s="20">
        <v>36.659037369350727</v>
      </c>
      <c r="E53" s="38">
        <v>10.122171272244069</v>
      </c>
      <c r="F53" s="39">
        <v>7.2999999999999995E-2</v>
      </c>
    </row>
    <row r="54" spans="1:6" x14ac:dyDescent="0.25">
      <c r="A54" s="18" t="s">
        <v>22</v>
      </c>
      <c r="B54">
        <v>48</v>
      </c>
      <c r="C54" t="s">
        <v>11</v>
      </c>
      <c r="D54" s="18">
        <v>45.518289959226472</v>
      </c>
      <c r="E54" s="19">
        <v>11.989546273067987</v>
      </c>
      <c r="F54" s="40">
        <v>5.5999999999999994E-2</v>
      </c>
    </row>
    <row r="55" spans="1:6" x14ac:dyDescent="0.25">
      <c r="A55" s="18" t="s">
        <v>22</v>
      </c>
      <c r="B55">
        <v>96</v>
      </c>
      <c r="C55" t="s">
        <v>11</v>
      </c>
      <c r="D55" s="18">
        <v>57.912581318055977</v>
      </c>
      <c r="E55" s="19">
        <v>14.918461388242598</v>
      </c>
      <c r="F55" s="40">
        <v>2.1999999999999992E-2</v>
      </c>
    </row>
    <row r="56" spans="1:6" x14ac:dyDescent="0.25">
      <c r="A56" s="18" t="s">
        <v>22</v>
      </c>
      <c r="B56">
        <v>192</v>
      </c>
      <c r="C56" t="s">
        <v>11</v>
      </c>
      <c r="D56" s="18">
        <v>75.967925213703111</v>
      </c>
      <c r="E56" s="19">
        <v>19.654734934806473</v>
      </c>
      <c r="F56" s="40">
        <v>-4.6000000000000013E-2</v>
      </c>
    </row>
    <row r="57" spans="1:6" x14ac:dyDescent="0.25">
      <c r="A57" s="18" t="s">
        <v>22</v>
      </c>
      <c r="B57">
        <v>216</v>
      </c>
      <c r="C57" t="s">
        <v>11</v>
      </c>
      <c r="D57" s="17">
        <v>79.841829860761592</v>
      </c>
      <c r="E57" s="41">
        <v>20.727123573616975</v>
      </c>
      <c r="F57" s="42">
        <v>-6.3E-2</v>
      </c>
    </row>
    <row r="58" spans="1:6" x14ac:dyDescent="0.25">
      <c r="A58" s="20" t="s">
        <v>22</v>
      </c>
      <c r="B58" s="1">
        <v>24</v>
      </c>
      <c r="C58" s="1" t="s">
        <v>7</v>
      </c>
      <c r="D58" s="18">
        <v>27.93553001563312</v>
      </c>
      <c r="E58" s="19">
        <v>6.508978493642517</v>
      </c>
      <c r="F58" s="40">
        <v>7.2999999999999995E-2</v>
      </c>
    </row>
    <row r="59" spans="1:6" x14ac:dyDescent="0.25">
      <c r="A59" s="18" t="s">
        <v>22</v>
      </c>
      <c r="B59">
        <v>48</v>
      </c>
      <c r="C59" t="s">
        <v>7</v>
      </c>
      <c r="D59" s="18">
        <v>37.57809092880106</v>
      </c>
      <c r="E59" s="19">
        <v>8.755695186410648</v>
      </c>
      <c r="F59" s="40">
        <v>5.5999999999999994E-2</v>
      </c>
    </row>
    <row r="60" spans="1:6" x14ac:dyDescent="0.25">
      <c r="A60" s="18" t="s">
        <v>22</v>
      </c>
      <c r="B60">
        <v>96</v>
      </c>
      <c r="C60" t="s">
        <v>7</v>
      </c>
      <c r="D60" s="18">
        <v>51.467380468082766</v>
      </c>
      <c r="E60" s="19">
        <v>11.991899649063285</v>
      </c>
      <c r="F60" s="40">
        <v>2.1999999999999992E-2</v>
      </c>
    </row>
    <row r="61" spans="1:6" x14ac:dyDescent="0.25">
      <c r="A61" s="18" t="s">
        <v>22</v>
      </c>
      <c r="B61">
        <v>192</v>
      </c>
      <c r="C61" t="s">
        <v>7</v>
      </c>
      <c r="D61" s="18">
        <v>71.938327949139165</v>
      </c>
      <c r="E61" s="19">
        <v>16.761630412149426</v>
      </c>
      <c r="F61" s="40">
        <v>-4.6000000000000013E-2</v>
      </c>
    </row>
    <row r="62" spans="1:6" x14ac:dyDescent="0.25">
      <c r="A62" s="17" t="s">
        <v>22</v>
      </c>
      <c r="B62" s="16">
        <v>216</v>
      </c>
      <c r="C62" s="16" t="s">
        <v>7</v>
      </c>
      <c r="D62" s="18">
        <v>76.319263792526414</v>
      </c>
      <c r="E62" s="19">
        <v>17.782388463658656</v>
      </c>
      <c r="F62" s="40">
        <v>-6.3E-2</v>
      </c>
    </row>
    <row r="63" spans="1:6" x14ac:dyDescent="0.25">
      <c r="A63" s="18" t="s">
        <v>23</v>
      </c>
      <c r="B63">
        <v>24</v>
      </c>
      <c r="C63" t="s">
        <v>11</v>
      </c>
      <c r="D63" s="20">
        <v>37.166161984908037</v>
      </c>
      <c r="E63" s="38">
        <v>9.8927022780682616</v>
      </c>
      <c r="F63" s="39">
        <v>7.2999999999999995E-2</v>
      </c>
    </row>
    <row r="64" spans="1:6" x14ac:dyDescent="0.25">
      <c r="A64" s="18" t="s">
        <v>23</v>
      </c>
      <c r="B64">
        <v>48</v>
      </c>
      <c r="C64" t="s">
        <v>11</v>
      </c>
      <c r="D64" s="18">
        <v>46.234706207413062</v>
      </c>
      <c r="E64" s="19">
        <v>11.82467183702143</v>
      </c>
      <c r="F64" s="40">
        <v>5.5999999999999994E-2</v>
      </c>
    </row>
    <row r="65" spans="1:6" x14ac:dyDescent="0.25">
      <c r="A65" s="18" t="s">
        <v>23</v>
      </c>
      <c r="B65">
        <v>96</v>
      </c>
      <c r="C65" t="s">
        <v>11</v>
      </c>
      <c r="D65" s="18">
        <v>59.066899720968088</v>
      </c>
      <c r="E65" s="19">
        <v>14.910968200678862</v>
      </c>
      <c r="F65" s="40">
        <v>2.1999999999999992E-2</v>
      </c>
    </row>
    <row r="66" spans="1:6" x14ac:dyDescent="0.25">
      <c r="A66" s="18" t="s">
        <v>23</v>
      </c>
      <c r="B66">
        <v>192</v>
      </c>
      <c r="C66" t="s">
        <v>11</v>
      </c>
      <c r="D66" s="18">
        <v>78.070782178988651</v>
      </c>
      <c r="E66" s="19">
        <v>20.004983477143082</v>
      </c>
      <c r="F66" s="40">
        <v>-4.6000000000000013E-2</v>
      </c>
    </row>
    <row r="67" spans="1:6" x14ac:dyDescent="0.25">
      <c r="A67" s="18" t="s">
        <v>23</v>
      </c>
      <c r="B67">
        <v>216</v>
      </c>
      <c r="C67" t="s">
        <v>11</v>
      </c>
      <c r="D67" s="17">
        <v>82.196435370507601</v>
      </c>
      <c r="E67" s="41">
        <v>21.17331382587976</v>
      </c>
      <c r="F67" s="42">
        <v>-6.3E-2</v>
      </c>
    </row>
    <row r="68" spans="1:6" x14ac:dyDescent="0.25">
      <c r="A68" s="20" t="s">
        <v>23</v>
      </c>
      <c r="B68" s="1">
        <v>24</v>
      </c>
      <c r="C68" s="1" t="s">
        <v>7</v>
      </c>
      <c r="D68" s="18">
        <v>26.422482128300327</v>
      </c>
      <c r="E68" s="19">
        <v>6.1564383358939763</v>
      </c>
      <c r="F68" s="40">
        <v>7.2999999999999995E-2</v>
      </c>
    </row>
    <row r="69" spans="1:6" x14ac:dyDescent="0.25">
      <c r="A69" s="18" t="s">
        <v>23</v>
      </c>
      <c r="B69">
        <v>48</v>
      </c>
      <c r="C69" t="s">
        <v>7</v>
      </c>
      <c r="D69" s="18">
        <v>35.452402018972833</v>
      </c>
      <c r="E69" s="19">
        <v>8.2604096704206711</v>
      </c>
      <c r="F69" s="40">
        <v>5.5999999999999994E-2</v>
      </c>
    </row>
    <row r="70" spans="1:6" x14ac:dyDescent="0.25">
      <c r="A70" s="18" t="s">
        <v>23</v>
      </c>
      <c r="B70">
        <v>96</v>
      </c>
      <c r="C70" t="s">
        <v>7</v>
      </c>
      <c r="D70" s="18">
        <v>48.417182971437526</v>
      </c>
      <c r="E70" s="19">
        <v>11.281203632344944</v>
      </c>
      <c r="F70" s="40">
        <v>2.1999999999999992E-2</v>
      </c>
    </row>
    <row r="71" spans="1:6" x14ac:dyDescent="0.25">
      <c r="A71" s="18" t="s">
        <v>23</v>
      </c>
      <c r="B71">
        <v>192</v>
      </c>
      <c r="C71" t="s">
        <v>7</v>
      </c>
      <c r="D71" s="18">
        <v>67.455767121623339</v>
      </c>
      <c r="E71" s="19">
        <v>15.717193739338239</v>
      </c>
      <c r="F71" s="40">
        <v>-4.6000000000000013E-2</v>
      </c>
    </row>
    <row r="72" spans="1:6" x14ac:dyDescent="0.25">
      <c r="A72" s="17" t="s">
        <v>23</v>
      </c>
      <c r="B72" s="16">
        <v>216</v>
      </c>
      <c r="C72" s="16" t="s">
        <v>7</v>
      </c>
      <c r="D72" s="18">
        <v>71.521189421215325</v>
      </c>
      <c r="E72" s="19">
        <v>16.664437135143171</v>
      </c>
      <c r="F72" s="40">
        <v>-6.3E-2</v>
      </c>
    </row>
    <row r="73" spans="1:6" x14ac:dyDescent="0.25">
      <c r="A73" s="18" t="s">
        <v>24</v>
      </c>
      <c r="B73">
        <v>24</v>
      </c>
      <c r="C73" t="s">
        <v>11</v>
      </c>
      <c r="D73" s="20">
        <v>36.678954607834157</v>
      </c>
      <c r="E73" s="38">
        <v>10.207067768944365</v>
      </c>
      <c r="F73" s="39">
        <v>7.2999999999999995E-2</v>
      </c>
    </row>
    <row r="74" spans="1:6" x14ac:dyDescent="0.25">
      <c r="A74" s="18" t="s">
        <v>24</v>
      </c>
      <c r="B74">
        <v>48</v>
      </c>
      <c r="C74" t="s">
        <v>11</v>
      </c>
      <c r="D74" s="18">
        <v>45.584842214456451</v>
      </c>
      <c r="E74" s="19">
        <v>12.119682239324947</v>
      </c>
      <c r="F74" s="40">
        <v>5.5999999999999994E-2</v>
      </c>
    </row>
    <row r="75" spans="1:6" x14ac:dyDescent="0.25">
      <c r="A75" s="18" t="s">
        <v>24</v>
      </c>
      <c r="B75">
        <v>96</v>
      </c>
      <c r="C75" t="s">
        <v>11</v>
      </c>
      <c r="D75" s="18">
        <v>58.121466149740606</v>
      </c>
      <c r="E75" s="19">
        <v>15.066588520586221</v>
      </c>
      <c r="F75" s="40">
        <v>2.1999999999999992E-2</v>
      </c>
    </row>
    <row r="76" spans="1:6" x14ac:dyDescent="0.25">
      <c r="A76" s="18" t="s">
        <v>24</v>
      </c>
      <c r="B76">
        <v>192</v>
      </c>
      <c r="C76" t="s">
        <v>11</v>
      </c>
      <c r="D76" s="18">
        <v>76.548189085369344</v>
      </c>
      <c r="E76" s="19">
        <v>19.775943268652721</v>
      </c>
      <c r="F76" s="40">
        <v>-4.6000000000000013E-2</v>
      </c>
    </row>
    <row r="77" spans="1:6" x14ac:dyDescent="0.25">
      <c r="A77" s="18" t="s">
        <v>24</v>
      </c>
      <c r="B77">
        <v>216</v>
      </c>
      <c r="C77" t="s">
        <v>11</v>
      </c>
      <c r="D77" s="17">
        <v>80.527081032420895</v>
      </c>
      <c r="E77" s="41">
        <v>20.837988540598609</v>
      </c>
      <c r="F77" s="42">
        <v>-6.3E-2</v>
      </c>
    </row>
    <row r="78" spans="1:6" x14ac:dyDescent="0.25">
      <c r="A78" s="20" t="s">
        <v>24</v>
      </c>
      <c r="B78" s="1">
        <v>24</v>
      </c>
      <c r="C78" s="1" t="s">
        <v>7</v>
      </c>
      <c r="D78" s="18">
        <v>26.880574915656076</v>
      </c>
      <c r="E78" s="19">
        <v>6.23629338043221</v>
      </c>
      <c r="F78" s="40">
        <v>7.2999999999999995E-2</v>
      </c>
    </row>
    <row r="79" spans="1:6" x14ac:dyDescent="0.25">
      <c r="A79" s="18" t="s">
        <v>24</v>
      </c>
      <c r="B79">
        <v>48</v>
      </c>
      <c r="C79" t="s">
        <v>7</v>
      </c>
      <c r="D79" s="18">
        <v>36.122797507818795</v>
      </c>
      <c r="E79" s="19">
        <v>8.3804890218139612</v>
      </c>
      <c r="F79" s="40">
        <v>5.5999999999999994E-2</v>
      </c>
    </row>
    <row r="80" spans="1:6" x14ac:dyDescent="0.25">
      <c r="A80" s="18" t="s">
        <v>24</v>
      </c>
      <c r="B80">
        <v>96</v>
      </c>
      <c r="C80" t="s">
        <v>7</v>
      </c>
      <c r="D80" s="18">
        <v>49.462351476227447</v>
      </c>
      <c r="E80" s="19">
        <v>11.475265542484768</v>
      </c>
      <c r="F80" s="40">
        <v>2.1999999999999992E-2</v>
      </c>
    </row>
    <row r="81" spans="1:6" x14ac:dyDescent="0.25">
      <c r="A81" s="18" t="s">
        <v>24</v>
      </c>
      <c r="B81">
        <v>192</v>
      </c>
      <c r="C81" t="s">
        <v>7</v>
      </c>
      <c r="D81" s="18">
        <v>69.187007471852908</v>
      </c>
      <c r="E81" s="19">
        <v>16.051385733469875</v>
      </c>
      <c r="F81" s="40">
        <v>-4.6000000000000013E-2</v>
      </c>
    </row>
    <row r="82" spans="1:6" x14ac:dyDescent="0.25">
      <c r="A82" s="17" t="s">
        <v>24</v>
      </c>
      <c r="B82" s="16">
        <v>216</v>
      </c>
      <c r="C82" s="16" t="s">
        <v>7</v>
      </c>
      <c r="D82" s="18">
        <v>73.418210033457299</v>
      </c>
      <c r="E82" s="19">
        <v>17.033024727762093</v>
      </c>
      <c r="F82" s="40">
        <v>-6.3E-2</v>
      </c>
    </row>
    <row r="83" spans="1:6" x14ac:dyDescent="0.25">
      <c r="A83" s="18" t="s">
        <v>25</v>
      </c>
      <c r="B83">
        <v>24</v>
      </c>
      <c r="C83" t="s">
        <v>11</v>
      </c>
      <c r="D83" s="20">
        <v>40.109055296279422</v>
      </c>
      <c r="E83" s="38">
        <v>11.157198471328758</v>
      </c>
      <c r="F83" s="39">
        <v>7.2999999999999995E-2</v>
      </c>
    </row>
    <row r="84" spans="1:6" x14ac:dyDescent="0.25">
      <c r="A84" s="18" t="s">
        <v>25</v>
      </c>
      <c r="B84">
        <v>48</v>
      </c>
      <c r="C84" t="s">
        <v>11</v>
      </c>
      <c r="D84" s="18">
        <v>49.520467549267508</v>
      </c>
      <c r="E84" s="19">
        <v>13.195954599784303</v>
      </c>
      <c r="F84" s="40">
        <v>5.5999999999999994E-2</v>
      </c>
    </row>
    <row r="85" spans="1:6" x14ac:dyDescent="0.25">
      <c r="A85" s="18" t="s">
        <v>25</v>
      </c>
      <c r="B85">
        <v>96</v>
      </c>
      <c r="C85" t="s">
        <v>11</v>
      </c>
      <c r="D85" s="18">
        <v>62.609813035098675</v>
      </c>
      <c r="E85" s="19">
        <v>16.348670359326412</v>
      </c>
      <c r="F85" s="40">
        <v>2.1999999999999992E-2</v>
      </c>
    </row>
    <row r="86" spans="1:6" x14ac:dyDescent="0.25">
      <c r="A86" s="18" t="s">
        <v>25</v>
      </c>
      <c r="B86">
        <v>192</v>
      </c>
      <c r="C86" t="s">
        <v>11</v>
      </c>
      <c r="D86" s="18">
        <v>81.552813254184244</v>
      </c>
      <c r="E86" s="19">
        <v>21.375570847737102</v>
      </c>
      <c r="F86" s="40">
        <v>-4.6000000000000013E-2</v>
      </c>
    </row>
    <row r="87" spans="1:6" x14ac:dyDescent="0.25">
      <c r="A87" s="18" t="s">
        <v>25</v>
      </c>
      <c r="B87">
        <v>216</v>
      </c>
      <c r="C87" t="s">
        <v>11</v>
      </c>
      <c r="D87" s="17">
        <v>85.601239751949208</v>
      </c>
      <c r="E87" s="41">
        <v>22.505013410376886</v>
      </c>
      <c r="F87" s="42">
        <v>-6.3E-2</v>
      </c>
    </row>
    <row r="88" spans="1:6" x14ac:dyDescent="0.25">
      <c r="A88" s="20" t="s">
        <v>25</v>
      </c>
      <c r="B88" s="1">
        <v>24</v>
      </c>
      <c r="C88" s="1" t="s">
        <v>7</v>
      </c>
      <c r="D88" s="18">
        <v>28.86521750029522</v>
      </c>
      <c r="E88" s="19">
        <v>7.100843505072624</v>
      </c>
      <c r="F88" s="40">
        <v>7.2999999999999995E-2</v>
      </c>
    </row>
    <row r="89" spans="1:6" x14ac:dyDescent="0.25">
      <c r="A89" s="18" t="s">
        <v>25</v>
      </c>
      <c r="B89">
        <v>48</v>
      </c>
      <c r="C89" t="s">
        <v>7</v>
      </c>
      <c r="D89" s="18">
        <v>38.645655453241154</v>
      </c>
      <c r="E89" s="19">
        <v>9.5068312414973235</v>
      </c>
      <c r="F89" s="40">
        <v>5.5999999999999994E-2</v>
      </c>
    </row>
    <row r="90" spans="1:6" x14ac:dyDescent="0.25">
      <c r="A90" s="18" t="s">
        <v>25</v>
      </c>
      <c r="B90">
        <v>96</v>
      </c>
      <c r="C90" t="s">
        <v>7</v>
      </c>
      <c r="D90" s="18">
        <v>52.583971192938364</v>
      </c>
      <c r="E90" s="19">
        <v>12.935656913462838</v>
      </c>
      <c r="F90" s="40">
        <v>2.1999999999999992E-2</v>
      </c>
    </row>
    <row r="91" spans="1:6" x14ac:dyDescent="0.25">
      <c r="A91" s="18" t="s">
        <v>25</v>
      </c>
      <c r="B91">
        <v>192</v>
      </c>
      <c r="C91" t="s">
        <v>7</v>
      </c>
      <c r="D91" s="18">
        <v>72.854804650830204</v>
      </c>
      <c r="E91" s="19">
        <v>17.922281944104231</v>
      </c>
      <c r="F91" s="40">
        <v>-4.6000000000000013E-2</v>
      </c>
    </row>
    <row r="92" spans="1:6" x14ac:dyDescent="0.25">
      <c r="A92" s="17" t="s">
        <v>25</v>
      </c>
      <c r="B92" s="16">
        <v>216</v>
      </c>
      <c r="C92" s="16" t="s">
        <v>7</v>
      </c>
      <c r="D92" s="18">
        <v>77.15581754782535</v>
      </c>
      <c r="E92" s="19">
        <v>18.980331116765036</v>
      </c>
      <c r="F92" s="40">
        <v>-6.3E-2</v>
      </c>
    </row>
    <row r="93" spans="1:6" x14ac:dyDescent="0.25">
      <c r="A93" s="18" t="s">
        <v>26</v>
      </c>
      <c r="B93">
        <v>24</v>
      </c>
      <c r="C93" t="s">
        <v>11</v>
      </c>
      <c r="D93" s="20">
        <v>39.422067750106571</v>
      </c>
      <c r="E93" s="38">
        <v>11.897853006440121</v>
      </c>
      <c r="F93" s="39">
        <v>7.2999999999999995E-2</v>
      </c>
    </row>
    <row r="94" spans="1:6" x14ac:dyDescent="0.25">
      <c r="A94" s="18" t="s">
        <v>26</v>
      </c>
      <c r="B94">
        <v>48</v>
      </c>
      <c r="C94" t="s">
        <v>11</v>
      </c>
      <c r="D94" s="18">
        <v>48.700902665233116</v>
      </c>
      <c r="E94" s="19">
        <v>13.972894613355873</v>
      </c>
      <c r="F94" s="40">
        <v>5.5999999999999994E-2</v>
      </c>
    </row>
    <row r="95" spans="1:6" x14ac:dyDescent="0.25">
      <c r="A95" s="18" t="s">
        <v>26</v>
      </c>
      <c r="B95">
        <v>96</v>
      </c>
      <c r="C95" t="s">
        <v>11</v>
      </c>
      <c r="D95" s="18">
        <v>61.615053427142094</v>
      </c>
      <c r="E95" s="19">
        <v>17.01498737086462</v>
      </c>
      <c r="F95" s="40">
        <v>2.1999999999999992E-2</v>
      </c>
    </row>
    <row r="96" spans="1:6" x14ac:dyDescent="0.25">
      <c r="A96" s="18" t="s">
        <v>26</v>
      </c>
      <c r="B96">
        <v>192</v>
      </c>
      <c r="C96" t="s">
        <v>11</v>
      </c>
      <c r="D96" s="18">
        <v>80.320064699884526</v>
      </c>
      <c r="E96" s="19">
        <v>21.647795353218793</v>
      </c>
      <c r="F96" s="40">
        <v>-4.6000000000000013E-2</v>
      </c>
    </row>
    <row r="97" spans="1:6" x14ac:dyDescent="0.25">
      <c r="A97" s="18" t="s">
        <v>26</v>
      </c>
      <c r="B97">
        <v>216</v>
      </c>
      <c r="C97" t="s">
        <v>11</v>
      </c>
      <c r="D97" s="17">
        <v>84.319696045243859</v>
      </c>
      <c r="E97" s="41">
        <v>22.665398699114203</v>
      </c>
      <c r="F97" s="42">
        <v>-6.3E-2</v>
      </c>
    </row>
    <row r="98" spans="1:6" x14ac:dyDescent="0.25">
      <c r="A98" s="20" t="s">
        <v>26</v>
      </c>
      <c r="B98" s="1">
        <v>24</v>
      </c>
      <c r="C98" s="1" t="s">
        <v>7</v>
      </c>
      <c r="D98" s="18">
        <v>29.87697345063232</v>
      </c>
      <c r="E98" s="19">
        <v>7.0509657343492274</v>
      </c>
      <c r="F98" s="40">
        <v>7.2999999999999995E-2</v>
      </c>
    </row>
    <row r="99" spans="1:6" x14ac:dyDescent="0.25">
      <c r="A99" s="18" t="s">
        <v>26</v>
      </c>
      <c r="B99">
        <v>48</v>
      </c>
      <c r="C99" t="s">
        <v>7</v>
      </c>
      <c r="D99" s="18">
        <v>40.143676494325511</v>
      </c>
      <c r="E99" s="19">
        <v>9.4739076526608201</v>
      </c>
      <c r="F99" s="40">
        <v>5.5999999999999994E-2</v>
      </c>
    </row>
    <row r="100" spans="1:6" x14ac:dyDescent="0.25">
      <c r="A100" s="18" t="s">
        <v>26</v>
      </c>
      <c r="B100">
        <v>96</v>
      </c>
      <c r="C100" t="s">
        <v>7</v>
      </c>
      <c r="D100" s="18">
        <v>54.910466364183584</v>
      </c>
      <c r="E100" s="19">
        <v>12.958870061947325</v>
      </c>
      <c r="F100" s="40">
        <v>2.1999999999999992E-2</v>
      </c>
    </row>
    <row r="101" spans="1:6" x14ac:dyDescent="0.25">
      <c r="A101" s="18" t="s">
        <v>26</v>
      </c>
      <c r="B101">
        <v>192</v>
      </c>
      <c r="C101" t="s">
        <v>7</v>
      </c>
      <c r="D101" s="18">
        <v>76.638945924399636</v>
      </c>
      <c r="E101" s="19">
        <v>18.086791238158312</v>
      </c>
      <c r="F101" s="40">
        <v>-4.6000000000000013E-2</v>
      </c>
    </row>
    <row r="102" spans="1:6" x14ac:dyDescent="0.25">
      <c r="A102" s="17" t="s">
        <v>26</v>
      </c>
      <c r="B102" s="16">
        <v>216</v>
      </c>
      <c r="C102" s="16" t="s">
        <v>7</v>
      </c>
      <c r="D102" s="17">
        <v>81.284390361469789</v>
      </c>
      <c r="E102" s="41">
        <v>19.183116125306871</v>
      </c>
      <c r="F102" s="42">
        <v>-6.3E-2</v>
      </c>
    </row>
    <row r="103" spans="1:6" x14ac:dyDescent="0.25">
      <c r="B103" s="21"/>
    </row>
    <row r="104" spans="1:6" x14ac:dyDescent="0.25">
      <c r="B104" s="21"/>
    </row>
    <row r="105" spans="1:6" x14ac:dyDescent="0.25">
      <c r="B105" s="21"/>
    </row>
    <row r="106" spans="1:6" x14ac:dyDescent="0.25">
      <c r="B106" s="21"/>
    </row>
    <row r="107" spans="1:6" x14ac:dyDescent="0.25">
      <c r="B107" s="21"/>
    </row>
    <row r="108" spans="1:6" x14ac:dyDescent="0.25">
      <c r="B108" s="21"/>
    </row>
    <row r="109" spans="1:6" x14ac:dyDescent="0.25">
      <c r="B109" s="21"/>
    </row>
    <row r="110" spans="1:6" x14ac:dyDescent="0.25">
      <c r="B110" s="21"/>
    </row>
    <row r="111" spans="1:6" x14ac:dyDescent="0.25">
      <c r="B111" s="21"/>
    </row>
    <row r="112" spans="1:6" x14ac:dyDescent="0.25">
      <c r="B112" s="21"/>
    </row>
    <row r="113" spans="2:2" x14ac:dyDescent="0.25">
      <c r="B113" s="21"/>
    </row>
    <row r="114" spans="2:2" x14ac:dyDescent="0.25">
      <c r="B114" s="21"/>
    </row>
    <row r="115" spans="2:2" x14ac:dyDescent="0.25">
      <c r="B115" s="21"/>
    </row>
    <row r="116" spans="2:2" x14ac:dyDescent="0.25">
      <c r="B116" s="21"/>
    </row>
    <row r="117" spans="2:2" x14ac:dyDescent="0.25">
      <c r="B117" s="21"/>
    </row>
    <row r="118" spans="2:2" x14ac:dyDescent="0.25">
      <c r="B118" s="21"/>
    </row>
    <row r="119" spans="2:2" x14ac:dyDescent="0.25">
      <c r="B119" s="21"/>
    </row>
    <row r="120" spans="2:2" x14ac:dyDescent="0.25">
      <c r="B120" s="21"/>
    </row>
    <row r="121" spans="2:2" x14ac:dyDescent="0.25">
      <c r="B121" s="21"/>
    </row>
    <row r="122" spans="2:2" x14ac:dyDescent="0.25">
      <c r="B122" s="21"/>
    </row>
    <row r="123" spans="2:2" x14ac:dyDescent="0.25">
      <c r="B123" s="21"/>
    </row>
    <row r="124" spans="2:2" x14ac:dyDescent="0.25">
      <c r="B124" s="21"/>
    </row>
    <row r="125" spans="2:2" x14ac:dyDescent="0.25">
      <c r="B125" s="21"/>
    </row>
    <row r="126" spans="2:2" x14ac:dyDescent="0.25">
      <c r="B126" s="21"/>
    </row>
    <row r="127" spans="2:2" x14ac:dyDescent="0.25">
      <c r="B127" s="21"/>
    </row>
    <row r="128" spans="2:2" x14ac:dyDescent="0.25">
      <c r="B128" s="21"/>
    </row>
  </sheetData>
  <mergeCells count="3">
    <mergeCell ref="A1:C1"/>
    <mergeCell ref="D1:F1"/>
    <mergeCell ref="G1:J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1"/>
  <dimension ref="A1:Q2271"/>
  <sheetViews>
    <sheetView workbookViewId="0">
      <selection activeCell="D14" sqref="D14"/>
    </sheetView>
  </sheetViews>
  <sheetFormatPr defaultRowHeight="15" x14ac:dyDescent="0.25"/>
  <cols>
    <col min="2" max="2" width="16.85546875" bestFit="1" customWidth="1"/>
    <col min="6" max="6" width="11.7109375" bestFit="1" customWidth="1"/>
    <col min="7" max="7" width="9.5703125" bestFit="1" customWidth="1"/>
    <col min="8" max="8" width="10.7109375" bestFit="1" customWidth="1"/>
    <col min="9" max="15" width="9.5703125" bestFit="1" customWidth="1"/>
    <col min="16" max="16" width="9.5703125" customWidth="1"/>
    <col min="17" max="17" width="11.85546875" style="19" bestFit="1" customWidth="1"/>
  </cols>
  <sheetData>
    <row r="1" spans="1:17" x14ac:dyDescent="0.25">
      <c r="A1" t="s">
        <v>27</v>
      </c>
      <c r="B1" t="s">
        <v>35</v>
      </c>
      <c r="C1" t="s">
        <v>30</v>
      </c>
      <c r="D1" t="s">
        <v>29</v>
      </c>
      <c r="E1" t="s">
        <v>28</v>
      </c>
      <c r="F1" t="s">
        <v>34</v>
      </c>
      <c r="G1" t="s">
        <v>32</v>
      </c>
      <c r="H1" t="s">
        <v>36</v>
      </c>
      <c r="I1" t="str">
        <f>CONCATENATEWITHDELIMITER(B1:H1,";")</f>
        <v>KLIMAATSCENARIO;SEIZOEN;DUUR;VOLUME;KANS;USE;KANSCORR</v>
      </c>
    </row>
    <row r="2" spans="1:17" x14ac:dyDescent="0.25">
      <c r="A2">
        <f t="shared" ref="A2:A65" si="0">IF(C2="zomer",24/D2*365.25 * 6/12,24/D2*365.25 * 6/12)</f>
        <v>182.625</v>
      </c>
      <c r="B2" t="s">
        <v>31</v>
      </c>
      <c r="C2" t="s">
        <v>11</v>
      </c>
      <c r="D2">
        <v>24</v>
      </c>
      <c r="E2">
        <v>15</v>
      </c>
      <c r="F2" s="22">
        <f>STOWA2019_HUIDIG_Z!$F4</f>
        <v>354.97697248392188</v>
      </c>
      <c r="G2" s="22" t="s">
        <v>33</v>
      </c>
      <c r="H2" s="22">
        <f>STOWA2019_HUIDIG_Z!$F4</f>
        <v>354.97697248392188</v>
      </c>
      <c r="I2" t="str">
        <f t="shared" ref="I2:I65" si="1">CONCATENATEWITHDELIMITER(B2:H2,";")</f>
        <v>HUIDIG;zomer;24;15;354.976972483922;TRUE;354.976972483922</v>
      </c>
      <c r="P2" s="22"/>
      <c r="Q2" s="44"/>
    </row>
    <row r="3" spans="1:17" x14ac:dyDescent="0.25">
      <c r="A3">
        <f t="shared" si="0"/>
        <v>182.625</v>
      </c>
      <c r="B3" t="s">
        <v>31</v>
      </c>
      <c r="C3" t="s">
        <v>11</v>
      </c>
      <c r="D3">
        <v>24</v>
      </c>
      <c r="E3">
        <f>E2+5</f>
        <v>20</v>
      </c>
      <c r="F3" s="22">
        <f>STOWA2019_HUIDIG_Z!$F5</f>
        <v>5.0678115457264816</v>
      </c>
      <c r="G3" s="22" t="s">
        <v>33</v>
      </c>
      <c r="H3" s="22">
        <f>STOWA2019_HUIDIG_Z!$F5</f>
        <v>5.0678115457264816</v>
      </c>
      <c r="I3" t="str">
        <f t="shared" si="1"/>
        <v>HUIDIG;zomer;24;20;5.06781154572648;TRUE;5.06781154572648</v>
      </c>
      <c r="P3" s="22"/>
      <c r="Q3" s="44"/>
    </row>
    <row r="4" spans="1:17" x14ac:dyDescent="0.25">
      <c r="A4">
        <f t="shared" si="0"/>
        <v>182.625</v>
      </c>
      <c r="B4" t="s">
        <v>31</v>
      </c>
      <c r="C4" t="s">
        <v>11</v>
      </c>
      <c r="D4">
        <v>24</v>
      </c>
      <c r="E4">
        <f t="shared" ref="E4:E20" si="2">E3+5</f>
        <v>25</v>
      </c>
      <c r="F4" s="22">
        <f>STOWA2019_HUIDIG_Z!$F6</f>
        <v>2.4097867943313944</v>
      </c>
      <c r="G4" s="22" t="s">
        <v>33</v>
      </c>
      <c r="H4" s="22">
        <f>STOWA2019_HUIDIG_Z!$F6</f>
        <v>2.4097867943313944</v>
      </c>
      <c r="I4" t="str">
        <f t="shared" si="1"/>
        <v>HUIDIG;zomer;24;25;2.40978679433139;TRUE;2.40978679433139</v>
      </c>
      <c r="P4" s="22"/>
      <c r="Q4" s="44"/>
    </row>
    <row r="5" spans="1:17" x14ac:dyDescent="0.25">
      <c r="A5">
        <f t="shared" si="0"/>
        <v>182.625</v>
      </c>
      <c r="B5" t="s">
        <v>31</v>
      </c>
      <c r="C5" t="s">
        <v>11</v>
      </c>
      <c r="D5">
        <v>24</v>
      </c>
      <c r="E5">
        <f t="shared" si="2"/>
        <v>30</v>
      </c>
      <c r="F5" s="22">
        <f>STOWA2019_HUIDIG_Z!$F7</f>
        <v>1.2187573898116886</v>
      </c>
      <c r="G5" s="22" t="s">
        <v>33</v>
      </c>
      <c r="H5" s="22">
        <f>STOWA2019_HUIDIG_Z!$F7</f>
        <v>1.2187573898116886</v>
      </c>
      <c r="I5" t="str">
        <f t="shared" si="1"/>
        <v>HUIDIG;zomer;24;30;1.21875738981169;TRUE;1.21875738981169</v>
      </c>
      <c r="P5" s="22"/>
      <c r="Q5" s="44"/>
    </row>
    <row r="6" spans="1:17" x14ac:dyDescent="0.25">
      <c r="A6">
        <f t="shared" si="0"/>
        <v>182.625</v>
      </c>
      <c r="B6" t="s">
        <v>31</v>
      </c>
      <c r="C6" t="s">
        <v>11</v>
      </c>
      <c r="D6">
        <v>24</v>
      </c>
      <c r="E6">
        <f t="shared" si="2"/>
        <v>35</v>
      </c>
      <c r="F6" s="22">
        <f>STOWA2019_HUIDIG_Z!$F8</f>
        <v>0.64940327205013948</v>
      </c>
      <c r="G6" s="22" t="s">
        <v>33</v>
      </c>
      <c r="H6" s="22">
        <f>STOWA2019_HUIDIG_Z!$F8</f>
        <v>0.64940327205013948</v>
      </c>
      <c r="I6" t="str">
        <f t="shared" si="1"/>
        <v>HUIDIG;zomer;24;35;0.649403272050139;TRUE;0.649403272050139</v>
      </c>
      <c r="P6" s="22"/>
      <c r="Q6" s="44"/>
    </row>
    <row r="7" spans="1:17" x14ac:dyDescent="0.25">
      <c r="A7">
        <f t="shared" si="0"/>
        <v>182.625</v>
      </c>
      <c r="B7" t="s">
        <v>31</v>
      </c>
      <c r="C7" t="s">
        <v>11</v>
      </c>
      <c r="D7">
        <v>24</v>
      </c>
      <c r="E7">
        <f t="shared" si="2"/>
        <v>40</v>
      </c>
      <c r="F7" s="22">
        <f>STOWA2019_HUIDIG_Z!$F9</f>
        <v>0.36185568993044437</v>
      </c>
      <c r="G7" s="22" t="s">
        <v>33</v>
      </c>
      <c r="H7" s="22">
        <f>STOWA2019_HUIDIG_Z!$F9</f>
        <v>0.36185568993044437</v>
      </c>
      <c r="I7" t="str">
        <f t="shared" si="1"/>
        <v>HUIDIG;zomer;24;40;0.361855689930444;TRUE;0.361855689930444</v>
      </c>
      <c r="P7" s="22"/>
      <c r="Q7" s="44"/>
    </row>
    <row r="8" spans="1:17" x14ac:dyDescent="0.25">
      <c r="A8">
        <f t="shared" si="0"/>
        <v>182.625</v>
      </c>
      <c r="B8" t="s">
        <v>31</v>
      </c>
      <c r="C8" t="s">
        <v>11</v>
      </c>
      <c r="D8">
        <v>24</v>
      </c>
      <c r="E8">
        <f t="shared" si="2"/>
        <v>45</v>
      </c>
      <c r="F8" s="22">
        <f>STOWA2019_HUIDIG_Z!$F10</f>
        <v>0.20960132114050517</v>
      </c>
      <c r="G8" s="22" t="s">
        <v>33</v>
      </c>
      <c r="H8" s="22">
        <f>STOWA2019_HUIDIG_Z!$F10</f>
        <v>0.20960132114050517</v>
      </c>
      <c r="I8" t="str">
        <f t="shared" si="1"/>
        <v>HUIDIG;zomer;24;45;0.209601321140505;TRUE;0.209601321140505</v>
      </c>
      <c r="P8" s="22"/>
      <c r="Q8" s="44"/>
    </row>
    <row r="9" spans="1:17" x14ac:dyDescent="0.25">
      <c r="A9">
        <f t="shared" si="0"/>
        <v>182.625</v>
      </c>
      <c r="B9" t="s">
        <v>31</v>
      </c>
      <c r="C9" t="s">
        <v>11</v>
      </c>
      <c r="D9">
        <v>24</v>
      </c>
      <c r="E9">
        <f t="shared" si="2"/>
        <v>50</v>
      </c>
      <c r="F9" s="22">
        <f>STOWA2019_HUIDIG_Z!$F11</f>
        <v>0.12560009080864826</v>
      </c>
      <c r="G9" s="22" t="s">
        <v>33</v>
      </c>
      <c r="H9" s="22">
        <f>STOWA2019_HUIDIG_Z!$F11</f>
        <v>0.12560009080864826</v>
      </c>
      <c r="I9" t="str">
        <f t="shared" si="1"/>
        <v>HUIDIG;zomer;24;50;0.125600090808648;TRUE;0.125600090808648</v>
      </c>
      <c r="P9" s="22"/>
      <c r="Q9" s="44"/>
    </row>
    <row r="10" spans="1:17" x14ac:dyDescent="0.25">
      <c r="A10">
        <f t="shared" si="0"/>
        <v>182.625</v>
      </c>
      <c r="B10" t="s">
        <v>31</v>
      </c>
      <c r="C10" t="s">
        <v>11</v>
      </c>
      <c r="D10">
        <v>24</v>
      </c>
      <c r="E10">
        <f t="shared" si="2"/>
        <v>55</v>
      </c>
      <c r="F10" s="22">
        <f>STOWA2019_HUIDIG_Z!$F12</f>
        <v>7.7552143850680072E-2</v>
      </c>
      <c r="G10" s="22" t="s">
        <v>33</v>
      </c>
      <c r="H10" s="22">
        <f>STOWA2019_HUIDIG_Z!$F12</f>
        <v>7.7552143850680072E-2</v>
      </c>
      <c r="I10" t="str">
        <f t="shared" si="1"/>
        <v>HUIDIG;zomer;24;55;7.75521438506801E-02;TRUE;7.75521438506801E-02</v>
      </c>
      <c r="P10" s="22"/>
      <c r="Q10" s="44"/>
    </row>
    <row r="11" spans="1:17" x14ac:dyDescent="0.25">
      <c r="A11">
        <f t="shared" si="0"/>
        <v>182.625</v>
      </c>
      <c r="B11" t="s">
        <v>31</v>
      </c>
      <c r="C11" t="s">
        <v>11</v>
      </c>
      <c r="D11">
        <v>24</v>
      </c>
      <c r="E11">
        <f t="shared" si="2"/>
        <v>60</v>
      </c>
      <c r="F11" s="22">
        <f>STOWA2019_HUIDIG_Z!$F13</f>
        <v>4.917727047674593E-2</v>
      </c>
      <c r="G11" s="22" t="s">
        <v>33</v>
      </c>
      <c r="H11" s="22">
        <f>STOWA2019_HUIDIG_Z!$F13</f>
        <v>4.917727047674593E-2</v>
      </c>
      <c r="I11" t="str">
        <f t="shared" si="1"/>
        <v>HUIDIG;zomer;24;60;4.91772704767459E-02;TRUE;4.91772704767459E-02</v>
      </c>
      <c r="P11" s="22"/>
      <c r="Q11" s="44"/>
    </row>
    <row r="12" spans="1:17" x14ac:dyDescent="0.25">
      <c r="A12">
        <f t="shared" si="0"/>
        <v>182.625</v>
      </c>
      <c r="B12" t="s">
        <v>31</v>
      </c>
      <c r="C12" t="s">
        <v>11</v>
      </c>
      <c r="D12">
        <v>24</v>
      </c>
      <c r="E12">
        <f t="shared" si="2"/>
        <v>65</v>
      </c>
      <c r="F12" s="22">
        <f>STOWA2019_HUIDIG_Z!$F14</f>
        <v>3.1936554816472895E-2</v>
      </c>
      <c r="G12" s="22" t="s">
        <v>33</v>
      </c>
      <c r="H12" s="22">
        <f>STOWA2019_HUIDIG_Z!$F14</f>
        <v>3.1936554816472895E-2</v>
      </c>
      <c r="I12" t="str">
        <f t="shared" si="1"/>
        <v>HUIDIG;zomer;24;65;3.19365548164729E-02;TRUE;3.19365548164729E-02</v>
      </c>
      <c r="P12" s="22"/>
      <c r="Q12" s="44"/>
    </row>
    <row r="13" spans="1:17" x14ac:dyDescent="0.25">
      <c r="A13">
        <f t="shared" si="0"/>
        <v>182.625</v>
      </c>
      <c r="B13" t="s">
        <v>31</v>
      </c>
      <c r="C13" t="s">
        <v>11</v>
      </c>
      <c r="D13">
        <v>24</v>
      </c>
      <c r="E13">
        <f t="shared" si="2"/>
        <v>70</v>
      </c>
      <c r="F13" s="22">
        <f>STOWA2019_HUIDIG_Z!$F15</f>
        <v>2.1190094633255448E-2</v>
      </c>
      <c r="G13" s="22" t="s">
        <v>33</v>
      </c>
      <c r="H13" s="22">
        <f>STOWA2019_HUIDIG_Z!$F15</f>
        <v>2.1190094633255448E-2</v>
      </c>
      <c r="I13" t="str">
        <f t="shared" si="1"/>
        <v>HUIDIG;zomer;24;70;2.11900946332554E-02;TRUE;2.11900946332554E-02</v>
      </c>
      <c r="P13" s="22"/>
      <c r="Q13" s="44"/>
    </row>
    <row r="14" spans="1:17" x14ac:dyDescent="0.25">
      <c r="A14">
        <f t="shared" si="0"/>
        <v>182.625</v>
      </c>
      <c r="B14" t="s">
        <v>31</v>
      </c>
      <c r="C14" t="s">
        <v>11</v>
      </c>
      <c r="D14">
        <v>24</v>
      </c>
      <c r="E14">
        <f t="shared" si="2"/>
        <v>75</v>
      </c>
      <c r="F14" s="22">
        <f>STOWA2019_HUIDIG_Z!$F16</f>
        <v>1.4335547299524576E-2</v>
      </c>
      <c r="G14" s="22" t="s">
        <v>33</v>
      </c>
      <c r="H14" s="22">
        <f>STOWA2019_HUIDIG_Z!$F16</f>
        <v>1.4335547299524576E-2</v>
      </c>
      <c r="I14" t="str">
        <f t="shared" si="1"/>
        <v>HUIDIG;zomer;24;75;1.43355472995246E-02;TRUE;1.43355472995246E-02</v>
      </c>
      <c r="P14" s="22"/>
      <c r="Q14" s="44"/>
    </row>
    <row r="15" spans="1:17" x14ac:dyDescent="0.25">
      <c r="A15">
        <f t="shared" si="0"/>
        <v>182.625</v>
      </c>
      <c r="B15" t="s">
        <v>31</v>
      </c>
      <c r="C15" t="s">
        <v>11</v>
      </c>
      <c r="D15">
        <v>24</v>
      </c>
      <c r="E15">
        <f t="shared" si="2"/>
        <v>80</v>
      </c>
      <c r="F15" s="22">
        <f>STOWA2019_HUIDIG_Z!$F17</f>
        <v>9.8711557687627162E-3</v>
      </c>
      <c r="G15" s="22" t="s">
        <v>33</v>
      </c>
      <c r="H15" s="22">
        <f>STOWA2019_HUIDIG_Z!$F17</f>
        <v>9.8711557687627162E-3</v>
      </c>
      <c r="I15" t="str">
        <f t="shared" si="1"/>
        <v>HUIDIG;zomer;24;80;9.87115576876272E-03;TRUE;9.87115576876272E-03</v>
      </c>
      <c r="P15" s="22"/>
      <c r="Q15" s="44"/>
    </row>
    <row r="16" spans="1:17" x14ac:dyDescent="0.25">
      <c r="A16">
        <f t="shared" si="0"/>
        <v>182.625</v>
      </c>
      <c r="B16" t="s">
        <v>31</v>
      </c>
      <c r="C16" t="s">
        <v>11</v>
      </c>
      <c r="D16">
        <v>24</v>
      </c>
      <c r="E16">
        <f t="shared" si="2"/>
        <v>85</v>
      </c>
      <c r="F16" s="22">
        <f>STOWA2019_HUIDIG_Z!$F18</f>
        <v>6.9076347090306321E-3</v>
      </c>
      <c r="G16" s="22" t="s">
        <v>33</v>
      </c>
      <c r="H16" s="22">
        <f>STOWA2019_HUIDIG_Z!$F18</f>
        <v>6.9076347090306321E-3</v>
      </c>
      <c r="I16" t="str">
        <f t="shared" si="1"/>
        <v>HUIDIG;zomer;24;85;6.90763470903063E-03;TRUE;6.90763470903063E-03</v>
      </c>
      <c r="P16" s="22"/>
      <c r="Q16" s="44"/>
    </row>
    <row r="17" spans="1:17" x14ac:dyDescent="0.25">
      <c r="A17">
        <f t="shared" si="0"/>
        <v>182.625</v>
      </c>
      <c r="B17" t="s">
        <v>31</v>
      </c>
      <c r="C17" t="s">
        <v>11</v>
      </c>
      <c r="D17">
        <v>24</v>
      </c>
      <c r="E17">
        <f t="shared" si="2"/>
        <v>90</v>
      </c>
      <c r="F17" s="22">
        <f>STOWA2019_HUIDIG_Z!$F19</f>
        <v>4.9058758306939169E-3</v>
      </c>
      <c r="G17" s="22" t="s">
        <v>33</v>
      </c>
      <c r="H17" s="22">
        <f>STOWA2019_HUIDIG_Z!$F19</f>
        <v>4.9058758306939169E-3</v>
      </c>
      <c r="I17" t="str">
        <f t="shared" si="1"/>
        <v>HUIDIG;zomer;24;90;4.90587583069392E-03;TRUE;4.90587583069392E-03</v>
      </c>
      <c r="P17" s="22"/>
      <c r="Q17" s="44"/>
    </row>
    <row r="18" spans="1:17" x14ac:dyDescent="0.25">
      <c r="A18">
        <f t="shared" si="0"/>
        <v>182.625</v>
      </c>
      <c r="B18" t="s">
        <v>31</v>
      </c>
      <c r="C18" t="s">
        <v>11</v>
      </c>
      <c r="D18">
        <v>24</v>
      </c>
      <c r="E18">
        <f t="shared" si="2"/>
        <v>95</v>
      </c>
      <c r="F18" s="22">
        <f>STOWA2019_HUIDIG_Z!$F20</f>
        <v>3.5319734508551213E-3</v>
      </c>
      <c r="G18" s="22" t="s">
        <v>33</v>
      </c>
      <c r="H18" s="22">
        <f>STOWA2019_HUIDIG_Z!$F20</f>
        <v>3.5319734508551213E-3</v>
      </c>
      <c r="I18" t="str">
        <f t="shared" si="1"/>
        <v>HUIDIG;zomer;24;95;3.53197345085512E-03;TRUE;3.53197345085512E-03</v>
      </c>
      <c r="P18" s="22"/>
      <c r="Q18" s="44"/>
    </row>
    <row r="19" spans="1:17" x14ac:dyDescent="0.25">
      <c r="A19">
        <f t="shared" si="0"/>
        <v>182.625</v>
      </c>
      <c r="B19" t="s">
        <v>31</v>
      </c>
      <c r="C19" t="s">
        <v>11</v>
      </c>
      <c r="D19">
        <v>24</v>
      </c>
      <c r="E19">
        <f t="shared" si="2"/>
        <v>100</v>
      </c>
      <c r="F19" s="22">
        <f>STOWA2019_HUIDIG_Z!$F21</f>
        <v>2.5750093453413576E-3</v>
      </c>
      <c r="G19" s="22" t="s">
        <v>33</v>
      </c>
      <c r="H19" s="22">
        <f>STOWA2019_HUIDIG_Z!$F21</f>
        <v>2.5750093453413576E-3</v>
      </c>
      <c r="I19" t="str">
        <f t="shared" si="1"/>
        <v>HUIDIG;zomer;24;100;2.57500934534136E-03;TRUE;2.57500934534136E-03</v>
      </c>
      <c r="P19" s="22"/>
      <c r="Q19" s="44"/>
    </row>
    <row r="20" spans="1:17" x14ac:dyDescent="0.25">
      <c r="A20">
        <f t="shared" si="0"/>
        <v>182.625</v>
      </c>
      <c r="B20" t="s">
        <v>31</v>
      </c>
      <c r="C20" t="s">
        <v>11</v>
      </c>
      <c r="D20">
        <v>24</v>
      </c>
      <c r="E20">
        <f t="shared" si="2"/>
        <v>105</v>
      </c>
      <c r="F20" s="22">
        <f>STOWA2019_HUIDIG_Z!$F22</f>
        <v>8.2281520974675764E-3</v>
      </c>
      <c r="G20" s="22" t="s">
        <v>33</v>
      </c>
      <c r="H20" s="22">
        <f>STOWA2019_HUIDIG_Z!$F22</f>
        <v>8.2281520974675764E-3</v>
      </c>
      <c r="I20" t="str">
        <f t="shared" si="1"/>
        <v>HUIDIG;zomer;24;105;8.22815209746758E-03;TRUE;8.22815209746758E-03</v>
      </c>
      <c r="P20" s="22"/>
      <c r="Q20" s="44"/>
    </row>
    <row r="21" spans="1:17" x14ac:dyDescent="0.25">
      <c r="A21">
        <f t="shared" si="0"/>
        <v>91.3125</v>
      </c>
      <c r="B21" t="s">
        <v>31</v>
      </c>
      <c r="C21" t="s">
        <v>11</v>
      </c>
      <c r="D21">
        <v>48</v>
      </c>
      <c r="E21">
        <v>15</v>
      </c>
      <c r="F21" s="22">
        <f>STOWA2019_HUIDIG_Z!$J4</f>
        <v>163.38599924970546</v>
      </c>
      <c r="G21" s="22" t="s">
        <v>33</v>
      </c>
      <c r="H21" s="22">
        <f>STOWA2019_HUIDIG_Z!$J4</f>
        <v>163.38599924970546</v>
      </c>
      <c r="I21" t="str">
        <f t="shared" si="1"/>
        <v>HUIDIG;zomer;48;15;163.385999249705;TRUE;163.385999249705</v>
      </c>
      <c r="P21" s="22"/>
      <c r="Q21" s="44"/>
    </row>
    <row r="22" spans="1:17" x14ac:dyDescent="0.25">
      <c r="A22">
        <f t="shared" si="0"/>
        <v>91.3125</v>
      </c>
      <c r="B22" t="s">
        <v>31</v>
      </c>
      <c r="C22" t="s">
        <v>11</v>
      </c>
      <c r="D22">
        <v>48</v>
      </c>
      <c r="E22">
        <f>E21+5</f>
        <v>20</v>
      </c>
      <c r="F22" s="22">
        <f>STOWA2019_HUIDIG_Z!$J5</f>
        <v>8.5346401089025736</v>
      </c>
      <c r="G22" s="22" t="s">
        <v>33</v>
      </c>
      <c r="H22" s="22">
        <f>STOWA2019_HUIDIG_Z!$J5</f>
        <v>8.5346401089025736</v>
      </c>
      <c r="I22" t="str">
        <f t="shared" si="1"/>
        <v>HUIDIG;zomer;48;20;8.53464010890257;TRUE;8.53464010890257</v>
      </c>
      <c r="P22" s="22"/>
      <c r="Q22" s="44"/>
    </row>
    <row r="23" spans="1:17" x14ac:dyDescent="0.25">
      <c r="A23">
        <f t="shared" si="0"/>
        <v>91.3125</v>
      </c>
      <c r="B23" t="s">
        <v>31</v>
      </c>
      <c r="C23" t="s">
        <v>11</v>
      </c>
      <c r="D23">
        <v>48</v>
      </c>
      <c r="E23">
        <f t="shared" ref="E23:E40" si="3">E22+5</f>
        <v>25</v>
      </c>
      <c r="F23" s="22">
        <f>STOWA2019_HUIDIG_Z!$J6</f>
        <v>4.5502528712247523</v>
      </c>
      <c r="G23" s="22" t="s">
        <v>33</v>
      </c>
      <c r="H23" s="22">
        <f>STOWA2019_HUIDIG_Z!$J6</f>
        <v>4.5502528712247523</v>
      </c>
      <c r="I23" t="str">
        <f t="shared" si="1"/>
        <v>HUIDIG;zomer;48;25;4.55025287122475;TRUE;4.55025287122475</v>
      </c>
      <c r="P23" s="22"/>
      <c r="Q23" s="44"/>
    </row>
    <row r="24" spans="1:17" x14ac:dyDescent="0.25">
      <c r="A24">
        <f t="shared" si="0"/>
        <v>91.3125</v>
      </c>
      <c r="B24" t="s">
        <v>31</v>
      </c>
      <c r="C24" t="s">
        <v>11</v>
      </c>
      <c r="D24">
        <v>48</v>
      </c>
      <c r="E24">
        <f t="shared" si="3"/>
        <v>30</v>
      </c>
      <c r="F24" s="22">
        <f>STOWA2019_HUIDIG_Z!$J7</f>
        <v>2.5108517085862339</v>
      </c>
      <c r="G24" s="22" t="s">
        <v>33</v>
      </c>
      <c r="H24" s="22">
        <f>STOWA2019_HUIDIG_Z!$J7</f>
        <v>2.5108517085862339</v>
      </c>
      <c r="I24" t="str">
        <f t="shared" si="1"/>
        <v>HUIDIG;zomer;48;30;2.51085170858623;TRUE;2.51085170858623</v>
      </c>
      <c r="P24" s="22"/>
      <c r="Q24" s="44"/>
    </row>
    <row r="25" spans="1:17" x14ac:dyDescent="0.25">
      <c r="A25">
        <f t="shared" si="0"/>
        <v>91.3125</v>
      </c>
      <c r="B25" t="s">
        <v>31</v>
      </c>
      <c r="C25" t="s">
        <v>11</v>
      </c>
      <c r="D25">
        <v>48</v>
      </c>
      <c r="E25">
        <f t="shared" si="3"/>
        <v>35</v>
      </c>
      <c r="F25" s="22">
        <f>STOWA2019_HUIDIG_Z!$J8</f>
        <v>1.4288576571676836</v>
      </c>
      <c r="G25" s="22" t="s">
        <v>33</v>
      </c>
      <c r="H25" s="22">
        <f>STOWA2019_HUIDIG_Z!$J8</f>
        <v>1.4288576571676836</v>
      </c>
      <c r="I25" t="str">
        <f t="shared" si="1"/>
        <v>HUIDIG;zomer;48;35;1.42885765716768;TRUE;1.42885765716768</v>
      </c>
      <c r="P25" s="22"/>
      <c r="Q25" s="44"/>
    </row>
    <row r="26" spans="1:17" x14ac:dyDescent="0.25">
      <c r="A26">
        <f t="shared" si="0"/>
        <v>91.3125</v>
      </c>
      <c r="B26" t="s">
        <v>31</v>
      </c>
      <c r="C26" t="s">
        <v>11</v>
      </c>
      <c r="D26">
        <v>48</v>
      </c>
      <c r="E26">
        <f t="shared" si="3"/>
        <v>40</v>
      </c>
      <c r="F26" s="22">
        <f>STOWA2019_HUIDIG_Z!$J9</f>
        <v>0.83602095941681398</v>
      </c>
      <c r="G26" s="22" t="s">
        <v>33</v>
      </c>
      <c r="H26" s="22">
        <f>STOWA2019_HUIDIG_Z!$J9</f>
        <v>0.83602095941681398</v>
      </c>
      <c r="I26" t="str">
        <f t="shared" si="1"/>
        <v>HUIDIG;zomer;48;40;0.836020959416814;TRUE;0.836020959416814</v>
      </c>
      <c r="P26" s="22"/>
      <c r="Q26" s="44"/>
    </row>
    <row r="27" spans="1:17" x14ac:dyDescent="0.25">
      <c r="A27">
        <f t="shared" si="0"/>
        <v>91.3125</v>
      </c>
      <c r="B27" t="s">
        <v>31</v>
      </c>
      <c r="C27" t="s">
        <v>11</v>
      </c>
      <c r="D27">
        <v>48</v>
      </c>
      <c r="E27">
        <f t="shared" si="3"/>
        <v>45</v>
      </c>
      <c r="F27" s="22">
        <f>STOWA2019_HUIDIG_Z!$J10</f>
        <v>0.5016152060071648</v>
      </c>
      <c r="G27" s="22" t="s">
        <v>33</v>
      </c>
      <c r="H27" s="22">
        <f>STOWA2019_HUIDIG_Z!$J10</f>
        <v>0.5016152060071648</v>
      </c>
      <c r="I27" t="str">
        <f t="shared" si="1"/>
        <v>HUIDIG;zomer;48;45;0.501615206007165;TRUE;0.501615206007165</v>
      </c>
      <c r="P27" s="22"/>
      <c r="Q27" s="44"/>
    </row>
    <row r="28" spans="1:17" x14ac:dyDescent="0.25">
      <c r="A28">
        <f t="shared" si="0"/>
        <v>91.3125</v>
      </c>
      <c r="B28" t="s">
        <v>31</v>
      </c>
      <c r="C28" t="s">
        <v>11</v>
      </c>
      <c r="D28">
        <v>48</v>
      </c>
      <c r="E28">
        <f t="shared" si="3"/>
        <v>50</v>
      </c>
      <c r="F28" s="22">
        <f>STOWA2019_HUIDIG_Z!$J11</f>
        <v>0.30794127708119268</v>
      </c>
      <c r="G28" s="22" t="s">
        <v>33</v>
      </c>
      <c r="H28" s="22">
        <f>STOWA2019_HUIDIG_Z!$J11</f>
        <v>0.30794127708119268</v>
      </c>
      <c r="I28" t="str">
        <f t="shared" si="1"/>
        <v>HUIDIG;zomer;48;50;0.307941277081193;TRUE;0.307941277081193</v>
      </c>
      <c r="P28" s="22"/>
      <c r="Q28" s="44"/>
    </row>
    <row r="29" spans="1:17" x14ac:dyDescent="0.25">
      <c r="A29">
        <f t="shared" si="0"/>
        <v>91.3125</v>
      </c>
      <c r="B29" t="s">
        <v>31</v>
      </c>
      <c r="C29" t="s">
        <v>11</v>
      </c>
      <c r="D29">
        <v>48</v>
      </c>
      <c r="E29">
        <f t="shared" si="3"/>
        <v>55</v>
      </c>
      <c r="F29" s="22">
        <f>STOWA2019_HUIDIG_Z!$J12</f>
        <v>0.1930429794546184</v>
      </c>
      <c r="G29" s="22" t="s">
        <v>33</v>
      </c>
      <c r="H29" s="22">
        <f>STOWA2019_HUIDIG_Z!$J12</f>
        <v>0.1930429794546184</v>
      </c>
      <c r="I29" t="str">
        <f t="shared" si="1"/>
        <v>HUIDIG;zomer;48;55;0.193042979454618;TRUE;0.193042979454618</v>
      </c>
      <c r="P29" s="22"/>
      <c r="Q29" s="44"/>
    </row>
    <row r="30" spans="1:17" x14ac:dyDescent="0.25">
      <c r="A30">
        <f t="shared" si="0"/>
        <v>91.3125</v>
      </c>
      <c r="B30" t="s">
        <v>31</v>
      </c>
      <c r="C30" t="s">
        <v>11</v>
      </c>
      <c r="D30">
        <v>48</v>
      </c>
      <c r="E30">
        <f t="shared" si="3"/>
        <v>60</v>
      </c>
      <c r="F30" s="22">
        <f>STOWA2019_HUIDIG_Z!$J13</f>
        <v>0.12336162388531191</v>
      </c>
      <c r="G30" s="22" t="s">
        <v>33</v>
      </c>
      <c r="H30" s="22">
        <f>STOWA2019_HUIDIG_Z!$J13</f>
        <v>0.12336162388531191</v>
      </c>
      <c r="I30" t="str">
        <f t="shared" si="1"/>
        <v>HUIDIG;zomer;48;60;0.123361623885312;TRUE;0.123361623885312</v>
      </c>
      <c r="P30" s="22"/>
      <c r="Q30" s="44"/>
    </row>
    <row r="31" spans="1:17" x14ac:dyDescent="0.25">
      <c r="A31">
        <f t="shared" si="0"/>
        <v>91.3125</v>
      </c>
      <c r="B31" t="s">
        <v>31</v>
      </c>
      <c r="C31" t="s">
        <v>11</v>
      </c>
      <c r="D31">
        <v>48</v>
      </c>
      <c r="E31">
        <f t="shared" si="3"/>
        <v>65</v>
      </c>
      <c r="F31" s="22">
        <f>STOWA2019_HUIDIG_Z!$J14</f>
        <v>8.0239131614591508E-2</v>
      </c>
      <c r="G31" s="22" t="s">
        <v>33</v>
      </c>
      <c r="H31" s="22">
        <f>STOWA2019_HUIDIG_Z!$J14</f>
        <v>8.0239131614591508E-2</v>
      </c>
      <c r="I31" t="str">
        <f t="shared" si="1"/>
        <v>HUIDIG;zomer;48;65;8.02391316145915E-02;TRUE;8.02391316145915E-02</v>
      </c>
      <c r="P31" s="22"/>
      <c r="Q31" s="44"/>
    </row>
    <row r="32" spans="1:17" x14ac:dyDescent="0.25">
      <c r="A32">
        <f t="shared" si="0"/>
        <v>91.3125</v>
      </c>
      <c r="B32" t="s">
        <v>31</v>
      </c>
      <c r="C32" t="s">
        <v>11</v>
      </c>
      <c r="D32">
        <v>48</v>
      </c>
      <c r="E32">
        <f t="shared" si="3"/>
        <v>70</v>
      </c>
      <c r="F32" s="22">
        <f>STOWA2019_HUIDIG_Z!$J15</f>
        <v>5.3050319578181918E-2</v>
      </c>
      <c r="G32" s="22" t="s">
        <v>33</v>
      </c>
      <c r="H32" s="22">
        <f>STOWA2019_HUIDIG_Z!$J15</f>
        <v>5.3050319578181918E-2</v>
      </c>
      <c r="I32" t="str">
        <f t="shared" si="1"/>
        <v>HUIDIG;zomer;48;70;5.30503195781819E-02;TRUE;5.30503195781819E-02</v>
      </c>
      <c r="P32" s="22"/>
      <c r="Q32" s="44"/>
    </row>
    <row r="33" spans="1:17" x14ac:dyDescent="0.25">
      <c r="A33">
        <f t="shared" si="0"/>
        <v>91.3125</v>
      </c>
      <c r="B33" t="s">
        <v>31</v>
      </c>
      <c r="C33" t="s">
        <v>11</v>
      </c>
      <c r="D33">
        <v>48</v>
      </c>
      <c r="E33">
        <f t="shared" si="3"/>
        <v>75</v>
      </c>
      <c r="F33" s="22">
        <f>STOWA2019_HUIDIG_Z!$J16</f>
        <v>3.5609457027635932E-2</v>
      </c>
      <c r="G33" s="22" t="s">
        <v>33</v>
      </c>
      <c r="H33" s="22">
        <f>STOWA2019_HUIDIG_Z!$J16</f>
        <v>3.5609457027635932E-2</v>
      </c>
      <c r="I33" t="str">
        <f t="shared" si="1"/>
        <v>HUIDIG;zomer;48;75;3.56094570276359E-02;TRUE;3.56094570276359E-02</v>
      </c>
      <c r="P33" s="22"/>
      <c r="Q33" s="44"/>
    </row>
    <row r="34" spans="1:17" x14ac:dyDescent="0.25">
      <c r="A34">
        <f t="shared" si="0"/>
        <v>91.3125</v>
      </c>
      <c r="B34" t="s">
        <v>31</v>
      </c>
      <c r="C34" t="s">
        <v>11</v>
      </c>
      <c r="D34">
        <v>48</v>
      </c>
      <c r="E34">
        <f t="shared" si="3"/>
        <v>80</v>
      </c>
      <c r="F34" s="22">
        <f>STOWA2019_HUIDIG_Z!$J17</f>
        <v>2.4241160708950195E-2</v>
      </c>
      <c r="G34" s="22" t="s">
        <v>33</v>
      </c>
      <c r="H34" s="22">
        <f>STOWA2019_HUIDIG_Z!$J17</f>
        <v>2.4241160708950195E-2</v>
      </c>
      <c r="I34" t="str">
        <f t="shared" si="1"/>
        <v>HUIDIG;zomer;48;80;2.42411607089502E-02;TRUE;2.42411607089502E-02</v>
      </c>
      <c r="P34" s="22"/>
      <c r="Q34" s="44"/>
    </row>
    <row r="35" spans="1:17" x14ac:dyDescent="0.25">
      <c r="A35">
        <f t="shared" si="0"/>
        <v>91.3125</v>
      </c>
      <c r="B35" t="s">
        <v>31</v>
      </c>
      <c r="C35" t="s">
        <v>11</v>
      </c>
      <c r="D35">
        <v>48</v>
      </c>
      <c r="E35">
        <f t="shared" si="3"/>
        <v>85</v>
      </c>
      <c r="F35" s="22">
        <f>STOWA2019_HUIDIG_Z!$J18</f>
        <v>1.6719950945155763E-2</v>
      </c>
      <c r="G35" s="22" t="s">
        <v>33</v>
      </c>
      <c r="H35" s="22">
        <f>STOWA2019_HUIDIG_Z!$J18</f>
        <v>1.6719950945155763E-2</v>
      </c>
      <c r="I35" t="str">
        <f t="shared" si="1"/>
        <v>HUIDIG;zomer;48;85;1.67199509451558E-02;TRUE;1.67199509451558E-02</v>
      </c>
      <c r="P35" s="22"/>
      <c r="Q35" s="44"/>
    </row>
    <row r="36" spans="1:17" x14ac:dyDescent="0.25">
      <c r="A36">
        <f t="shared" si="0"/>
        <v>91.3125</v>
      </c>
      <c r="B36" t="s">
        <v>31</v>
      </c>
      <c r="C36" t="s">
        <v>11</v>
      </c>
      <c r="D36">
        <v>48</v>
      </c>
      <c r="E36">
        <f t="shared" si="3"/>
        <v>90</v>
      </c>
      <c r="F36" s="22">
        <f>STOWA2019_HUIDIG_Z!$J19</f>
        <v>1.1674392533609836E-2</v>
      </c>
      <c r="G36" s="22" t="s">
        <v>33</v>
      </c>
      <c r="H36" s="22">
        <f>STOWA2019_HUIDIG_Z!$J19</f>
        <v>1.1674392533609836E-2</v>
      </c>
      <c r="I36" t="str">
        <f t="shared" si="1"/>
        <v>HUIDIG;zomer;48;90;1.16743925336098E-02;TRUE;1.16743925336098E-02</v>
      </c>
      <c r="P36" s="22"/>
      <c r="Q36" s="44"/>
    </row>
    <row r="37" spans="1:17" x14ac:dyDescent="0.25">
      <c r="A37">
        <f t="shared" si="0"/>
        <v>91.3125</v>
      </c>
      <c r="B37" t="s">
        <v>31</v>
      </c>
      <c r="C37" t="s">
        <v>11</v>
      </c>
      <c r="D37">
        <v>48</v>
      </c>
      <c r="E37">
        <f t="shared" si="3"/>
        <v>95</v>
      </c>
      <c r="F37" s="22">
        <f>STOWA2019_HUIDIG_Z!$J20</f>
        <v>8.2453961433488904E-3</v>
      </c>
      <c r="G37" s="22" t="s">
        <v>33</v>
      </c>
      <c r="H37" s="22">
        <f>STOWA2019_HUIDIG_Z!$J20</f>
        <v>8.2453961433488904E-3</v>
      </c>
      <c r="I37" t="str">
        <f t="shared" si="1"/>
        <v>HUIDIG;zomer;48;95;8.24539614334889E-03;TRUE;8.24539614334889E-03</v>
      </c>
      <c r="P37" s="22"/>
      <c r="Q37" s="44"/>
    </row>
    <row r="38" spans="1:17" x14ac:dyDescent="0.25">
      <c r="A38">
        <f t="shared" si="0"/>
        <v>91.3125</v>
      </c>
      <c r="B38" t="s">
        <v>31</v>
      </c>
      <c r="C38" t="s">
        <v>11</v>
      </c>
      <c r="D38">
        <v>48</v>
      </c>
      <c r="E38">
        <f t="shared" si="3"/>
        <v>100</v>
      </c>
      <c r="F38" s="22">
        <f>STOWA2019_HUIDIG_Z!$J21</f>
        <v>5.8865186464964712E-3</v>
      </c>
      <c r="G38" s="22" t="s">
        <v>33</v>
      </c>
      <c r="H38" s="22">
        <f>STOWA2019_HUIDIG_Z!$J21</f>
        <v>5.8865186464964712E-3</v>
      </c>
      <c r="I38" t="str">
        <f t="shared" si="1"/>
        <v>HUIDIG;zomer;48;100;5.88651864649647E-03;TRUE;5.88651864649647E-03</v>
      </c>
      <c r="P38" s="22"/>
      <c r="Q38" s="44"/>
    </row>
    <row r="39" spans="1:17" x14ac:dyDescent="0.25">
      <c r="A39">
        <f t="shared" si="0"/>
        <v>91.3125</v>
      </c>
      <c r="B39" t="s">
        <v>31</v>
      </c>
      <c r="C39" t="s">
        <v>11</v>
      </c>
      <c r="D39">
        <v>48</v>
      </c>
      <c r="E39">
        <f t="shared" si="3"/>
        <v>105</v>
      </c>
      <c r="F39" s="22">
        <f>STOWA2019_HUIDIG_Z!$J22</f>
        <v>4.2451681223078675E-3</v>
      </c>
      <c r="G39" s="22" t="s">
        <v>33</v>
      </c>
      <c r="H39" s="22">
        <f>STOWA2019_HUIDIG_Z!$J22</f>
        <v>4.2451681223078675E-3</v>
      </c>
      <c r="I39" t="str">
        <f t="shared" si="1"/>
        <v>HUIDIG;zomer;48;105;4.24516812230787E-03;TRUE;4.24516812230787E-03</v>
      </c>
      <c r="P39" s="22"/>
      <c r="Q39" s="44"/>
    </row>
    <row r="40" spans="1:17" x14ac:dyDescent="0.25">
      <c r="A40">
        <f t="shared" si="0"/>
        <v>91.3125</v>
      </c>
      <c r="B40" t="s">
        <v>31</v>
      </c>
      <c r="C40" t="s">
        <v>11</v>
      </c>
      <c r="D40">
        <v>48</v>
      </c>
      <c r="E40">
        <f t="shared" si="3"/>
        <v>110</v>
      </c>
      <c r="F40" s="22">
        <f>STOWA2019_HUIDIG_Z!$J23</f>
        <v>1.2504863247923667E-2</v>
      </c>
      <c r="G40" s="22" t="s">
        <v>33</v>
      </c>
      <c r="H40" s="22">
        <f>STOWA2019_HUIDIG_Z!$J23</f>
        <v>1.2504863247923667E-2</v>
      </c>
      <c r="I40" t="str">
        <f t="shared" si="1"/>
        <v>HUIDIG;zomer;48;110;1.25048632479237E-02;TRUE;1.25048632479237E-02</v>
      </c>
      <c r="P40" s="22"/>
      <c r="Q40" s="44"/>
    </row>
    <row r="41" spans="1:17" x14ac:dyDescent="0.25">
      <c r="A41">
        <f t="shared" si="0"/>
        <v>45.65625</v>
      </c>
      <c r="B41" t="s">
        <v>31</v>
      </c>
      <c r="C41" t="s">
        <v>11</v>
      </c>
      <c r="D41">
        <v>96</v>
      </c>
      <c r="E41">
        <v>20</v>
      </c>
      <c r="F41" s="22">
        <f>STOWA2019_HUIDIG_Z!$N5</f>
        <v>70.6078347154222</v>
      </c>
      <c r="G41" s="22" t="s">
        <v>33</v>
      </c>
      <c r="H41" s="22">
        <f>STOWA2019_HUIDIG_Z!$N5</f>
        <v>70.6078347154222</v>
      </c>
      <c r="I41" t="str">
        <f t="shared" si="1"/>
        <v>HUIDIG;zomer;96;20;70.6078347154222;TRUE;70.6078347154222</v>
      </c>
      <c r="P41" s="22"/>
      <c r="Q41" s="44"/>
    </row>
    <row r="42" spans="1:17" x14ac:dyDescent="0.25">
      <c r="A42">
        <f t="shared" si="0"/>
        <v>45.65625</v>
      </c>
      <c r="B42" t="s">
        <v>31</v>
      </c>
      <c r="C42" t="s">
        <v>11</v>
      </c>
      <c r="D42">
        <v>96</v>
      </c>
      <c r="E42">
        <f>E41+5</f>
        <v>25</v>
      </c>
      <c r="F42" s="22">
        <f>STOWA2019_HUIDIG_Z!$N6</f>
        <v>7.3912538087127562</v>
      </c>
      <c r="G42" s="22" t="s">
        <v>33</v>
      </c>
      <c r="H42" s="22">
        <f>STOWA2019_HUIDIG_Z!$N6</f>
        <v>7.3912538087127562</v>
      </c>
      <c r="I42" t="str">
        <f t="shared" si="1"/>
        <v>HUIDIG;zomer;96;25;7.39125380871276;TRUE;7.39125380871276</v>
      </c>
      <c r="P42" s="22"/>
      <c r="Q42" s="44"/>
    </row>
    <row r="43" spans="1:17" x14ac:dyDescent="0.25">
      <c r="A43">
        <f t="shared" si="0"/>
        <v>45.65625</v>
      </c>
      <c r="B43" t="s">
        <v>31</v>
      </c>
      <c r="C43" t="s">
        <v>11</v>
      </c>
      <c r="D43">
        <v>96</v>
      </c>
      <c r="E43">
        <f t="shared" ref="E43:E61" si="4">E42+5</f>
        <v>30</v>
      </c>
      <c r="F43" s="22">
        <f>STOWA2019_HUIDIG_Z!$N7</f>
        <v>4.6647915471112107</v>
      </c>
      <c r="G43" s="22" t="s">
        <v>33</v>
      </c>
      <c r="H43" s="22">
        <f>STOWA2019_HUIDIG_Z!$N7</f>
        <v>4.6647915471112107</v>
      </c>
      <c r="I43" t="str">
        <f t="shared" si="1"/>
        <v>HUIDIG;zomer;96;30;4.66479154711121;TRUE;4.66479154711121</v>
      </c>
      <c r="P43" s="22"/>
      <c r="Q43" s="44"/>
    </row>
    <row r="44" spans="1:17" x14ac:dyDescent="0.25">
      <c r="A44">
        <f t="shared" si="0"/>
        <v>45.65625</v>
      </c>
      <c r="B44" t="s">
        <v>31</v>
      </c>
      <c r="C44" t="s">
        <v>11</v>
      </c>
      <c r="D44">
        <v>96</v>
      </c>
      <c r="E44">
        <f t="shared" si="4"/>
        <v>35</v>
      </c>
      <c r="F44" s="22">
        <f>STOWA2019_HUIDIG_Z!$N8</f>
        <v>2.9752647821154978</v>
      </c>
      <c r="G44" s="22" t="s">
        <v>33</v>
      </c>
      <c r="H44" s="22">
        <f>STOWA2019_HUIDIG_Z!$N8</f>
        <v>2.9752647821154978</v>
      </c>
      <c r="I44" t="str">
        <f t="shared" si="1"/>
        <v>HUIDIG;zomer;96;35;2.9752647821155;TRUE;2.9752647821155</v>
      </c>
      <c r="P44" s="22"/>
      <c r="Q44" s="44"/>
    </row>
    <row r="45" spans="1:17" x14ac:dyDescent="0.25">
      <c r="A45">
        <f t="shared" si="0"/>
        <v>45.65625</v>
      </c>
      <c r="B45" t="s">
        <v>31</v>
      </c>
      <c r="C45" t="s">
        <v>11</v>
      </c>
      <c r="D45">
        <v>96</v>
      </c>
      <c r="E45">
        <f t="shared" si="4"/>
        <v>40</v>
      </c>
      <c r="F45" s="22">
        <f>STOWA2019_HUIDIG_Z!$N9</f>
        <v>1.9168713059776858</v>
      </c>
      <c r="G45" s="22" t="s">
        <v>33</v>
      </c>
      <c r="H45" s="22">
        <f>STOWA2019_HUIDIG_Z!$N9</f>
        <v>1.9168713059776858</v>
      </c>
      <c r="I45" t="str">
        <f t="shared" si="1"/>
        <v>HUIDIG;zomer;96;40;1.91687130597769;TRUE;1.91687130597769</v>
      </c>
      <c r="P45" s="22"/>
      <c r="Q45" s="44"/>
    </row>
    <row r="46" spans="1:17" x14ac:dyDescent="0.25">
      <c r="A46">
        <f t="shared" si="0"/>
        <v>45.65625</v>
      </c>
      <c r="B46" t="s">
        <v>31</v>
      </c>
      <c r="C46" t="s">
        <v>11</v>
      </c>
      <c r="D46">
        <v>96</v>
      </c>
      <c r="E46">
        <f t="shared" si="4"/>
        <v>45</v>
      </c>
      <c r="F46" s="22">
        <f>STOWA2019_HUIDIG_Z!$N10</f>
        <v>1.2469311174927507</v>
      </c>
      <c r="G46" s="22" t="s">
        <v>33</v>
      </c>
      <c r="H46" s="22">
        <f>STOWA2019_HUIDIG_Z!$N10</f>
        <v>1.2469311174927507</v>
      </c>
      <c r="I46" t="str">
        <f t="shared" si="1"/>
        <v>HUIDIG;zomer;96;45;1.24693111749275;TRUE;1.24693111749275</v>
      </c>
      <c r="P46" s="22"/>
      <c r="Q46" s="44"/>
    </row>
    <row r="47" spans="1:17" x14ac:dyDescent="0.25">
      <c r="A47">
        <f t="shared" si="0"/>
        <v>45.65625</v>
      </c>
      <c r="B47" t="s">
        <v>31</v>
      </c>
      <c r="C47" t="s">
        <v>11</v>
      </c>
      <c r="D47">
        <v>96</v>
      </c>
      <c r="E47">
        <f t="shared" si="4"/>
        <v>50</v>
      </c>
      <c r="F47" s="22">
        <f>STOWA2019_HUIDIG_Z!$N11</f>
        <v>0.81864329918314382</v>
      </c>
      <c r="G47" s="22" t="s">
        <v>33</v>
      </c>
      <c r="H47" s="22">
        <f>STOWA2019_HUIDIG_Z!$N11</f>
        <v>0.81864329918314382</v>
      </c>
      <c r="I47" t="str">
        <f t="shared" si="1"/>
        <v>HUIDIG;zomer;96;50;0.818643299183144;TRUE;0.818643299183144</v>
      </c>
      <c r="P47" s="22"/>
      <c r="Q47" s="44"/>
    </row>
    <row r="48" spans="1:17" x14ac:dyDescent="0.25">
      <c r="A48">
        <f t="shared" si="0"/>
        <v>45.65625</v>
      </c>
      <c r="B48" t="s">
        <v>31</v>
      </c>
      <c r="C48" t="s">
        <v>11</v>
      </c>
      <c r="D48">
        <v>96</v>
      </c>
      <c r="E48">
        <f t="shared" si="4"/>
        <v>55</v>
      </c>
      <c r="F48" s="22">
        <f>STOWA2019_HUIDIG_Z!$N12</f>
        <v>0.54222755619227647</v>
      </c>
      <c r="G48" s="22" t="s">
        <v>33</v>
      </c>
      <c r="H48" s="22">
        <f>STOWA2019_HUIDIG_Z!$N12</f>
        <v>0.54222755619227647</v>
      </c>
      <c r="I48" t="str">
        <f t="shared" si="1"/>
        <v>HUIDIG;zomer;96;55;0.542227556192276;TRUE;0.542227556192276</v>
      </c>
      <c r="P48" s="22"/>
      <c r="Q48" s="44"/>
    </row>
    <row r="49" spans="1:17" x14ac:dyDescent="0.25">
      <c r="A49">
        <f t="shared" si="0"/>
        <v>45.65625</v>
      </c>
      <c r="B49" t="s">
        <v>31</v>
      </c>
      <c r="C49" t="s">
        <v>11</v>
      </c>
      <c r="D49">
        <v>96</v>
      </c>
      <c r="E49">
        <f t="shared" si="4"/>
        <v>60</v>
      </c>
      <c r="F49" s="22">
        <f>STOWA2019_HUIDIG_Z!$N13</f>
        <v>0.36219741624242918</v>
      </c>
      <c r="G49" s="22" t="s">
        <v>33</v>
      </c>
      <c r="H49" s="22">
        <f>STOWA2019_HUIDIG_Z!$N13</f>
        <v>0.36219741624242918</v>
      </c>
      <c r="I49" t="str">
        <f t="shared" si="1"/>
        <v>HUIDIG;zomer;96;60;0.362197416242429;TRUE;0.362197416242429</v>
      </c>
      <c r="P49" s="22"/>
      <c r="Q49" s="44"/>
    </row>
    <row r="50" spans="1:17" x14ac:dyDescent="0.25">
      <c r="A50">
        <f t="shared" si="0"/>
        <v>45.65625</v>
      </c>
      <c r="B50" t="s">
        <v>31</v>
      </c>
      <c r="C50" t="s">
        <v>11</v>
      </c>
      <c r="D50">
        <v>96</v>
      </c>
      <c r="E50">
        <f t="shared" si="4"/>
        <v>65</v>
      </c>
      <c r="F50" s="22">
        <f>STOWA2019_HUIDIG_Z!$N14</f>
        <v>0.24391460662506048</v>
      </c>
      <c r="G50" s="22" t="s">
        <v>33</v>
      </c>
      <c r="H50" s="22">
        <f>STOWA2019_HUIDIG_Z!$N14</f>
        <v>0.24391460662506048</v>
      </c>
      <c r="I50" t="str">
        <f t="shared" si="1"/>
        <v>HUIDIG;zomer;96;65;0.24391460662506;TRUE;0.24391460662506</v>
      </c>
      <c r="P50" s="22"/>
      <c r="Q50" s="44"/>
    </row>
    <row r="51" spans="1:17" x14ac:dyDescent="0.25">
      <c r="A51">
        <f t="shared" si="0"/>
        <v>45.65625</v>
      </c>
      <c r="B51" t="s">
        <v>31</v>
      </c>
      <c r="C51" t="s">
        <v>11</v>
      </c>
      <c r="D51">
        <v>96</v>
      </c>
      <c r="E51">
        <f t="shared" si="4"/>
        <v>70</v>
      </c>
      <c r="F51" s="22">
        <f>STOWA2019_HUIDIG_Z!$N15</f>
        <v>0.16554633186155959</v>
      </c>
      <c r="G51" s="22" t="s">
        <v>33</v>
      </c>
      <c r="H51" s="22">
        <f>STOWA2019_HUIDIG_Z!$N15</f>
        <v>0.16554633186155959</v>
      </c>
      <c r="I51" t="str">
        <f t="shared" si="1"/>
        <v>HUIDIG;zomer;96;70;0.16554633186156;TRUE;0.16554633186156</v>
      </c>
      <c r="P51" s="22"/>
      <c r="Q51" s="44"/>
    </row>
    <row r="52" spans="1:17" x14ac:dyDescent="0.25">
      <c r="A52">
        <f t="shared" si="0"/>
        <v>45.65625</v>
      </c>
      <c r="B52" t="s">
        <v>31</v>
      </c>
      <c r="C52" t="s">
        <v>11</v>
      </c>
      <c r="D52">
        <v>96</v>
      </c>
      <c r="E52">
        <f t="shared" si="4"/>
        <v>75</v>
      </c>
      <c r="F52" s="22">
        <f>STOWA2019_HUIDIG_Z!$N16</f>
        <v>0.11320335837018325</v>
      </c>
      <c r="G52" s="22" t="s">
        <v>33</v>
      </c>
      <c r="H52" s="22">
        <f>STOWA2019_HUIDIG_Z!$N16</f>
        <v>0.11320335837018325</v>
      </c>
      <c r="I52" t="str">
        <f t="shared" si="1"/>
        <v>HUIDIG;zomer;96;75;0.113203358370183;TRUE;0.113203358370183</v>
      </c>
      <c r="P52" s="22"/>
      <c r="Q52" s="44"/>
    </row>
    <row r="53" spans="1:17" x14ac:dyDescent="0.25">
      <c r="A53">
        <f t="shared" si="0"/>
        <v>45.65625</v>
      </c>
      <c r="B53" t="s">
        <v>31</v>
      </c>
      <c r="C53" t="s">
        <v>11</v>
      </c>
      <c r="D53">
        <v>96</v>
      </c>
      <c r="E53">
        <f t="shared" si="4"/>
        <v>80</v>
      </c>
      <c r="F53" s="22">
        <f>STOWA2019_HUIDIG_Z!$N17</f>
        <v>7.7971025555303913E-2</v>
      </c>
      <c r="G53" s="22" t="s">
        <v>33</v>
      </c>
      <c r="H53" s="22">
        <f>STOWA2019_HUIDIG_Z!$N17</f>
        <v>7.7971025555303913E-2</v>
      </c>
      <c r="I53" t="str">
        <f t="shared" si="1"/>
        <v>HUIDIG;zomer;96;80;7.79710255553039E-02;TRUE;7.79710255553039E-02</v>
      </c>
      <c r="P53" s="22"/>
      <c r="Q53" s="44"/>
    </row>
    <row r="54" spans="1:17" x14ac:dyDescent="0.25">
      <c r="A54">
        <f t="shared" si="0"/>
        <v>45.65625</v>
      </c>
      <c r="B54" t="s">
        <v>31</v>
      </c>
      <c r="C54" t="s">
        <v>11</v>
      </c>
      <c r="D54">
        <v>96</v>
      </c>
      <c r="E54">
        <f t="shared" si="4"/>
        <v>85</v>
      </c>
      <c r="F54" s="22">
        <f>STOWA2019_HUIDIG_Z!$N18</f>
        <v>5.4078481678016016E-2</v>
      </c>
      <c r="G54" s="22" t="s">
        <v>33</v>
      </c>
      <c r="H54" s="22">
        <f>STOWA2019_HUIDIG_Z!$N18</f>
        <v>5.4078481678016016E-2</v>
      </c>
      <c r="I54" t="str">
        <f t="shared" si="1"/>
        <v>HUIDIG;zomer;96;85;0.054078481678016;TRUE;0.054078481678016</v>
      </c>
      <c r="P54" s="22"/>
      <c r="Q54" s="44"/>
    </row>
    <row r="55" spans="1:17" x14ac:dyDescent="0.25">
      <c r="A55">
        <f t="shared" si="0"/>
        <v>45.65625</v>
      </c>
      <c r="B55" t="s">
        <v>31</v>
      </c>
      <c r="C55" t="s">
        <v>11</v>
      </c>
      <c r="D55">
        <v>96</v>
      </c>
      <c r="E55">
        <f t="shared" si="4"/>
        <v>90</v>
      </c>
      <c r="F55" s="22">
        <f>STOWA2019_HUIDIG_Z!$N19</f>
        <v>3.7759182575215128E-2</v>
      </c>
      <c r="G55" s="22" t="s">
        <v>33</v>
      </c>
      <c r="H55" s="22">
        <f>STOWA2019_HUIDIG_Z!$N19</f>
        <v>3.7759182575215128E-2</v>
      </c>
      <c r="I55" t="str">
        <f t="shared" si="1"/>
        <v>HUIDIG;zomer;96;90;3.77591825752151E-02;TRUE;3.77591825752151E-02</v>
      </c>
      <c r="P55" s="22"/>
      <c r="Q55" s="44"/>
    </row>
    <row r="56" spans="1:17" x14ac:dyDescent="0.25">
      <c r="A56">
        <f t="shared" si="0"/>
        <v>45.65625</v>
      </c>
      <c r="B56" t="s">
        <v>31</v>
      </c>
      <c r="C56" t="s">
        <v>11</v>
      </c>
      <c r="D56">
        <v>96</v>
      </c>
      <c r="E56">
        <f t="shared" si="4"/>
        <v>95</v>
      </c>
      <c r="F56" s="22">
        <f>STOWA2019_HUIDIG_Z!$N20</f>
        <v>2.6535240745035382E-2</v>
      </c>
      <c r="G56" s="22" t="s">
        <v>33</v>
      </c>
      <c r="H56" s="22">
        <f>STOWA2019_HUIDIG_Z!$N20</f>
        <v>2.6535240745035382E-2</v>
      </c>
      <c r="I56" t="str">
        <f t="shared" si="1"/>
        <v>HUIDIG;zomer;96;95;2.65352407450354E-02;TRUE;2.65352407450354E-02</v>
      </c>
      <c r="P56" s="22"/>
      <c r="Q56" s="44"/>
    </row>
    <row r="57" spans="1:17" x14ac:dyDescent="0.25">
      <c r="A57">
        <f t="shared" si="0"/>
        <v>45.65625</v>
      </c>
      <c r="B57" t="s">
        <v>31</v>
      </c>
      <c r="C57" t="s">
        <v>11</v>
      </c>
      <c r="D57">
        <v>96</v>
      </c>
      <c r="E57">
        <f t="shared" si="4"/>
        <v>100</v>
      </c>
      <c r="F57" s="22">
        <f>STOWA2019_HUIDIG_Z!$N21</f>
        <v>1.8764062709704737E-2</v>
      </c>
      <c r="G57" s="22" t="s">
        <v>33</v>
      </c>
      <c r="H57" s="22">
        <f>STOWA2019_HUIDIG_Z!$N21</f>
        <v>1.8764062709704737E-2</v>
      </c>
      <c r="I57" t="str">
        <f t="shared" si="1"/>
        <v>HUIDIG;zomer;96;100;1.87640627097047E-02;TRUE;1.87640627097047E-02</v>
      </c>
      <c r="P57" s="22"/>
      <c r="Q57" s="44"/>
    </row>
    <row r="58" spans="1:17" x14ac:dyDescent="0.25">
      <c r="A58">
        <f t="shared" si="0"/>
        <v>45.65625</v>
      </c>
      <c r="B58" t="s">
        <v>31</v>
      </c>
      <c r="C58" t="s">
        <v>11</v>
      </c>
      <c r="D58">
        <v>96</v>
      </c>
      <c r="E58">
        <f t="shared" si="4"/>
        <v>105</v>
      </c>
      <c r="F58" s="22">
        <f>STOWA2019_HUIDIG_Z!$N22</f>
        <v>1.3348741079452345E-2</v>
      </c>
      <c r="G58" s="22" t="s">
        <v>33</v>
      </c>
      <c r="H58" s="22">
        <f>STOWA2019_HUIDIG_Z!$N22</f>
        <v>1.3348741079452345E-2</v>
      </c>
      <c r="I58" t="str">
        <f t="shared" si="1"/>
        <v>HUIDIG;zomer;96;105;1.33487410794523E-02;TRUE;1.33487410794523E-02</v>
      </c>
      <c r="P58" s="22"/>
      <c r="Q58" s="44"/>
    </row>
    <row r="59" spans="1:17" x14ac:dyDescent="0.25">
      <c r="A59">
        <f t="shared" si="0"/>
        <v>45.65625</v>
      </c>
      <c r="B59" t="s">
        <v>31</v>
      </c>
      <c r="C59" t="s">
        <v>11</v>
      </c>
      <c r="D59">
        <v>96</v>
      </c>
      <c r="E59">
        <f t="shared" si="4"/>
        <v>110</v>
      </c>
      <c r="F59" s="22">
        <f>STOWA2019_HUIDIG_Z!$N23</f>
        <v>9.5515604679232667E-3</v>
      </c>
      <c r="G59" s="22" t="s">
        <v>33</v>
      </c>
      <c r="H59" s="22">
        <f>STOWA2019_HUIDIG_Z!$N23</f>
        <v>9.5515604679232667E-3</v>
      </c>
      <c r="I59" t="str">
        <f t="shared" si="1"/>
        <v>HUIDIG;zomer;96;110;9.55156046792327E-03;TRUE;9.55156046792327E-03</v>
      </c>
      <c r="P59" s="22"/>
      <c r="Q59" s="44"/>
    </row>
    <row r="60" spans="1:17" x14ac:dyDescent="0.25">
      <c r="A60">
        <f t="shared" si="0"/>
        <v>45.65625</v>
      </c>
      <c r="B60" t="s">
        <v>31</v>
      </c>
      <c r="C60" t="s">
        <v>11</v>
      </c>
      <c r="D60">
        <v>96</v>
      </c>
      <c r="E60">
        <f t="shared" si="4"/>
        <v>115</v>
      </c>
      <c r="F60" s="22">
        <f>STOWA2019_HUIDIG_Z!$N24</f>
        <v>6.8729694218495584E-3</v>
      </c>
      <c r="G60" s="22" t="s">
        <v>33</v>
      </c>
      <c r="H60" s="22">
        <f>STOWA2019_HUIDIG_Z!$N24</f>
        <v>6.8729694218495584E-3</v>
      </c>
      <c r="I60" t="str">
        <f t="shared" si="1"/>
        <v>HUIDIG;zomer;96;115;6.87296942184956E-03;TRUE;6.87296942184956E-03</v>
      </c>
      <c r="P60" s="22"/>
      <c r="Q60" s="44"/>
    </row>
    <row r="61" spans="1:17" x14ac:dyDescent="0.25">
      <c r="A61">
        <f t="shared" si="0"/>
        <v>45.65625</v>
      </c>
      <c r="B61" t="s">
        <v>31</v>
      </c>
      <c r="C61" t="s">
        <v>11</v>
      </c>
      <c r="D61">
        <v>96</v>
      </c>
      <c r="E61">
        <f t="shared" si="4"/>
        <v>120</v>
      </c>
      <c r="F61" s="22">
        <f>STOWA2019_HUIDIG_Z!$N25</f>
        <v>1.8938890460738426E-2</v>
      </c>
      <c r="G61" s="22" t="s">
        <v>33</v>
      </c>
      <c r="H61" s="22">
        <f>STOWA2019_HUIDIG_Z!$N25</f>
        <v>1.8938890460738426E-2</v>
      </c>
      <c r="I61" t="str">
        <f t="shared" si="1"/>
        <v>HUIDIG;zomer;96;120;1.89388904607384E-02;TRUE;1.89388904607384E-02</v>
      </c>
      <c r="P61" s="22"/>
      <c r="Q61" s="44"/>
    </row>
    <row r="62" spans="1:17" x14ac:dyDescent="0.25">
      <c r="A62">
        <f t="shared" si="0"/>
        <v>22.828125</v>
      </c>
      <c r="B62" t="s">
        <v>31</v>
      </c>
      <c r="C62" t="s">
        <v>11</v>
      </c>
      <c r="D62">
        <v>192</v>
      </c>
      <c r="E62">
        <v>20</v>
      </c>
      <c r="F62" s="22">
        <f>STOWA2019_HUIDIG_Z!$R5</f>
        <v>11.484398787784436</v>
      </c>
      <c r="G62" s="22" t="s">
        <v>33</v>
      </c>
      <c r="H62" s="22">
        <f>STOWA2019_HUIDIG_Z!$R5</f>
        <v>11.484398787784436</v>
      </c>
      <c r="I62" t="str">
        <f t="shared" si="1"/>
        <v>HUIDIG;zomer;192;20;11.4843987877844;TRUE;11.4843987877844</v>
      </c>
      <c r="P62" s="22"/>
      <c r="Q62" s="44"/>
    </row>
    <row r="63" spans="1:17" x14ac:dyDescent="0.25">
      <c r="A63">
        <f t="shared" si="0"/>
        <v>22.828125</v>
      </c>
      <c r="B63" t="s">
        <v>31</v>
      </c>
      <c r="C63" t="s">
        <v>11</v>
      </c>
      <c r="D63">
        <v>192</v>
      </c>
      <c r="E63">
        <f>E62+5</f>
        <v>25</v>
      </c>
      <c r="F63" s="22">
        <f>STOWA2019_HUIDIG_Z!$R6</f>
        <v>9.0633562585487653</v>
      </c>
      <c r="G63" s="22" t="s">
        <v>33</v>
      </c>
      <c r="H63" s="22">
        <f>STOWA2019_HUIDIG_Z!$R6</f>
        <v>9.0633562585487653</v>
      </c>
      <c r="I63" t="str">
        <f t="shared" si="1"/>
        <v>HUIDIG;zomer;192;25;9.06335625854877;TRUE;9.06335625854877</v>
      </c>
      <c r="P63" s="22"/>
      <c r="Q63" s="44"/>
    </row>
    <row r="64" spans="1:17" x14ac:dyDescent="0.25">
      <c r="A64">
        <f t="shared" si="0"/>
        <v>22.828125</v>
      </c>
      <c r="B64" t="s">
        <v>31</v>
      </c>
      <c r="C64" t="s">
        <v>11</v>
      </c>
      <c r="D64">
        <v>192</v>
      </c>
      <c r="E64">
        <f t="shared" ref="E64:E88" si="5">E63+5</f>
        <v>30</v>
      </c>
      <c r="F64" s="22">
        <f>STOWA2019_HUIDIG_Z!$R7</f>
        <v>6.6654483680629006</v>
      </c>
      <c r="G64" s="22" t="s">
        <v>33</v>
      </c>
      <c r="H64" s="22">
        <f>STOWA2019_HUIDIG_Z!$R7</f>
        <v>6.6654483680629006</v>
      </c>
      <c r="I64" t="str">
        <f t="shared" si="1"/>
        <v>HUIDIG;zomer;192;30;6.6654483680629;TRUE;6.6654483680629</v>
      </c>
      <c r="P64" s="22"/>
      <c r="Q64" s="44"/>
    </row>
    <row r="65" spans="1:17" x14ac:dyDescent="0.25">
      <c r="A65">
        <f t="shared" si="0"/>
        <v>22.828125</v>
      </c>
      <c r="B65" t="s">
        <v>31</v>
      </c>
      <c r="C65" t="s">
        <v>11</v>
      </c>
      <c r="D65">
        <v>192</v>
      </c>
      <c r="E65">
        <f t="shared" si="5"/>
        <v>35</v>
      </c>
      <c r="F65" s="22">
        <f>STOWA2019_HUIDIG_Z!$R8</f>
        <v>4.901530291404681</v>
      </c>
      <c r="G65" s="22" t="s">
        <v>33</v>
      </c>
      <c r="H65" s="22">
        <f>STOWA2019_HUIDIG_Z!$R8</f>
        <v>4.901530291404681</v>
      </c>
      <c r="I65" t="str">
        <f t="shared" si="1"/>
        <v>HUIDIG;zomer;192;35;4.90153029140468;TRUE;4.90153029140468</v>
      </c>
      <c r="P65" s="22"/>
      <c r="Q65" s="44"/>
    </row>
    <row r="66" spans="1:17" x14ac:dyDescent="0.25">
      <c r="A66">
        <f t="shared" ref="A66:A129" si="6">IF(C66="zomer",24/D66*365.25 * 6/12,24/D66*365.25 * 6/12)</f>
        <v>22.828125</v>
      </c>
      <c r="B66" t="s">
        <v>31</v>
      </c>
      <c r="C66" t="s">
        <v>11</v>
      </c>
      <c r="D66">
        <v>192</v>
      </c>
      <c r="E66">
        <f t="shared" si="5"/>
        <v>40</v>
      </c>
      <c r="F66" s="22">
        <f>STOWA2019_HUIDIG_Z!$R9</f>
        <v>3.6029408209730232</v>
      </c>
      <c r="G66" s="22" t="s">
        <v>33</v>
      </c>
      <c r="H66" s="22">
        <f>STOWA2019_HUIDIG_Z!$R9</f>
        <v>3.6029408209730232</v>
      </c>
      <c r="I66" t="str">
        <f t="shared" ref="I66:I129" si="7">CONCATENATEWITHDELIMITER(B66:H66,";")</f>
        <v>HUIDIG;zomer;192;40;3.60294082097302;TRUE;3.60294082097302</v>
      </c>
      <c r="P66" s="22"/>
      <c r="Q66" s="44"/>
    </row>
    <row r="67" spans="1:17" x14ac:dyDescent="0.25">
      <c r="A67">
        <f t="shared" si="6"/>
        <v>22.828125</v>
      </c>
      <c r="B67" t="s">
        <v>31</v>
      </c>
      <c r="C67" t="s">
        <v>11</v>
      </c>
      <c r="D67">
        <v>192</v>
      </c>
      <c r="E67">
        <f t="shared" si="5"/>
        <v>45</v>
      </c>
      <c r="F67" s="22">
        <f>STOWA2019_HUIDIG_Z!$R10</f>
        <v>2.6473131772781908</v>
      </c>
      <c r="G67" s="22" t="s">
        <v>33</v>
      </c>
      <c r="H67" s="22">
        <f>STOWA2019_HUIDIG_Z!$R10</f>
        <v>2.6473131772781908</v>
      </c>
      <c r="I67" t="str">
        <f t="shared" si="7"/>
        <v>HUIDIG;zomer;192;45;2.64731317727819;TRUE;2.64731317727819</v>
      </c>
      <c r="P67" s="22"/>
      <c r="Q67" s="44"/>
    </row>
    <row r="68" spans="1:17" x14ac:dyDescent="0.25">
      <c r="A68">
        <f t="shared" si="6"/>
        <v>22.828125</v>
      </c>
      <c r="B68" t="s">
        <v>31</v>
      </c>
      <c r="C68" t="s">
        <v>11</v>
      </c>
      <c r="D68">
        <v>192</v>
      </c>
      <c r="E68">
        <f t="shared" si="5"/>
        <v>50</v>
      </c>
      <c r="F68" s="22">
        <f>STOWA2019_HUIDIG_Z!$R11</f>
        <v>1.9443560617849682</v>
      </c>
      <c r="G68" s="22" t="s">
        <v>33</v>
      </c>
      <c r="H68" s="22">
        <f>STOWA2019_HUIDIG_Z!$R11</f>
        <v>1.9443560617849682</v>
      </c>
      <c r="I68" t="str">
        <f t="shared" si="7"/>
        <v>HUIDIG;zomer;192;50;1.94435606178497;TRUE;1.94435606178497</v>
      </c>
      <c r="P68" s="22"/>
      <c r="Q68" s="44"/>
    </row>
    <row r="69" spans="1:17" x14ac:dyDescent="0.25">
      <c r="A69">
        <f t="shared" si="6"/>
        <v>22.828125</v>
      </c>
      <c r="B69" t="s">
        <v>31</v>
      </c>
      <c r="C69" t="s">
        <v>11</v>
      </c>
      <c r="D69">
        <v>192</v>
      </c>
      <c r="E69">
        <f t="shared" si="5"/>
        <v>55</v>
      </c>
      <c r="F69" s="22">
        <f>STOWA2019_HUIDIG_Z!$R12</f>
        <v>1.4274736073620469</v>
      </c>
      <c r="G69" s="22" t="s">
        <v>33</v>
      </c>
      <c r="H69" s="22">
        <f>STOWA2019_HUIDIG_Z!$R12</f>
        <v>1.4274736073620469</v>
      </c>
      <c r="I69" t="str">
        <f t="shared" si="7"/>
        <v>HUIDIG;zomer;192;55;1.42747360736205;TRUE;1.42747360736205</v>
      </c>
      <c r="P69" s="22"/>
      <c r="Q69" s="44"/>
    </row>
    <row r="70" spans="1:17" x14ac:dyDescent="0.25">
      <c r="A70">
        <f t="shared" si="6"/>
        <v>22.828125</v>
      </c>
      <c r="B70" t="s">
        <v>31</v>
      </c>
      <c r="C70" t="s">
        <v>11</v>
      </c>
      <c r="D70">
        <v>192</v>
      </c>
      <c r="E70">
        <f t="shared" si="5"/>
        <v>60</v>
      </c>
      <c r="F70" s="22">
        <f>STOWA2019_HUIDIG_Z!$R13</f>
        <v>1.0475667700354165</v>
      </c>
      <c r="G70" s="22" t="s">
        <v>33</v>
      </c>
      <c r="H70" s="22">
        <f>STOWA2019_HUIDIG_Z!$R13</f>
        <v>1.0475667700354165</v>
      </c>
      <c r="I70" t="str">
        <f t="shared" si="7"/>
        <v>HUIDIG;zomer;192;60;1.04756677003542;TRUE;1.04756677003542</v>
      </c>
      <c r="P70" s="22"/>
      <c r="Q70" s="44"/>
    </row>
    <row r="71" spans="1:17" x14ac:dyDescent="0.25">
      <c r="A71">
        <f t="shared" si="6"/>
        <v>22.828125</v>
      </c>
      <c r="B71" t="s">
        <v>31</v>
      </c>
      <c r="C71" t="s">
        <v>11</v>
      </c>
      <c r="D71">
        <v>192</v>
      </c>
      <c r="E71">
        <f t="shared" si="5"/>
        <v>65</v>
      </c>
      <c r="F71" s="22">
        <f>STOWA2019_HUIDIG_Z!$R14</f>
        <v>0.76845103741609933</v>
      </c>
      <c r="G71" s="22" t="s">
        <v>33</v>
      </c>
      <c r="H71" s="22">
        <f>STOWA2019_HUIDIG_Z!$R14</f>
        <v>0.76845103741609933</v>
      </c>
      <c r="I71" t="str">
        <f t="shared" si="7"/>
        <v>HUIDIG;zomer;192;65;0.768451037416099;TRUE;0.768451037416099</v>
      </c>
      <c r="P71" s="22"/>
      <c r="Q71" s="44"/>
    </row>
    <row r="72" spans="1:17" x14ac:dyDescent="0.25">
      <c r="A72">
        <f t="shared" si="6"/>
        <v>22.828125</v>
      </c>
      <c r="B72" t="s">
        <v>31</v>
      </c>
      <c r="C72" t="s">
        <v>11</v>
      </c>
      <c r="D72">
        <v>192</v>
      </c>
      <c r="E72">
        <f t="shared" si="5"/>
        <v>70</v>
      </c>
      <c r="F72" s="22">
        <f>STOWA2019_HUIDIG_Z!$R15</f>
        <v>0.56347035454379646</v>
      </c>
      <c r="G72" s="22" t="s">
        <v>33</v>
      </c>
      <c r="H72" s="22">
        <f>STOWA2019_HUIDIG_Z!$R15</f>
        <v>0.56347035454379646</v>
      </c>
      <c r="I72" t="str">
        <f t="shared" si="7"/>
        <v>HUIDIG;zomer;192;70;0.563470354543796;TRUE;0.563470354543796</v>
      </c>
      <c r="P72" s="22"/>
      <c r="Q72" s="44"/>
    </row>
    <row r="73" spans="1:17" x14ac:dyDescent="0.25">
      <c r="A73">
        <f t="shared" si="6"/>
        <v>22.828125</v>
      </c>
      <c r="B73" t="s">
        <v>31</v>
      </c>
      <c r="C73" t="s">
        <v>11</v>
      </c>
      <c r="D73">
        <v>192</v>
      </c>
      <c r="E73">
        <f t="shared" si="5"/>
        <v>75</v>
      </c>
      <c r="F73" s="22">
        <f>STOWA2019_HUIDIG_Z!$R16</f>
        <v>0.41299599975419721</v>
      </c>
      <c r="G73" s="22" t="s">
        <v>33</v>
      </c>
      <c r="H73" s="22">
        <f>STOWA2019_HUIDIG_Z!$R16</f>
        <v>0.41299599975419721</v>
      </c>
      <c r="I73" t="str">
        <f t="shared" si="7"/>
        <v>HUIDIG;zomer;192;75;0.412995999754197;TRUE;0.412995999754197</v>
      </c>
      <c r="P73" s="22"/>
      <c r="Q73" s="44"/>
    </row>
    <row r="74" spans="1:17" x14ac:dyDescent="0.25">
      <c r="A74">
        <f t="shared" si="6"/>
        <v>22.828125</v>
      </c>
      <c r="B74" t="s">
        <v>31</v>
      </c>
      <c r="C74" t="s">
        <v>11</v>
      </c>
      <c r="D74">
        <v>192</v>
      </c>
      <c r="E74">
        <f t="shared" si="5"/>
        <v>80</v>
      </c>
      <c r="F74" s="22">
        <f>STOWA2019_HUIDIG_Z!$R17</f>
        <v>0.30257987511596995</v>
      </c>
      <c r="G74" s="22" t="s">
        <v>33</v>
      </c>
      <c r="H74" s="22">
        <f>STOWA2019_HUIDIG_Z!$R17</f>
        <v>0.30257987511596995</v>
      </c>
      <c r="I74" t="str">
        <f t="shared" si="7"/>
        <v>HUIDIG;zomer;192;80;0.30257987511597;TRUE;0.30257987511597</v>
      </c>
      <c r="P74" s="22"/>
      <c r="Q74" s="44"/>
    </row>
    <row r="75" spans="1:17" x14ac:dyDescent="0.25">
      <c r="A75">
        <f t="shared" si="6"/>
        <v>22.828125</v>
      </c>
      <c r="B75" t="s">
        <v>31</v>
      </c>
      <c r="C75" t="s">
        <v>11</v>
      </c>
      <c r="D75">
        <v>192</v>
      </c>
      <c r="E75">
        <f t="shared" si="5"/>
        <v>85</v>
      </c>
      <c r="F75" s="22">
        <f>STOWA2019_HUIDIG_Z!$R18</f>
        <v>0.22159153720726532</v>
      </c>
      <c r="G75" s="22" t="s">
        <v>33</v>
      </c>
      <c r="H75" s="22">
        <f>STOWA2019_HUIDIG_Z!$R18</f>
        <v>0.22159153720726532</v>
      </c>
      <c r="I75" t="str">
        <f t="shared" si="7"/>
        <v>HUIDIG;zomer;192;85;0.221591537207265;TRUE;0.221591537207265</v>
      </c>
      <c r="P75" s="22"/>
      <c r="Q75" s="44"/>
    </row>
    <row r="76" spans="1:17" x14ac:dyDescent="0.25">
      <c r="A76">
        <f t="shared" si="6"/>
        <v>22.828125</v>
      </c>
      <c r="B76" t="s">
        <v>31</v>
      </c>
      <c r="C76" t="s">
        <v>11</v>
      </c>
      <c r="D76">
        <v>192</v>
      </c>
      <c r="E76">
        <f t="shared" si="5"/>
        <v>90</v>
      </c>
      <c r="F76" s="22">
        <f>STOWA2019_HUIDIG_Z!$R19</f>
        <v>0.16221266225872483</v>
      </c>
      <c r="G76" s="22" t="s">
        <v>33</v>
      </c>
      <c r="H76" s="22">
        <f>STOWA2019_HUIDIG_Z!$R19</f>
        <v>0.16221266225872483</v>
      </c>
      <c r="I76" t="str">
        <f t="shared" si="7"/>
        <v>HUIDIG;zomer;192;90;0.162212662258725;TRUE;0.162212662258725</v>
      </c>
      <c r="P76" s="22"/>
      <c r="Q76" s="44"/>
    </row>
    <row r="77" spans="1:17" x14ac:dyDescent="0.25">
      <c r="A77">
        <f t="shared" si="6"/>
        <v>22.828125</v>
      </c>
      <c r="B77" t="s">
        <v>31</v>
      </c>
      <c r="C77" t="s">
        <v>11</v>
      </c>
      <c r="D77">
        <v>192</v>
      </c>
      <c r="E77">
        <f t="shared" si="5"/>
        <v>95</v>
      </c>
      <c r="F77" s="22">
        <f>STOWA2019_HUIDIG_Z!$R20</f>
        <v>0.11869551163948772</v>
      </c>
      <c r="G77" s="22" t="s">
        <v>33</v>
      </c>
      <c r="H77" s="22">
        <f>STOWA2019_HUIDIG_Z!$R20</f>
        <v>0.11869551163948772</v>
      </c>
      <c r="I77" t="str">
        <f t="shared" si="7"/>
        <v>HUIDIG;zomer;192;95;0.118695511639488;TRUE;0.118695511639488</v>
      </c>
      <c r="P77" s="22"/>
      <c r="Q77" s="44"/>
    </row>
    <row r="78" spans="1:17" x14ac:dyDescent="0.25">
      <c r="A78">
        <f t="shared" si="6"/>
        <v>22.828125</v>
      </c>
      <c r="B78" t="s">
        <v>31</v>
      </c>
      <c r="C78" t="s">
        <v>11</v>
      </c>
      <c r="D78">
        <v>192</v>
      </c>
      <c r="E78">
        <f t="shared" si="5"/>
        <v>100</v>
      </c>
      <c r="F78" s="22">
        <f>STOWA2019_HUIDIG_Z!$R21</f>
        <v>8.6816308365594536E-2</v>
      </c>
      <c r="G78" s="22" t="s">
        <v>33</v>
      </c>
      <c r="H78" s="22">
        <f>STOWA2019_HUIDIG_Z!$R21</f>
        <v>8.6816308365594536E-2</v>
      </c>
      <c r="I78" t="str">
        <f t="shared" si="7"/>
        <v>HUIDIG;zomer;192;100;8.68163083655945E-02;TRUE;8.68163083655945E-02</v>
      </c>
      <c r="P78" s="22"/>
      <c r="Q78" s="44"/>
    </row>
    <row r="79" spans="1:17" x14ac:dyDescent="0.25">
      <c r="A79">
        <f t="shared" si="6"/>
        <v>22.828125</v>
      </c>
      <c r="B79" t="s">
        <v>31</v>
      </c>
      <c r="C79" t="s">
        <v>11</v>
      </c>
      <c r="D79">
        <v>192</v>
      </c>
      <c r="E79">
        <f t="shared" si="5"/>
        <v>105</v>
      </c>
      <c r="F79" s="22">
        <f>STOWA2019_HUIDIG_Z!$R22</f>
        <v>6.347245754052816E-2</v>
      </c>
      <c r="G79" s="22" t="s">
        <v>33</v>
      </c>
      <c r="H79" s="22">
        <f>STOWA2019_HUIDIG_Z!$R22</f>
        <v>6.347245754052816E-2</v>
      </c>
      <c r="I79" t="str">
        <f t="shared" si="7"/>
        <v>HUIDIG;zomer;192;105;6.34724575405282E-02;TRUE;6.34724575405282E-02</v>
      </c>
      <c r="P79" s="22"/>
      <c r="Q79" s="44"/>
    </row>
    <row r="80" spans="1:17" x14ac:dyDescent="0.25">
      <c r="A80">
        <f t="shared" si="6"/>
        <v>22.828125</v>
      </c>
      <c r="B80" t="s">
        <v>31</v>
      </c>
      <c r="C80" t="s">
        <v>11</v>
      </c>
      <c r="D80">
        <v>192</v>
      </c>
      <c r="E80">
        <f t="shared" si="5"/>
        <v>110</v>
      </c>
      <c r="F80" s="22">
        <f>STOWA2019_HUIDIG_Z!$R23</f>
        <v>4.6385880008944169E-2</v>
      </c>
      <c r="G80" s="22" t="s">
        <v>33</v>
      </c>
      <c r="H80" s="22">
        <f>STOWA2019_HUIDIG_Z!$R23</f>
        <v>4.6385880008944169E-2</v>
      </c>
      <c r="I80" t="str">
        <f t="shared" si="7"/>
        <v>HUIDIG;zomer;192;110;4.63858800089442E-02;TRUE;4.63858800089442E-02</v>
      </c>
      <c r="P80" s="22"/>
      <c r="Q80" s="44"/>
    </row>
    <row r="81" spans="1:17" x14ac:dyDescent="0.25">
      <c r="A81">
        <f t="shared" si="6"/>
        <v>22.828125</v>
      </c>
      <c r="B81" t="s">
        <v>31</v>
      </c>
      <c r="C81" t="s">
        <v>11</v>
      </c>
      <c r="D81">
        <v>192</v>
      </c>
      <c r="E81">
        <f t="shared" si="5"/>
        <v>115</v>
      </c>
      <c r="F81" s="22">
        <f>STOWA2019_HUIDIG_Z!$R24</f>
        <v>3.3884593367260157E-2</v>
      </c>
      <c r="G81" s="22" t="s">
        <v>33</v>
      </c>
      <c r="H81" s="22">
        <f>STOWA2019_HUIDIG_Z!$R24</f>
        <v>3.3884593367260157E-2</v>
      </c>
      <c r="I81" t="str">
        <f t="shared" si="7"/>
        <v>HUIDIG;zomer;192;115;3.38845933672602E-02;TRUE;3.38845933672602E-02</v>
      </c>
      <c r="P81" s="22"/>
      <c r="Q81" s="44"/>
    </row>
    <row r="82" spans="1:17" x14ac:dyDescent="0.25">
      <c r="A82">
        <f t="shared" si="6"/>
        <v>22.828125</v>
      </c>
      <c r="B82" t="s">
        <v>31</v>
      </c>
      <c r="C82" t="s">
        <v>11</v>
      </c>
      <c r="D82">
        <v>192</v>
      </c>
      <c r="E82">
        <f t="shared" si="5"/>
        <v>120</v>
      </c>
      <c r="F82" s="22">
        <f>STOWA2019_HUIDIG_Z!$R25</f>
        <v>2.4741968518564833E-2</v>
      </c>
      <c r="G82" s="22" t="s">
        <v>33</v>
      </c>
      <c r="H82" s="22">
        <f>STOWA2019_HUIDIG_Z!$R25</f>
        <v>2.4741968518564833E-2</v>
      </c>
      <c r="I82" t="str">
        <f t="shared" si="7"/>
        <v>HUIDIG;zomer;192;120;2.47419685185648E-02;TRUE;2.47419685185648E-02</v>
      </c>
      <c r="P82" s="22"/>
      <c r="Q82" s="44"/>
    </row>
    <row r="83" spans="1:17" x14ac:dyDescent="0.25">
      <c r="A83">
        <f t="shared" si="6"/>
        <v>22.828125</v>
      </c>
      <c r="B83" t="s">
        <v>31</v>
      </c>
      <c r="C83" t="s">
        <v>11</v>
      </c>
      <c r="D83">
        <v>192</v>
      </c>
      <c r="E83">
        <f t="shared" si="5"/>
        <v>125</v>
      </c>
      <c r="F83" s="22">
        <f>STOWA2019_HUIDIG_Z!$R26</f>
        <v>1.8058480956083693E-2</v>
      </c>
      <c r="G83" s="22" t="s">
        <v>33</v>
      </c>
      <c r="H83" s="22">
        <f>STOWA2019_HUIDIG_Z!$R26</f>
        <v>1.8058480956083693E-2</v>
      </c>
      <c r="I83" t="str">
        <f t="shared" si="7"/>
        <v>HUIDIG;zomer;192;125;1.80584809560837E-02;TRUE;1.80584809560837E-02</v>
      </c>
      <c r="P83" s="22"/>
      <c r="Q83" s="44"/>
    </row>
    <row r="84" spans="1:17" x14ac:dyDescent="0.25">
      <c r="A84">
        <f t="shared" si="6"/>
        <v>22.828125</v>
      </c>
      <c r="B84" t="s">
        <v>31</v>
      </c>
      <c r="C84" t="s">
        <v>11</v>
      </c>
      <c r="D84">
        <v>192</v>
      </c>
      <c r="E84">
        <f t="shared" si="5"/>
        <v>130</v>
      </c>
      <c r="F84" s="22">
        <f>STOWA2019_HUIDIG_Z!$R27</f>
        <v>1.3174758798821434E-2</v>
      </c>
      <c r="G84" s="22" t="s">
        <v>33</v>
      </c>
      <c r="H84" s="22">
        <f>STOWA2019_HUIDIG_Z!$R27</f>
        <v>1.3174758798821434E-2</v>
      </c>
      <c r="I84" t="str">
        <f t="shared" si="7"/>
        <v>HUIDIG;zomer;192;130;1.31747587988214E-02;TRUE;1.31747587988214E-02</v>
      </c>
      <c r="P84" s="22"/>
      <c r="Q84" s="44"/>
    </row>
    <row r="85" spans="1:17" x14ac:dyDescent="0.25">
      <c r="A85">
        <f t="shared" si="6"/>
        <v>22.828125</v>
      </c>
      <c r="B85" t="s">
        <v>31</v>
      </c>
      <c r="C85" t="s">
        <v>11</v>
      </c>
      <c r="D85">
        <v>192</v>
      </c>
      <c r="E85">
        <f t="shared" si="5"/>
        <v>135</v>
      </c>
      <c r="F85" s="22">
        <f>STOWA2019_HUIDIG_Z!$R28</f>
        <v>9.6076708999655001E-3</v>
      </c>
      <c r="G85" s="22" t="s">
        <v>33</v>
      </c>
      <c r="H85" s="22">
        <f>STOWA2019_HUIDIG_Z!$R28</f>
        <v>9.6076708999655001E-3</v>
      </c>
      <c r="I85" t="str">
        <f t="shared" si="7"/>
        <v>HUIDIG;zomer;192;135;9.6076708999655E-03;TRUE;9.6076708999655E-03</v>
      </c>
      <c r="P85" s="22"/>
      <c r="Q85" s="44"/>
    </row>
    <row r="86" spans="1:17" x14ac:dyDescent="0.25">
      <c r="A86">
        <f t="shared" si="6"/>
        <v>22.828125</v>
      </c>
      <c r="B86" t="s">
        <v>31</v>
      </c>
      <c r="C86" t="s">
        <v>11</v>
      </c>
      <c r="D86">
        <v>192</v>
      </c>
      <c r="E86">
        <f t="shared" si="5"/>
        <v>140</v>
      </c>
      <c r="F86" s="22">
        <f>STOWA2019_HUIDIG_Z!$R29</f>
        <v>7.0033695847816317E-3</v>
      </c>
      <c r="G86" s="22" t="s">
        <v>33</v>
      </c>
      <c r="H86" s="22">
        <f>STOWA2019_HUIDIG_Z!$R29</f>
        <v>7.0033695847816317E-3</v>
      </c>
      <c r="I86" t="str">
        <f t="shared" si="7"/>
        <v>HUIDIG;zomer;192;140;7.00336958478163E-03;TRUE;7.00336958478163E-03</v>
      </c>
      <c r="P86" s="22"/>
      <c r="Q86" s="44"/>
    </row>
    <row r="87" spans="1:17" x14ac:dyDescent="0.25">
      <c r="A87">
        <f t="shared" si="6"/>
        <v>22.828125</v>
      </c>
      <c r="B87" t="s">
        <v>31</v>
      </c>
      <c r="C87" t="s">
        <v>11</v>
      </c>
      <c r="D87">
        <v>192</v>
      </c>
      <c r="E87">
        <f t="shared" si="5"/>
        <v>145</v>
      </c>
      <c r="F87" s="22">
        <f>STOWA2019_HUIDIG_Z!$R30</f>
        <v>5.1028047007655522E-3</v>
      </c>
      <c r="G87" s="22" t="s">
        <v>33</v>
      </c>
      <c r="H87" s="22">
        <f>STOWA2019_HUIDIG_Z!$R30</f>
        <v>5.1028047007655522E-3</v>
      </c>
      <c r="I87" t="str">
        <f t="shared" si="7"/>
        <v>HUIDIG;zomer;192;145;5.10280470076555E-03;TRUE;5.10280470076555E-03</v>
      </c>
      <c r="P87" s="22"/>
      <c r="Q87" s="44"/>
    </row>
    <row r="88" spans="1:17" x14ac:dyDescent="0.25">
      <c r="A88">
        <f t="shared" si="6"/>
        <v>22.828125</v>
      </c>
      <c r="B88" t="s">
        <v>31</v>
      </c>
      <c r="C88" t="s">
        <v>11</v>
      </c>
      <c r="D88">
        <v>192</v>
      </c>
      <c r="E88">
        <f t="shared" si="5"/>
        <v>150</v>
      </c>
      <c r="F88" s="22">
        <f>STOWA2019_HUIDIG_Z!$R31</f>
        <v>1.3620586088721458E-2</v>
      </c>
      <c r="G88" s="22" t="s">
        <v>33</v>
      </c>
      <c r="H88" s="22">
        <f>STOWA2019_HUIDIG_Z!$R31</f>
        <v>1.3620586088721458E-2</v>
      </c>
      <c r="I88" t="str">
        <f t="shared" si="7"/>
        <v>HUIDIG;zomer;192;150;1.36205860887215E-02;TRUE;1.36205860887215E-02</v>
      </c>
      <c r="P88" s="22"/>
      <c r="Q88" s="44"/>
    </row>
    <row r="89" spans="1:17" x14ac:dyDescent="0.25">
      <c r="A89">
        <f t="shared" si="6"/>
        <v>20.291666666666664</v>
      </c>
      <c r="B89" t="s">
        <v>31</v>
      </c>
      <c r="C89" t="s">
        <v>11</v>
      </c>
      <c r="D89">
        <v>216</v>
      </c>
      <c r="E89">
        <v>20</v>
      </c>
      <c r="F89" s="22">
        <f>STOWA2019_HUIDIG_Z!$V5</f>
        <v>3.8465327636562279</v>
      </c>
      <c r="G89" s="22" t="s">
        <v>33</v>
      </c>
      <c r="H89" s="22">
        <f>STOWA2019_HUIDIG_Z!$V5</f>
        <v>3.8465327636562279</v>
      </c>
      <c r="I89" t="str">
        <f t="shared" si="7"/>
        <v>HUIDIG;zomer;216;20;3.84653276365623;TRUE;3.84653276365623</v>
      </c>
      <c r="P89" s="22"/>
      <c r="Q89" s="44"/>
    </row>
    <row r="90" spans="1:17" x14ac:dyDescent="0.25">
      <c r="A90">
        <f t="shared" si="6"/>
        <v>20.291666666666664</v>
      </c>
      <c r="B90" t="s">
        <v>31</v>
      </c>
      <c r="C90" t="s">
        <v>11</v>
      </c>
      <c r="D90">
        <v>216</v>
      </c>
      <c r="E90">
        <f>E89+5</f>
        <v>25</v>
      </c>
      <c r="F90" s="22">
        <f>STOWA2019_HUIDIG_Z!$V6</f>
        <v>9.340139809511026</v>
      </c>
      <c r="G90" s="22" t="s">
        <v>33</v>
      </c>
      <c r="H90" s="22">
        <f>STOWA2019_HUIDIG_Z!$V6</f>
        <v>9.340139809511026</v>
      </c>
      <c r="I90" t="str">
        <f t="shared" si="7"/>
        <v>HUIDIG;zomer;216;25;9.34013980951103;TRUE;9.34013980951103</v>
      </c>
      <c r="P90" s="22"/>
      <c r="Q90" s="44"/>
    </row>
    <row r="91" spans="1:17" x14ac:dyDescent="0.25">
      <c r="A91">
        <f t="shared" si="6"/>
        <v>20.291666666666664</v>
      </c>
      <c r="B91" t="s">
        <v>31</v>
      </c>
      <c r="C91" t="s">
        <v>11</v>
      </c>
      <c r="D91">
        <v>216</v>
      </c>
      <c r="E91">
        <f t="shared" ref="E91:E116" si="8">E90+5</f>
        <v>30</v>
      </c>
      <c r="F91" s="22">
        <f>STOWA2019_HUIDIG_Z!$V7</f>
        <v>6.8387455319920782</v>
      </c>
      <c r="G91" s="22" t="s">
        <v>33</v>
      </c>
      <c r="H91" s="22">
        <f>STOWA2019_HUIDIG_Z!$V7</f>
        <v>6.8387455319920782</v>
      </c>
      <c r="I91" t="str">
        <f t="shared" si="7"/>
        <v>HUIDIG;zomer;216;30;6.83874553199208;TRUE;6.83874553199208</v>
      </c>
      <c r="P91" s="22"/>
      <c r="Q91" s="44"/>
    </row>
    <row r="92" spans="1:17" x14ac:dyDescent="0.25">
      <c r="A92">
        <f t="shared" si="6"/>
        <v>20.291666666666664</v>
      </c>
      <c r="B92" t="s">
        <v>31</v>
      </c>
      <c r="C92" t="s">
        <v>11</v>
      </c>
      <c r="D92">
        <v>216</v>
      </c>
      <c r="E92">
        <f t="shared" si="8"/>
        <v>35</v>
      </c>
      <c r="F92" s="22">
        <f>STOWA2019_HUIDIG_Z!$V8</f>
        <v>5.1510430969584888</v>
      </c>
      <c r="G92" s="22" t="s">
        <v>33</v>
      </c>
      <c r="H92" s="22">
        <f>STOWA2019_HUIDIG_Z!$V8</f>
        <v>5.1510430969584888</v>
      </c>
      <c r="I92" t="str">
        <f t="shared" si="7"/>
        <v>HUIDIG;zomer;216;35;5.15104309695849;TRUE;5.15104309695849</v>
      </c>
      <c r="P92" s="22"/>
      <c r="Q92" s="44"/>
    </row>
    <row r="93" spans="1:17" x14ac:dyDescent="0.25">
      <c r="A93">
        <f t="shared" si="6"/>
        <v>20.291666666666664</v>
      </c>
      <c r="B93" t="s">
        <v>31</v>
      </c>
      <c r="C93" t="s">
        <v>11</v>
      </c>
      <c r="D93">
        <v>216</v>
      </c>
      <c r="E93">
        <f t="shared" si="8"/>
        <v>40</v>
      </c>
      <c r="F93" s="22">
        <f>STOWA2019_HUIDIG_Z!$V9</f>
        <v>3.875020700094165</v>
      </c>
      <c r="G93" s="22" t="s">
        <v>33</v>
      </c>
      <c r="H93" s="22">
        <f>STOWA2019_HUIDIG_Z!$V9</f>
        <v>3.875020700094165</v>
      </c>
      <c r="I93" t="str">
        <f t="shared" si="7"/>
        <v>HUIDIG;zomer;216;40;3.87502070009416;TRUE;3.87502070009416</v>
      </c>
      <c r="P93" s="22"/>
      <c r="Q93" s="44"/>
    </row>
    <row r="94" spans="1:17" x14ac:dyDescent="0.25">
      <c r="A94">
        <f t="shared" si="6"/>
        <v>20.291666666666664</v>
      </c>
      <c r="B94" t="s">
        <v>31</v>
      </c>
      <c r="C94" t="s">
        <v>11</v>
      </c>
      <c r="D94">
        <v>216</v>
      </c>
      <c r="E94">
        <f t="shared" si="8"/>
        <v>45</v>
      </c>
      <c r="F94" s="22">
        <f>STOWA2019_HUIDIG_Z!$V10</f>
        <v>2.9114421587085353</v>
      </c>
      <c r="G94" s="22" t="s">
        <v>33</v>
      </c>
      <c r="H94" s="22">
        <f>STOWA2019_HUIDIG_Z!$V10</f>
        <v>2.9114421587085353</v>
      </c>
      <c r="I94" t="str">
        <f t="shared" si="7"/>
        <v>HUIDIG;zomer;216;45;2.91144215870854;TRUE;2.91144215870854</v>
      </c>
      <c r="P94" s="22"/>
      <c r="Q94" s="44"/>
    </row>
    <row r="95" spans="1:17" x14ac:dyDescent="0.25">
      <c r="A95">
        <f t="shared" si="6"/>
        <v>20.291666666666664</v>
      </c>
      <c r="B95" t="s">
        <v>31</v>
      </c>
      <c r="C95" t="s">
        <v>11</v>
      </c>
      <c r="D95">
        <v>216</v>
      </c>
      <c r="E95">
        <f t="shared" si="8"/>
        <v>50</v>
      </c>
      <c r="F95" s="22">
        <f>STOWA2019_HUIDIG_Z!$V11</f>
        <v>2.1847048797382804</v>
      </c>
      <c r="G95" s="22" t="s">
        <v>33</v>
      </c>
      <c r="H95" s="22">
        <f>STOWA2019_HUIDIG_Z!$V11</f>
        <v>2.1847048797382804</v>
      </c>
      <c r="I95" t="str">
        <f t="shared" si="7"/>
        <v>HUIDIG;zomer;216;50;2.18470487973828;TRUE;2.18470487973828</v>
      </c>
      <c r="P95" s="22"/>
      <c r="Q95" s="44"/>
    </row>
    <row r="96" spans="1:17" x14ac:dyDescent="0.25">
      <c r="A96">
        <f t="shared" si="6"/>
        <v>20.291666666666664</v>
      </c>
      <c r="B96" t="s">
        <v>31</v>
      </c>
      <c r="C96" t="s">
        <v>11</v>
      </c>
      <c r="D96">
        <v>216</v>
      </c>
      <c r="E96">
        <f t="shared" si="8"/>
        <v>55</v>
      </c>
      <c r="F96" s="22">
        <f>STOWA2019_HUIDIG_Z!$V12</f>
        <v>1.6372800812969901</v>
      </c>
      <c r="G96" s="22" t="s">
        <v>33</v>
      </c>
      <c r="H96" s="22">
        <f>STOWA2019_HUIDIG_Z!$V12</f>
        <v>1.6372800812969901</v>
      </c>
      <c r="I96" t="str">
        <f t="shared" si="7"/>
        <v>HUIDIG;zomer;216;55;1.63728008129699;TRUE;1.63728008129699</v>
      </c>
      <c r="P96" s="22"/>
      <c r="Q96" s="44"/>
    </row>
    <row r="97" spans="1:17" x14ac:dyDescent="0.25">
      <c r="A97">
        <f t="shared" si="6"/>
        <v>20.291666666666664</v>
      </c>
      <c r="B97" t="s">
        <v>31</v>
      </c>
      <c r="C97" t="s">
        <v>11</v>
      </c>
      <c r="D97">
        <v>216</v>
      </c>
      <c r="E97">
        <f t="shared" si="8"/>
        <v>60</v>
      </c>
      <c r="F97" s="22">
        <f>STOWA2019_HUIDIG_Z!$V13</f>
        <v>1.2254449731267596</v>
      </c>
      <c r="G97" s="22" t="s">
        <v>33</v>
      </c>
      <c r="H97" s="22">
        <f>STOWA2019_HUIDIG_Z!$V13</f>
        <v>1.2254449731267596</v>
      </c>
      <c r="I97" t="str">
        <f t="shared" si="7"/>
        <v>HUIDIG;zomer;216;60;1.22544497312676;TRUE;1.22544497312676</v>
      </c>
      <c r="P97" s="22"/>
      <c r="Q97" s="44"/>
    </row>
    <row r="98" spans="1:17" x14ac:dyDescent="0.25">
      <c r="A98">
        <f t="shared" si="6"/>
        <v>20.291666666666664</v>
      </c>
      <c r="B98" t="s">
        <v>31</v>
      </c>
      <c r="C98" t="s">
        <v>11</v>
      </c>
      <c r="D98">
        <v>216</v>
      </c>
      <c r="E98">
        <f t="shared" si="8"/>
        <v>65</v>
      </c>
      <c r="F98" s="22">
        <f>STOWA2019_HUIDIG_Z!$V14</f>
        <v>0.91601011699710533</v>
      </c>
      <c r="G98" s="22" t="s">
        <v>33</v>
      </c>
      <c r="H98" s="22">
        <f>STOWA2019_HUIDIG_Z!$V14</f>
        <v>0.91601011699710533</v>
      </c>
      <c r="I98" t="str">
        <f t="shared" si="7"/>
        <v>HUIDIG;zomer;216;65;0.916010116997105;TRUE;0.916010116997105</v>
      </c>
      <c r="P98" s="22"/>
      <c r="Q98" s="44"/>
    </row>
    <row r="99" spans="1:17" x14ac:dyDescent="0.25">
      <c r="A99">
        <f t="shared" si="6"/>
        <v>20.291666666666664</v>
      </c>
      <c r="B99" t="s">
        <v>31</v>
      </c>
      <c r="C99" t="s">
        <v>11</v>
      </c>
      <c r="D99">
        <v>216</v>
      </c>
      <c r="E99">
        <f t="shared" si="8"/>
        <v>70</v>
      </c>
      <c r="F99" s="22">
        <f>STOWA2019_HUIDIG_Z!$V15</f>
        <v>0.68381285409232073</v>
      </c>
      <c r="G99" s="22" t="s">
        <v>33</v>
      </c>
      <c r="H99" s="22">
        <f>STOWA2019_HUIDIG_Z!$V15</f>
        <v>0.68381285409232073</v>
      </c>
      <c r="I99" t="str">
        <f t="shared" si="7"/>
        <v>HUIDIG;zomer;216;70;0.683812854092321;TRUE;0.683812854092321</v>
      </c>
      <c r="P99" s="22"/>
      <c r="Q99" s="44"/>
    </row>
    <row r="100" spans="1:17" x14ac:dyDescent="0.25">
      <c r="A100">
        <f t="shared" si="6"/>
        <v>20.291666666666664</v>
      </c>
      <c r="B100" t="s">
        <v>31</v>
      </c>
      <c r="C100" t="s">
        <v>11</v>
      </c>
      <c r="D100">
        <v>216</v>
      </c>
      <c r="E100">
        <f t="shared" si="8"/>
        <v>75</v>
      </c>
      <c r="F100" s="22">
        <f>STOWA2019_HUIDIG_Z!$V16</f>
        <v>0.50979976431687923</v>
      </c>
      <c r="G100" s="22" t="s">
        <v>33</v>
      </c>
      <c r="H100" s="22">
        <f>STOWA2019_HUIDIG_Z!$V16</f>
        <v>0.50979976431687923</v>
      </c>
      <c r="I100" t="str">
        <f t="shared" si="7"/>
        <v>HUIDIG;zomer;216;75;0.509799764316879;TRUE;0.509799764316879</v>
      </c>
      <c r="P100" s="22"/>
      <c r="Q100" s="44"/>
    </row>
    <row r="101" spans="1:17" x14ac:dyDescent="0.25">
      <c r="A101">
        <f t="shared" si="6"/>
        <v>20.291666666666664</v>
      </c>
      <c r="B101" t="s">
        <v>31</v>
      </c>
      <c r="C101" t="s">
        <v>11</v>
      </c>
      <c r="D101">
        <v>216</v>
      </c>
      <c r="E101">
        <f t="shared" si="8"/>
        <v>80</v>
      </c>
      <c r="F101" s="22">
        <f>STOWA2019_HUIDIG_Z!$V17</f>
        <v>0.37956150167485658</v>
      </c>
      <c r="G101" s="22" t="s">
        <v>33</v>
      </c>
      <c r="H101" s="22">
        <f>STOWA2019_HUIDIG_Z!$V17</f>
        <v>0.37956150167485658</v>
      </c>
      <c r="I101" t="str">
        <f t="shared" si="7"/>
        <v>HUIDIG;zomer;216;80;0.379561501674857;TRUE;0.379561501674857</v>
      </c>
      <c r="P101" s="22"/>
      <c r="Q101" s="44"/>
    </row>
    <row r="102" spans="1:17" x14ac:dyDescent="0.25">
      <c r="A102">
        <f t="shared" si="6"/>
        <v>20.291666666666664</v>
      </c>
      <c r="B102" t="s">
        <v>31</v>
      </c>
      <c r="C102" t="s">
        <v>11</v>
      </c>
      <c r="D102">
        <v>216</v>
      </c>
      <c r="E102">
        <f t="shared" si="8"/>
        <v>85</v>
      </c>
      <c r="F102" s="22">
        <f>STOWA2019_HUIDIG_Z!$V18</f>
        <v>0.28221464166338983</v>
      </c>
      <c r="G102" s="22" t="s">
        <v>33</v>
      </c>
      <c r="H102" s="22">
        <f>STOWA2019_HUIDIG_Z!$V18</f>
        <v>0.28221464166338983</v>
      </c>
      <c r="I102" t="str">
        <f t="shared" si="7"/>
        <v>HUIDIG;zomer;216;85;0.28221464166339;TRUE;0.28221464166339</v>
      </c>
      <c r="P102" s="22"/>
      <c r="Q102" s="44"/>
    </row>
    <row r="103" spans="1:17" x14ac:dyDescent="0.25">
      <c r="A103">
        <f t="shared" si="6"/>
        <v>20.291666666666664</v>
      </c>
      <c r="B103" t="s">
        <v>31</v>
      </c>
      <c r="C103" t="s">
        <v>11</v>
      </c>
      <c r="D103">
        <v>216</v>
      </c>
      <c r="E103">
        <f t="shared" si="8"/>
        <v>90</v>
      </c>
      <c r="F103" s="22">
        <f>STOWA2019_HUIDIG_Z!$V19</f>
        <v>0.20954939835079445</v>
      </c>
      <c r="G103" s="22" t="s">
        <v>33</v>
      </c>
      <c r="H103" s="22">
        <f>STOWA2019_HUIDIG_Z!$V19</f>
        <v>0.20954939835079445</v>
      </c>
      <c r="I103" t="str">
        <f t="shared" si="7"/>
        <v>HUIDIG;zomer;216;90;0.209549398350794;TRUE;0.209549398350794</v>
      </c>
      <c r="P103" s="22"/>
      <c r="Q103" s="44"/>
    </row>
    <row r="104" spans="1:17" x14ac:dyDescent="0.25">
      <c r="A104">
        <f t="shared" si="6"/>
        <v>20.291666666666664</v>
      </c>
      <c r="B104" t="s">
        <v>31</v>
      </c>
      <c r="C104" t="s">
        <v>11</v>
      </c>
      <c r="D104">
        <v>216</v>
      </c>
      <c r="E104">
        <f t="shared" si="8"/>
        <v>95</v>
      </c>
      <c r="F104" s="22">
        <f>STOWA2019_HUIDIG_Z!$V20</f>
        <v>0.15538079620319339</v>
      </c>
      <c r="G104" s="22" t="s">
        <v>33</v>
      </c>
      <c r="H104" s="22">
        <f>STOWA2019_HUIDIG_Z!$V20</f>
        <v>0.15538079620319339</v>
      </c>
      <c r="I104" t="str">
        <f t="shared" si="7"/>
        <v>HUIDIG;zomer;216;95;0.155380796203193;TRUE;0.155380796203193</v>
      </c>
      <c r="P104" s="22"/>
      <c r="Q104" s="44"/>
    </row>
    <row r="105" spans="1:17" x14ac:dyDescent="0.25">
      <c r="A105">
        <f t="shared" si="6"/>
        <v>20.291666666666664</v>
      </c>
      <c r="B105" t="s">
        <v>31</v>
      </c>
      <c r="C105" t="s">
        <v>11</v>
      </c>
      <c r="D105">
        <v>216</v>
      </c>
      <c r="E105">
        <f t="shared" si="8"/>
        <v>100</v>
      </c>
      <c r="F105" s="22">
        <f>STOWA2019_HUIDIG_Z!$V21</f>
        <v>0.11505534418725893</v>
      </c>
      <c r="G105" s="22" t="s">
        <v>33</v>
      </c>
      <c r="H105" s="22">
        <f>STOWA2019_HUIDIG_Z!$V21</f>
        <v>0.11505534418725893</v>
      </c>
      <c r="I105" t="str">
        <f t="shared" si="7"/>
        <v>HUIDIG;zomer;216;100;0.115055344187259;TRUE;0.115055344187259</v>
      </c>
      <c r="P105" s="22"/>
      <c r="Q105" s="44"/>
    </row>
    <row r="106" spans="1:17" x14ac:dyDescent="0.25">
      <c r="A106">
        <f t="shared" si="6"/>
        <v>20.291666666666664</v>
      </c>
      <c r="B106" t="s">
        <v>31</v>
      </c>
      <c r="C106" t="s">
        <v>11</v>
      </c>
      <c r="D106">
        <v>216</v>
      </c>
      <c r="E106">
        <f t="shared" si="8"/>
        <v>105</v>
      </c>
      <c r="F106" s="22">
        <f>STOWA2019_HUIDIG_Z!$V22</f>
        <v>8.5076415341645895E-2</v>
      </c>
      <c r="G106" s="22" t="s">
        <v>33</v>
      </c>
      <c r="H106" s="22">
        <f>STOWA2019_HUIDIG_Z!$V22</f>
        <v>8.5076415341645895E-2</v>
      </c>
      <c r="I106" t="str">
        <f t="shared" si="7"/>
        <v>HUIDIG;zomer;216;105;8.50764153416459E-02;TRUE;8.50764153416459E-02</v>
      </c>
      <c r="P106" s="22"/>
      <c r="Q106" s="44"/>
    </row>
    <row r="107" spans="1:17" x14ac:dyDescent="0.25">
      <c r="A107">
        <f t="shared" si="6"/>
        <v>20.291666666666664</v>
      </c>
      <c r="B107" t="s">
        <v>31</v>
      </c>
      <c r="C107" t="s">
        <v>11</v>
      </c>
      <c r="D107">
        <v>216</v>
      </c>
      <c r="E107">
        <f t="shared" si="8"/>
        <v>110</v>
      </c>
      <c r="F107" s="22">
        <f>STOWA2019_HUIDIG_Z!$V23</f>
        <v>6.2820129736172681E-2</v>
      </c>
      <c r="G107" s="22" t="s">
        <v>33</v>
      </c>
      <c r="H107" s="22">
        <f>STOWA2019_HUIDIG_Z!$V23</f>
        <v>6.2820129736172681E-2</v>
      </c>
      <c r="I107" t="str">
        <f t="shared" si="7"/>
        <v>HUIDIG;zomer;216;110;6.28201297361727E-02;TRUE;6.28201297361727E-02</v>
      </c>
      <c r="P107" s="22"/>
      <c r="Q107" s="44"/>
    </row>
    <row r="108" spans="1:17" x14ac:dyDescent="0.25">
      <c r="A108">
        <f t="shared" si="6"/>
        <v>20.291666666666664</v>
      </c>
      <c r="B108" t="s">
        <v>31</v>
      </c>
      <c r="C108" t="s">
        <v>11</v>
      </c>
      <c r="D108">
        <v>216</v>
      </c>
      <c r="E108">
        <f t="shared" si="8"/>
        <v>115</v>
      </c>
      <c r="F108" s="22">
        <f>STOWA2019_HUIDIG_Z!$V24</f>
        <v>4.6320152483196153E-2</v>
      </c>
      <c r="G108" s="22" t="s">
        <v>33</v>
      </c>
      <c r="H108" s="22">
        <f>STOWA2019_HUIDIG_Z!$V24</f>
        <v>4.6320152483196153E-2</v>
      </c>
      <c r="I108" t="str">
        <f t="shared" si="7"/>
        <v>HUIDIG;zomer;216;115;4.63201524831962E-02;TRUE;4.63201524831962E-02</v>
      </c>
      <c r="P108" s="22"/>
      <c r="Q108" s="44"/>
    </row>
    <row r="109" spans="1:17" x14ac:dyDescent="0.25">
      <c r="A109">
        <f t="shared" si="6"/>
        <v>20.291666666666664</v>
      </c>
      <c r="B109" t="s">
        <v>31</v>
      </c>
      <c r="C109" t="s">
        <v>11</v>
      </c>
      <c r="D109">
        <v>216</v>
      </c>
      <c r="E109">
        <f t="shared" si="8"/>
        <v>120</v>
      </c>
      <c r="F109" s="22">
        <f>STOWA2019_HUIDIG_Z!$V25</f>
        <v>3.4104901660436449E-2</v>
      </c>
      <c r="G109" s="22" t="s">
        <v>33</v>
      </c>
      <c r="H109" s="22">
        <f>STOWA2019_HUIDIG_Z!$V25</f>
        <v>3.4104901660436449E-2</v>
      </c>
      <c r="I109" t="str">
        <f t="shared" si="7"/>
        <v>HUIDIG;zomer;216;120;3.41049016604364E-02;TRUE;3.41049016604364E-02</v>
      </c>
      <c r="P109" s="22"/>
      <c r="Q109" s="44"/>
    </row>
    <row r="110" spans="1:17" x14ac:dyDescent="0.25">
      <c r="A110">
        <f t="shared" si="6"/>
        <v>20.291666666666664</v>
      </c>
      <c r="B110" t="s">
        <v>31</v>
      </c>
      <c r="C110" t="s">
        <v>11</v>
      </c>
      <c r="D110">
        <v>216</v>
      </c>
      <c r="E110">
        <f t="shared" si="8"/>
        <v>125</v>
      </c>
      <c r="F110" s="22">
        <f>STOWA2019_HUIDIG_Z!$V26</f>
        <v>2.5074563074939535E-2</v>
      </c>
      <c r="G110" s="22" t="s">
        <v>33</v>
      </c>
      <c r="H110" s="22">
        <f>STOWA2019_HUIDIG_Z!$V26</f>
        <v>2.5074563074939535E-2</v>
      </c>
      <c r="I110" t="str">
        <f t="shared" si="7"/>
        <v>HUIDIG;zomer;216;125;2.50745630749395E-02;TRUE;2.50745630749395E-02</v>
      </c>
      <c r="P110" s="22"/>
      <c r="Q110" s="44"/>
    </row>
    <row r="111" spans="1:17" x14ac:dyDescent="0.25">
      <c r="A111">
        <f t="shared" si="6"/>
        <v>20.291666666666664</v>
      </c>
      <c r="B111" t="s">
        <v>31</v>
      </c>
      <c r="C111" t="s">
        <v>11</v>
      </c>
      <c r="D111">
        <v>216</v>
      </c>
      <c r="E111">
        <f t="shared" si="8"/>
        <v>130</v>
      </c>
      <c r="F111" s="22">
        <f>STOWA2019_HUIDIG_Z!$V27</f>
        <v>1.8408300494403347E-2</v>
      </c>
      <c r="G111" s="22" t="s">
        <v>33</v>
      </c>
      <c r="H111" s="22">
        <f>STOWA2019_HUIDIG_Z!$V27</f>
        <v>1.8408300494403347E-2</v>
      </c>
      <c r="I111" t="str">
        <f t="shared" si="7"/>
        <v>HUIDIG;zomer;216;130;1.84083004944033E-02;TRUE;1.84083004944033E-02</v>
      </c>
      <c r="P111" s="22"/>
      <c r="Q111" s="44"/>
    </row>
    <row r="112" spans="1:17" x14ac:dyDescent="0.25">
      <c r="A112">
        <f t="shared" si="6"/>
        <v>20.291666666666664</v>
      </c>
      <c r="B112" t="s">
        <v>31</v>
      </c>
      <c r="C112" t="s">
        <v>11</v>
      </c>
      <c r="D112">
        <v>216</v>
      </c>
      <c r="E112">
        <f t="shared" si="8"/>
        <v>135</v>
      </c>
      <c r="F112" s="22">
        <f>STOWA2019_HUIDIG_Z!$V28</f>
        <v>1.3494340834673393E-2</v>
      </c>
      <c r="G112" s="22" t="s">
        <v>33</v>
      </c>
      <c r="H112" s="22">
        <f>STOWA2019_HUIDIG_Z!$V28</f>
        <v>1.3494340834673393E-2</v>
      </c>
      <c r="I112" t="str">
        <f t="shared" si="7"/>
        <v>HUIDIG;zomer;216;135;1.34943408346734E-02;TRUE;1.34943408346734E-02</v>
      </c>
      <c r="P112" s="22"/>
      <c r="Q112" s="44"/>
    </row>
    <row r="113" spans="1:17" x14ac:dyDescent="0.25">
      <c r="A113">
        <f t="shared" si="6"/>
        <v>20.291666666666664</v>
      </c>
      <c r="B113" t="s">
        <v>31</v>
      </c>
      <c r="C113" t="s">
        <v>11</v>
      </c>
      <c r="D113">
        <v>216</v>
      </c>
      <c r="E113">
        <f t="shared" si="8"/>
        <v>140</v>
      </c>
      <c r="F113" s="22">
        <f>STOWA2019_HUIDIG_Z!$V29</f>
        <v>9.8773657939543805E-3</v>
      </c>
      <c r="G113" s="22" t="s">
        <v>33</v>
      </c>
      <c r="H113" s="22">
        <f>STOWA2019_HUIDIG_Z!$V29</f>
        <v>9.8773657939543805E-3</v>
      </c>
      <c r="I113" t="str">
        <f t="shared" si="7"/>
        <v>HUIDIG;zomer;216;140;9.87736579395438E-03;TRUE;9.87736579395438E-03</v>
      </c>
      <c r="P113" s="22"/>
      <c r="Q113" s="44"/>
    </row>
    <row r="114" spans="1:17" x14ac:dyDescent="0.25">
      <c r="A114">
        <f t="shared" si="6"/>
        <v>20.291666666666664</v>
      </c>
      <c r="B114" t="s">
        <v>31</v>
      </c>
      <c r="C114" t="s">
        <v>11</v>
      </c>
      <c r="D114">
        <v>216</v>
      </c>
      <c r="E114">
        <f t="shared" si="8"/>
        <v>145</v>
      </c>
      <c r="F114" s="22">
        <f>STOWA2019_HUIDIG_Z!$V30</f>
        <v>7.2189796174646145E-3</v>
      </c>
      <c r="G114" s="22" t="s">
        <v>33</v>
      </c>
      <c r="H114" s="22">
        <f>STOWA2019_HUIDIG_Z!$V30</f>
        <v>7.2189796174646145E-3</v>
      </c>
      <c r="I114" t="str">
        <f t="shared" si="7"/>
        <v>HUIDIG;zomer;216;145;7.21897961746461E-03;TRUE;7.21897961746461E-03</v>
      </c>
      <c r="P114" s="22"/>
      <c r="Q114" s="44"/>
    </row>
    <row r="115" spans="1:17" x14ac:dyDescent="0.25">
      <c r="A115">
        <f t="shared" si="6"/>
        <v>20.291666666666664</v>
      </c>
      <c r="B115" t="s">
        <v>31</v>
      </c>
      <c r="C115" t="s">
        <v>11</v>
      </c>
      <c r="D115">
        <v>216</v>
      </c>
      <c r="E115">
        <f t="shared" si="8"/>
        <v>150</v>
      </c>
      <c r="F115" s="22">
        <f>STOWA2019_HUIDIG_Z!$V31</f>
        <v>5.268043490487373E-3</v>
      </c>
      <c r="G115" s="22" t="s">
        <v>33</v>
      </c>
      <c r="H115" s="22">
        <f>STOWA2019_HUIDIG_Z!$V31</f>
        <v>5.268043490487373E-3</v>
      </c>
      <c r="I115" t="str">
        <f t="shared" si="7"/>
        <v>HUIDIG;zomer;216;150;5.26804349048737E-03;TRUE;5.26804349048737E-03</v>
      </c>
      <c r="P115" s="22"/>
      <c r="Q115" s="44"/>
    </row>
    <row r="116" spans="1:17" x14ac:dyDescent="0.25">
      <c r="A116">
        <f t="shared" si="6"/>
        <v>20.291666666666664</v>
      </c>
      <c r="B116" t="s">
        <v>31</v>
      </c>
      <c r="C116" t="s">
        <v>11</v>
      </c>
      <c r="D116">
        <v>216</v>
      </c>
      <c r="E116">
        <f t="shared" si="8"/>
        <v>155</v>
      </c>
      <c r="F116" s="22">
        <f>STOWA2019_HUIDIG_Z!$V32</f>
        <v>1.3931728237604989E-2</v>
      </c>
      <c r="G116" s="22" t="s">
        <v>33</v>
      </c>
      <c r="H116" s="22">
        <f>STOWA2019_HUIDIG_Z!$V32</f>
        <v>1.3931728237604989E-2</v>
      </c>
      <c r="I116" t="str">
        <f t="shared" si="7"/>
        <v>HUIDIG;zomer;216;155;0.013931728237605;TRUE;0.013931728237605</v>
      </c>
      <c r="P116" s="22"/>
      <c r="Q116" s="44"/>
    </row>
    <row r="117" spans="1:17" x14ac:dyDescent="0.25">
      <c r="A117">
        <f t="shared" si="6"/>
        <v>182.625</v>
      </c>
      <c r="B117" t="s">
        <v>31</v>
      </c>
      <c r="C117" t="s">
        <v>7</v>
      </c>
      <c r="D117">
        <v>24</v>
      </c>
      <c r="E117">
        <v>15</v>
      </c>
      <c r="F117" s="22">
        <f>STOWA2019_HUIDIG_W!$F4</f>
        <v>361.07063922202934</v>
      </c>
      <c r="G117" s="22" t="s">
        <v>33</v>
      </c>
      <c r="H117" s="22">
        <f>STOWA2019_HUIDIG_W!$F4</f>
        <v>361.07063922202934</v>
      </c>
      <c r="I117" t="str">
        <f t="shared" si="7"/>
        <v>HUIDIG;winter;24;15;361.070639222029;TRUE;361.070639222029</v>
      </c>
      <c r="P117" s="22"/>
      <c r="Q117" s="44"/>
    </row>
    <row r="118" spans="1:17" x14ac:dyDescent="0.25">
      <c r="A118">
        <f t="shared" si="6"/>
        <v>182.625</v>
      </c>
      <c r="B118" t="s">
        <v>31</v>
      </c>
      <c r="C118" t="s">
        <v>7</v>
      </c>
      <c r="D118">
        <v>24</v>
      </c>
      <c r="E118">
        <f>E117+5</f>
        <v>20</v>
      </c>
      <c r="F118" s="22">
        <f>STOWA2019_HUIDIG_W!$F5</f>
        <v>2.4712808112711215</v>
      </c>
      <c r="G118" s="22" t="s">
        <v>33</v>
      </c>
      <c r="H118" s="22">
        <f>STOWA2019_HUIDIG_W!$F5</f>
        <v>2.4712808112711215</v>
      </c>
      <c r="I118" t="str">
        <f t="shared" si="7"/>
        <v>HUIDIG;winter;24;20;2.47128081127112;TRUE;2.47128081127112</v>
      </c>
      <c r="P118" s="22"/>
      <c r="Q118" s="44"/>
    </row>
    <row r="119" spans="1:17" x14ac:dyDescent="0.25">
      <c r="A119">
        <f t="shared" si="6"/>
        <v>182.625</v>
      </c>
      <c r="B119" t="s">
        <v>31</v>
      </c>
      <c r="C119" t="s">
        <v>7</v>
      </c>
      <c r="D119">
        <v>24</v>
      </c>
      <c r="E119">
        <f t="shared" ref="E119:E133" si="9">E118+5</f>
        <v>25</v>
      </c>
      <c r="F119" s="22">
        <f>STOWA2019_HUIDIG_W!$F6</f>
        <v>0.97061579823020794</v>
      </c>
      <c r="G119" s="22" t="s">
        <v>33</v>
      </c>
      <c r="H119" s="22">
        <f>STOWA2019_HUIDIG_W!$F6</f>
        <v>0.97061579823020794</v>
      </c>
      <c r="I119" t="str">
        <f t="shared" si="7"/>
        <v>HUIDIG;winter;24;25;0.970615798230208;TRUE;0.970615798230208</v>
      </c>
      <c r="P119" s="22"/>
      <c r="Q119" s="44"/>
    </row>
    <row r="120" spans="1:17" x14ac:dyDescent="0.25">
      <c r="A120">
        <f t="shared" si="6"/>
        <v>182.625</v>
      </c>
      <c r="B120" t="s">
        <v>31</v>
      </c>
      <c r="C120" t="s">
        <v>7</v>
      </c>
      <c r="D120">
        <v>24</v>
      </c>
      <c r="E120">
        <f t="shared" si="9"/>
        <v>30</v>
      </c>
      <c r="F120" s="22">
        <f>STOWA2019_HUIDIG_W!$F7</f>
        <v>0.40322870652145776</v>
      </c>
      <c r="G120" s="22" t="s">
        <v>33</v>
      </c>
      <c r="H120" s="22">
        <f>STOWA2019_HUIDIG_W!$F7</f>
        <v>0.40322870652145776</v>
      </c>
      <c r="I120" t="str">
        <f t="shared" si="7"/>
        <v>HUIDIG;winter;24;30;0.403228706521458;TRUE;0.403228706521458</v>
      </c>
      <c r="P120" s="22"/>
      <c r="Q120" s="44"/>
    </row>
    <row r="121" spans="1:17" x14ac:dyDescent="0.25">
      <c r="A121">
        <f t="shared" si="6"/>
        <v>182.625</v>
      </c>
      <c r="B121" t="s">
        <v>31</v>
      </c>
      <c r="C121" t="s">
        <v>7</v>
      </c>
      <c r="D121">
        <v>24</v>
      </c>
      <c r="E121">
        <f t="shared" si="9"/>
        <v>35</v>
      </c>
      <c r="F121" s="22">
        <f>STOWA2019_HUIDIG_W!$F8</f>
        <v>0.17605991532732737</v>
      </c>
      <c r="G121" s="22" t="s">
        <v>33</v>
      </c>
      <c r="H121" s="22">
        <f>STOWA2019_HUIDIG_W!$F8</f>
        <v>0.17605991532732737</v>
      </c>
      <c r="I121" t="str">
        <f t="shared" si="7"/>
        <v>HUIDIG;winter;24;35;0.176059915327327;TRUE;0.176059915327327</v>
      </c>
      <c r="P121" s="22"/>
      <c r="Q121" s="44"/>
    </row>
    <row r="122" spans="1:17" x14ac:dyDescent="0.25">
      <c r="A122">
        <f t="shared" si="6"/>
        <v>182.625</v>
      </c>
      <c r="B122" t="s">
        <v>31</v>
      </c>
      <c r="C122" t="s">
        <v>7</v>
      </c>
      <c r="D122">
        <v>24</v>
      </c>
      <c r="E122">
        <f t="shared" si="9"/>
        <v>40</v>
      </c>
      <c r="F122" s="22">
        <f>STOWA2019_HUIDIG_W!$F9</f>
        <v>8.0361881443638886E-2</v>
      </c>
      <c r="G122" s="22" t="s">
        <v>33</v>
      </c>
      <c r="H122" s="22">
        <f>STOWA2019_HUIDIG_W!$F9</f>
        <v>8.0361881443638886E-2</v>
      </c>
      <c r="I122" t="str">
        <f t="shared" si="7"/>
        <v>HUIDIG;winter;24;40;8.03618814436389E-02;TRUE;8.03618814436389E-02</v>
      </c>
      <c r="P122" s="22"/>
      <c r="Q122" s="44"/>
    </row>
    <row r="123" spans="1:17" x14ac:dyDescent="0.25">
      <c r="A123">
        <f t="shared" si="6"/>
        <v>182.625</v>
      </c>
      <c r="B123" t="s">
        <v>31</v>
      </c>
      <c r="C123" t="s">
        <v>7</v>
      </c>
      <c r="D123">
        <v>24</v>
      </c>
      <c r="E123">
        <f t="shared" si="9"/>
        <v>45</v>
      </c>
      <c r="F123" s="22">
        <f>STOWA2019_HUIDIG_W!$F10</f>
        <v>3.8172705513107065E-2</v>
      </c>
      <c r="G123" s="22" t="s">
        <v>33</v>
      </c>
      <c r="H123" s="22">
        <f>STOWA2019_HUIDIG_W!$F10</f>
        <v>3.8172705513107065E-2</v>
      </c>
      <c r="I123" t="str">
        <f t="shared" si="7"/>
        <v>HUIDIG;winter;24;45;3.81727055131071E-02;TRUE;3.81727055131071E-02</v>
      </c>
      <c r="P123" s="22"/>
      <c r="Q123" s="44"/>
    </row>
    <row r="124" spans="1:17" x14ac:dyDescent="0.25">
      <c r="A124">
        <f t="shared" si="6"/>
        <v>182.625</v>
      </c>
      <c r="B124" t="s">
        <v>31</v>
      </c>
      <c r="C124" t="s">
        <v>7</v>
      </c>
      <c r="D124">
        <v>24</v>
      </c>
      <c r="E124">
        <f t="shared" si="9"/>
        <v>50</v>
      </c>
      <c r="F124" s="22">
        <f>STOWA2019_HUIDIG_W!$F11</f>
        <v>1.8797020638707466E-2</v>
      </c>
      <c r="G124" s="22" t="s">
        <v>33</v>
      </c>
      <c r="H124" s="22">
        <f>STOWA2019_HUIDIG_W!$F11</f>
        <v>1.8797020638707466E-2</v>
      </c>
      <c r="I124" t="str">
        <f t="shared" si="7"/>
        <v>HUIDIG;winter;24;50;1.87970206387075E-02;TRUE;1.87970206387075E-02</v>
      </c>
      <c r="P124" s="22"/>
      <c r="Q124" s="44"/>
    </row>
    <row r="125" spans="1:17" x14ac:dyDescent="0.25">
      <c r="A125">
        <f t="shared" si="6"/>
        <v>182.625</v>
      </c>
      <c r="B125" t="s">
        <v>31</v>
      </c>
      <c r="C125" t="s">
        <v>7</v>
      </c>
      <c r="D125">
        <v>24</v>
      </c>
      <c r="E125">
        <f t="shared" si="9"/>
        <v>55</v>
      </c>
      <c r="F125" s="22">
        <f>STOWA2019_HUIDIG_W!$F12</f>
        <v>9.5633962280882879E-3</v>
      </c>
      <c r="G125" s="22" t="s">
        <v>33</v>
      </c>
      <c r="H125" s="22">
        <f>STOWA2019_HUIDIG_W!$F12</f>
        <v>9.5633962280882879E-3</v>
      </c>
      <c r="I125" t="str">
        <f t="shared" si="7"/>
        <v>HUIDIG;winter;24;55;9.56339622808829E-03;TRUE;9.56339622808829E-03</v>
      </c>
      <c r="P125" s="22"/>
      <c r="Q125" s="44"/>
    </row>
    <row r="126" spans="1:17" x14ac:dyDescent="0.25">
      <c r="A126">
        <f t="shared" si="6"/>
        <v>182.625</v>
      </c>
      <c r="B126" t="s">
        <v>31</v>
      </c>
      <c r="C126" t="s">
        <v>7</v>
      </c>
      <c r="D126">
        <v>24</v>
      </c>
      <c r="E126">
        <f t="shared" si="9"/>
        <v>60</v>
      </c>
      <c r="F126" s="22">
        <f>STOWA2019_HUIDIG_W!$F13</f>
        <v>5.0126620776539043E-3</v>
      </c>
      <c r="G126" s="22" t="s">
        <v>33</v>
      </c>
      <c r="H126" s="22">
        <f>STOWA2019_HUIDIG_W!$F13</f>
        <v>5.0126620776539043E-3</v>
      </c>
      <c r="I126" t="str">
        <f t="shared" si="7"/>
        <v>HUIDIG;winter;24;60;5.0126620776539E-03;TRUE;5.0126620776539E-03</v>
      </c>
      <c r="P126" s="22"/>
      <c r="Q126" s="44"/>
    </row>
    <row r="127" spans="1:17" x14ac:dyDescent="0.25">
      <c r="A127">
        <f t="shared" si="6"/>
        <v>182.625</v>
      </c>
      <c r="B127" t="s">
        <v>31</v>
      </c>
      <c r="C127" t="s">
        <v>7</v>
      </c>
      <c r="D127">
        <v>24</v>
      </c>
      <c r="E127">
        <f t="shared" si="9"/>
        <v>65</v>
      </c>
      <c r="F127" s="22">
        <f>STOWA2019_HUIDIG_W!$F14</f>
        <v>2.6999984028679854E-3</v>
      </c>
      <c r="G127" s="22" t="s">
        <v>33</v>
      </c>
      <c r="H127" s="22">
        <f>STOWA2019_HUIDIG_W!$F14</f>
        <v>2.6999984028679854E-3</v>
      </c>
      <c r="I127" t="str">
        <f t="shared" si="7"/>
        <v>HUIDIG;winter;24;65;2.69999840286799E-03;TRUE;2.69999840286799E-03</v>
      </c>
      <c r="P127" s="22"/>
      <c r="Q127" s="44"/>
    </row>
    <row r="128" spans="1:17" x14ac:dyDescent="0.25">
      <c r="A128">
        <f t="shared" si="6"/>
        <v>182.625</v>
      </c>
      <c r="B128" t="s">
        <v>31</v>
      </c>
      <c r="C128" t="s">
        <v>7</v>
      </c>
      <c r="D128">
        <v>24</v>
      </c>
      <c r="E128">
        <f t="shared" si="9"/>
        <v>70</v>
      </c>
      <c r="F128" s="22">
        <f>STOWA2019_HUIDIG_W!$F15</f>
        <v>1.4912023509604951E-3</v>
      </c>
      <c r="G128" s="22" t="s">
        <v>33</v>
      </c>
      <c r="H128" s="22">
        <f>STOWA2019_HUIDIG_W!$F15</f>
        <v>1.4912023509604951E-3</v>
      </c>
      <c r="I128" t="str">
        <f t="shared" si="7"/>
        <v>HUIDIG;winter;24;70;1.4912023509605E-03;TRUE;1.4912023509605E-03</v>
      </c>
      <c r="P128" s="22"/>
      <c r="Q128" s="44"/>
    </row>
    <row r="129" spans="1:17" x14ac:dyDescent="0.25">
      <c r="A129">
        <f t="shared" si="6"/>
        <v>182.625</v>
      </c>
      <c r="B129" t="s">
        <v>31</v>
      </c>
      <c r="C129" t="s">
        <v>7</v>
      </c>
      <c r="D129">
        <v>24</v>
      </c>
      <c r="E129">
        <f t="shared" si="9"/>
        <v>75</v>
      </c>
      <c r="F129" s="22">
        <f>STOWA2019_HUIDIG_W!$F16</f>
        <v>8.4282898138676753E-4</v>
      </c>
      <c r="G129" s="22" t="s">
        <v>33</v>
      </c>
      <c r="H129" s="22">
        <f>STOWA2019_HUIDIG_W!$F16</f>
        <v>8.4282898138676753E-4</v>
      </c>
      <c r="I129" t="str">
        <f t="shared" si="7"/>
        <v>HUIDIG;winter;24;75;8.42828981386768E-04;TRUE;8.42828981386768E-04</v>
      </c>
      <c r="P129" s="22"/>
      <c r="Q129" s="44"/>
    </row>
    <row r="130" spans="1:17" x14ac:dyDescent="0.25">
      <c r="A130">
        <f t="shared" ref="A130:A193" si="10">IF(C130="zomer",24/D130*365.25 * 6/12,24/D130*365.25 * 6/12)</f>
        <v>182.625</v>
      </c>
      <c r="B130" t="s">
        <v>31</v>
      </c>
      <c r="C130" t="s">
        <v>7</v>
      </c>
      <c r="D130">
        <v>24</v>
      </c>
      <c r="E130">
        <f t="shared" si="9"/>
        <v>80</v>
      </c>
      <c r="F130" s="22">
        <f>STOWA2019_HUIDIG_W!$F17</f>
        <v>4.8665324001742757E-4</v>
      </c>
      <c r="G130" s="22" t="s">
        <v>33</v>
      </c>
      <c r="H130" s="22">
        <f>STOWA2019_HUIDIG_W!$F17</f>
        <v>4.8665324001742757E-4</v>
      </c>
      <c r="I130" t="str">
        <f t="shared" ref="I130:I193" si="11">CONCATENATEWITHDELIMITER(B130:H130,";")</f>
        <v>HUIDIG;winter;24;80;4.86653240017428E-04;TRUE;4.86653240017428E-04</v>
      </c>
      <c r="P130" s="22"/>
      <c r="Q130" s="44"/>
    </row>
    <row r="131" spans="1:17" x14ac:dyDescent="0.25">
      <c r="A131">
        <f t="shared" si="10"/>
        <v>182.625</v>
      </c>
      <c r="B131" t="s">
        <v>31</v>
      </c>
      <c r="C131" t="s">
        <v>7</v>
      </c>
      <c r="D131">
        <v>24</v>
      </c>
      <c r="E131">
        <f t="shared" si="9"/>
        <v>85</v>
      </c>
      <c r="F131" s="22">
        <f>STOWA2019_HUIDIG_W!$F18</f>
        <v>2.8661986849385648E-4</v>
      </c>
      <c r="G131" s="22" t="s">
        <v>33</v>
      </c>
      <c r="H131" s="22">
        <f>STOWA2019_HUIDIG_W!$F18</f>
        <v>2.8661986849385648E-4</v>
      </c>
      <c r="I131" t="str">
        <f t="shared" si="11"/>
        <v>HUIDIG;winter;24;85;2.86619868493856E-04;TRUE;2.86619868493856E-04</v>
      </c>
      <c r="P131" s="22"/>
      <c r="Q131" s="44"/>
    </row>
    <row r="132" spans="1:17" x14ac:dyDescent="0.25">
      <c r="A132">
        <f t="shared" si="10"/>
        <v>182.625</v>
      </c>
      <c r="B132" t="s">
        <v>31</v>
      </c>
      <c r="C132" t="s">
        <v>7</v>
      </c>
      <c r="D132">
        <v>24</v>
      </c>
      <c r="E132">
        <f t="shared" si="9"/>
        <v>90</v>
      </c>
      <c r="F132" s="22">
        <f>STOWA2019_HUIDIG_W!$F19</f>
        <v>1.7194875560672649E-4</v>
      </c>
      <c r="G132" s="22" t="s">
        <v>33</v>
      </c>
      <c r="H132" s="22">
        <f>STOWA2019_HUIDIG_W!$F19</f>
        <v>1.7194875560672649E-4</v>
      </c>
      <c r="I132" t="str">
        <f t="shared" si="11"/>
        <v>HUIDIG;winter;24;90;1.71948755606726E-04;TRUE;1.71948755606726E-04</v>
      </c>
      <c r="P132" s="22"/>
      <c r="Q132" s="44"/>
    </row>
    <row r="133" spans="1:17" x14ac:dyDescent="0.25">
      <c r="A133">
        <f t="shared" si="10"/>
        <v>182.625</v>
      </c>
      <c r="B133" t="s">
        <v>31</v>
      </c>
      <c r="C133" t="s">
        <v>7</v>
      </c>
      <c r="D133">
        <v>24</v>
      </c>
      <c r="E133">
        <f t="shared" si="9"/>
        <v>95</v>
      </c>
      <c r="F133" s="22">
        <f>STOWA2019_HUIDIG_W!$F20</f>
        <v>2.8862912003836878E-4</v>
      </c>
      <c r="G133" s="22" t="s">
        <v>33</v>
      </c>
      <c r="H133" s="22">
        <f>STOWA2019_HUIDIG_W!$F20</f>
        <v>2.8862912003836878E-4</v>
      </c>
      <c r="I133" t="str">
        <f t="shared" si="11"/>
        <v>HUIDIG;winter;24;95;2.88629120038369E-04;TRUE;2.88629120038369E-04</v>
      </c>
      <c r="P133" s="22"/>
      <c r="Q133" s="44"/>
    </row>
    <row r="134" spans="1:17" x14ac:dyDescent="0.25">
      <c r="A134">
        <f t="shared" si="10"/>
        <v>91.3125</v>
      </c>
      <c r="B134" t="s">
        <v>31</v>
      </c>
      <c r="C134" t="s">
        <v>7</v>
      </c>
      <c r="D134">
        <v>48</v>
      </c>
      <c r="E134">
        <v>15</v>
      </c>
      <c r="F134" s="22">
        <f>STOWA2019_HUIDIG_W!$J4</f>
        <v>173.27089926096906</v>
      </c>
      <c r="G134" s="22" t="s">
        <v>33</v>
      </c>
      <c r="H134" s="22">
        <f>STOWA2019_HUIDIG_W!$J4</f>
        <v>173.27089926096906</v>
      </c>
      <c r="I134" t="str">
        <f t="shared" si="11"/>
        <v>HUIDIG;winter;48;15;173.270899260969;TRUE;173.270899260969</v>
      </c>
      <c r="P134" s="22"/>
      <c r="Q134" s="44"/>
    </row>
    <row r="135" spans="1:17" x14ac:dyDescent="0.25">
      <c r="A135">
        <f t="shared" si="10"/>
        <v>91.3125</v>
      </c>
      <c r="B135" t="s">
        <v>31</v>
      </c>
      <c r="C135" t="s">
        <v>7</v>
      </c>
      <c r="D135">
        <v>48</v>
      </c>
      <c r="E135">
        <f>E134+5</f>
        <v>20</v>
      </c>
      <c r="F135" s="22">
        <f>STOWA2019_HUIDIG_W!$J5</f>
        <v>4.6615773194018715</v>
      </c>
      <c r="G135" s="22" t="s">
        <v>33</v>
      </c>
      <c r="H135" s="22">
        <f>STOWA2019_HUIDIG_W!$J5</f>
        <v>4.6615773194018715</v>
      </c>
      <c r="I135" t="str">
        <f t="shared" si="11"/>
        <v>HUIDIG;winter;48;20;4.66157731940187;TRUE;4.66157731940187</v>
      </c>
      <c r="P135" s="22"/>
      <c r="Q135" s="44"/>
    </row>
    <row r="136" spans="1:17" x14ac:dyDescent="0.25">
      <c r="A136">
        <f t="shared" si="10"/>
        <v>91.3125</v>
      </c>
      <c r="B136" t="s">
        <v>31</v>
      </c>
      <c r="C136" t="s">
        <v>7</v>
      </c>
      <c r="D136">
        <v>48</v>
      </c>
      <c r="E136">
        <f t="shared" ref="E136:E152" si="12">E135+5</f>
        <v>25</v>
      </c>
      <c r="F136" s="22">
        <f>STOWA2019_HUIDIG_W!$J6</f>
        <v>2.2773105034266439</v>
      </c>
      <c r="G136" s="22" t="s">
        <v>33</v>
      </c>
      <c r="H136" s="22">
        <f>STOWA2019_HUIDIG_W!$J6</f>
        <v>2.2773105034266439</v>
      </c>
      <c r="I136" t="str">
        <f t="shared" si="11"/>
        <v>HUIDIG;winter;48;25;2.27731050342664;TRUE;2.27731050342664</v>
      </c>
      <c r="P136" s="22"/>
      <c r="Q136" s="44"/>
    </row>
    <row r="137" spans="1:17" x14ac:dyDescent="0.25">
      <c r="A137">
        <f t="shared" si="10"/>
        <v>91.3125</v>
      </c>
      <c r="B137" t="s">
        <v>31</v>
      </c>
      <c r="C137" t="s">
        <v>7</v>
      </c>
      <c r="D137">
        <v>48</v>
      </c>
      <c r="E137">
        <f t="shared" si="12"/>
        <v>30</v>
      </c>
      <c r="F137" s="22">
        <f>STOWA2019_HUIDIG_W!$J7</f>
        <v>1.1421511132271622</v>
      </c>
      <c r="G137" s="22" t="s">
        <v>33</v>
      </c>
      <c r="H137" s="22">
        <f>STOWA2019_HUIDIG_W!$J7</f>
        <v>1.1421511132271622</v>
      </c>
      <c r="I137" t="str">
        <f t="shared" si="11"/>
        <v>HUIDIG;winter;48;30;1.14215111322716;TRUE;1.14215111322716</v>
      </c>
      <c r="P137" s="22"/>
      <c r="Q137" s="44"/>
    </row>
    <row r="138" spans="1:17" x14ac:dyDescent="0.25">
      <c r="A138">
        <f t="shared" si="10"/>
        <v>91.3125</v>
      </c>
      <c r="B138" t="s">
        <v>31</v>
      </c>
      <c r="C138" t="s">
        <v>7</v>
      </c>
      <c r="D138">
        <v>48</v>
      </c>
      <c r="E138">
        <f t="shared" si="12"/>
        <v>35</v>
      </c>
      <c r="F138" s="22">
        <f>STOWA2019_HUIDIG_W!$J8</f>
        <v>0.58698580607022988</v>
      </c>
      <c r="G138" s="22" t="s">
        <v>33</v>
      </c>
      <c r="H138" s="22">
        <f>STOWA2019_HUIDIG_W!$J8</f>
        <v>0.58698580607022988</v>
      </c>
      <c r="I138" t="str">
        <f t="shared" si="11"/>
        <v>HUIDIG;winter;48;35;0.58698580607023;TRUE;0.58698580607023</v>
      </c>
      <c r="P138" s="22"/>
      <c r="Q138" s="44"/>
    </row>
    <row r="139" spans="1:17" x14ac:dyDescent="0.25">
      <c r="A139">
        <f t="shared" si="10"/>
        <v>91.3125</v>
      </c>
      <c r="B139" t="s">
        <v>31</v>
      </c>
      <c r="C139" t="s">
        <v>7</v>
      </c>
      <c r="D139">
        <v>48</v>
      </c>
      <c r="E139">
        <f t="shared" si="12"/>
        <v>40</v>
      </c>
      <c r="F139" s="22">
        <f>STOWA2019_HUIDIG_W!$J9</f>
        <v>0.30860885504179458</v>
      </c>
      <c r="G139" s="22" t="s">
        <v>33</v>
      </c>
      <c r="H139" s="22">
        <f>STOWA2019_HUIDIG_W!$J9</f>
        <v>0.30860885504179458</v>
      </c>
      <c r="I139" t="str">
        <f t="shared" si="11"/>
        <v>HUIDIG;winter;48;40;0.308608855041795;TRUE;0.308608855041795</v>
      </c>
      <c r="P139" s="22"/>
      <c r="Q139" s="44"/>
    </row>
    <row r="140" spans="1:17" x14ac:dyDescent="0.25">
      <c r="A140">
        <f t="shared" si="10"/>
        <v>91.3125</v>
      </c>
      <c r="B140" t="s">
        <v>31</v>
      </c>
      <c r="C140" t="s">
        <v>7</v>
      </c>
      <c r="D140">
        <v>48</v>
      </c>
      <c r="E140">
        <f t="shared" si="12"/>
        <v>45</v>
      </c>
      <c r="F140" s="22">
        <f>STOWA2019_HUIDIG_W!$J10</f>
        <v>0.16573421368064192</v>
      </c>
      <c r="G140" s="22" t="s">
        <v>33</v>
      </c>
      <c r="H140" s="22">
        <f>STOWA2019_HUIDIG_W!$J10</f>
        <v>0.16573421368064192</v>
      </c>
      <c r="I140" t="str">
        <f t="shared" si="11"/>
        <v>HUIDIG;winter;48;45;0.165734213680642;TRUE;0.165734213680642</v>
      </c>
      <c r="P140" s="22"/>
      <c r="Q140" s="44"/>
    </row>
    <row r="141" spans="1:17" x14ac:dyDescent="0.25">
      <c r="A141">
        <f t="shared" si="10"/>
        <v>91.3125</v>
      </c>
      <c r="B141" t="s">
        <v>31</v>
      </c>
      <c r="C141" t="s">
        <v>7</v>
      </c>
      <c r="D141">
        <v>48</v>
      </c>
      <c r="E141">
        <f t="shared" si="12"/>
        <v>50</v>
      </c>
      <c r="F141" s="22">
        <f>STOWA2019_HUIDIG_W!$J11</f>
        <v>9.0792118783994846E-2</v>
      </c>
      <c r="G141" s="22" t="s">
        <v>33</v>
      </c>
      <c r="H141" s="22">
        <f>STOWA2019_HUIDIG_W!$J11</f>
        <v>9.0792118783994846E-2</v>
      </c>
      <c r="I141" t="str">
        <f t="shared" si="11"/>
        <v>HUIDIG;winter;48;50;9.07921187839948E-02;TRUE;9.07921187839948E-02</v>
      </c>
      <c r="P141" s="22"/>
      <c r="Q141" s="44"/>
    </row>
    <row r="142" spans="1:17" x14ac:dyDescent="0.25">
      <c r="A142">
        <f t="shared" si="10"/>
        <v>91.3125</v>
      </c>
      <c r="B142" t="s">
        <v>31</v>
      </c>
      <c r="C142" t="s">
        <v>7</v>
      </c>
      <c r="D142">
        <v>48</v>
      </c>
      <c r="E142">
        <f t="shared" si="12"/>
        <v>55</v>
      </c>
      <c r="F142" s="22">
        <f>STOWA2019_HUIDIG_W!$J12</f>
        <v>5.0673464646805499E-2</v>
      </c>
      <c r="G142" s="22" t="s">
        <v>33</v>
      </c>
      <c r="H142" s="22">
        <f>STOWA2019_HUIDIG_W!$J12</f>
        <v>5.0673464646805499E-2</v>
      </c>
      <c r="I142" t="str">
        <f t="shared" si="11"/>
        <v>HUIDIG;winter;48;55;5.06734646468055E-02;TRUE;5.06734646468055E-02</v>
      </c>
      <c r="P142" s="22"/>
      <c r="Q142" s="44"/>
    </row>
    <row r="143" spans="1:17" x14ac:dyDescent="0.25">
      <c r="A143">
        <f t="shared" si="10"/>
        <v>91.3125</v>
      </c>
      <c r="B143" t="s">
        <v>31</v>
      </c>
      <c r="C143" t="s">
        <v>7</v>
      </c>
      <c r="D143">
        <v>48</v>
      </c>
      <c r="E143">
        <f t="shared" si="12"/>
        <v>60</v>
      </c>
      <c r="F143" s="22">
        <f>STOWA2019_HUIDIG_W!$J13</f>
        <v>2.8782083870893892E-2</v>
      </c>
      <c r="G143" s="22" t="s">
        <v>33</v>
      </c>
      <c r="H143" s="22">
        <f>STOWA2019_HUIDIG_W!$J13</f>
        <v>2.8782083870893892E-2</v>
      </c>
      <c r="I143" t="str">
        <f t="shared" si="11"/>
        <v>HUIDIG;winter;48;60;2.87820838708939E-02;TRUE;2.87820838708939E-02</v>
      </c>
      <c r="P143" s="22"/>
      <c r="Q143" s="44"/>
    </row>
    <row r="144" spans="1:17" x14ac:dyDescent="0.25">
      <c r="A144">
        <f t="shared" si="10"/>
        <v>91.3125</v>
      </c>
      <c r="B144" t="s">
        <v>31</v>
      </c>
      <c r="C144" t="s">
        <v>7</v>
      </c>
      <c r="D144">
        <v>48</v>
      </c>
      <c r="E144">
        <f t="shared" si="12"/>
        <v>65</v>
      </c>
      <c r="F144" s="22">
        <f>STOWA2019_HUIDIG_W!$J14</f>
        <v>1.6619905143364984E-2</v>
      </c>
      <c r="G144" s="22" t="s">
        <v>33</v>
      </c>
      <c r="H144" s="22">
        <f>STOWA2019_HUIDIG_W!$J14</f>
        <v>1.6619905143364984E-2</v>
      </c>
      <c r="I144" t="str">
        <f t="shared" si="11"/>
        <v>HUIDIG;winter;48;65;0.016619905143365;TRUE;0.016619905143365</v>
      </c>
      <c r="P144" s="22"/>
      <c r="Q144" s="44"/>
    </row>
    <row r="145" spans="1:17" x14ac:dyDescent="0.25">
      <c r="A145">
        <f t="shared" si="10"/>
        <v>91.3125</v>
      </c>
      <c r="B145" t="s">
        <v>31</v>
      </c>
      <c r="C145" t="s">
        <v>7</v>
      </c>
      <c r="D145">
        <v>48</v>
      </c>
      <c r="E145">
        <f t="shared" si="12"/>
        <v>70</v>
      </c>
      <c r="F145" s="22">
        <f>STOWA2019_HUIDIG_W!$J15</f>
        <v>9.7474922187197627E-3</v>
      </c>
      <c r="G145" s="22" t="s">
        <v>33</v>
      </c>
      <c r="H145" s="22">
        <f>STOWA2019_HUIDIG_W!$J15</f>
        <v>9.7474922187197627E-3</v>
      </c>
      <c r="I145" t="str">
        <f t="shared" si="11"/>
        <v>HUIDIG;winter;48;70;9.74749221871976E-03;TRUE;9.74749221871976E-03</v>
      </c>
      <c r="P145" s="22"/>
      <c r="Q145" s="44"/>
    </row>
    <row r="146" spans="1:17" x14ac:dyDescent="0.25">
      <c r="A146">
        <f t="shared" si="10"/>
        <v>91.3125</v>
      </c>
      <c r="B146" t="s">
        <v>31</v>
      </c>
      <c r="C146" t="s">
        <v>7</v>
      </c>
      <c r="D146">
        <v>48</v>
      </c>
      <c r="E146">
        <f t="shared" si="12"/>
        <v>75</v>
      </c>
      <c r="F146" s="22">
        <f>STOWA2019_HUIDIG_W!$J16</f>
        <v>5.8015279008271758E-3</v>
      </c>
      <c r="G146" s="22" t="s">
        <v>33</v>
      </c>
      <c r="H146" s="22">
        <f>STOWA2019_HUIDIG_W!$J16</f>
        <v>5.8015279008271758E-3</v>
      </c>
      <c r="I146" t="str">
        <f t="shared" si="11"/>
        <v>HUIDIG;winter;48;75;5.80152790082718E-03;TRUE;5.80152790082718E-03</v>
      </c>
      <c r="P146" s="22"/>
      <c r="Q146" s="44"/>
    </row>
    <row r="147" spans="1:17" x14ac:dyDescent="0.25">
      <c r="A147">
        <f t="shared" si="10"/>
        <v>91.3125</v>
      </c>
      <c r="B147" t="s">
        <v>31</v>
      </c>
      <c r="C147" t="s">
        <v>7</v>
      </c>
      <c r="D147">
        <v>48</v>
      </c>
      <c r="E147">
        <f t="shared" si="12"/>
        <v>80</v>
      </c>
      <c r="F147" s="22">
        <f>STOWA2019_HUIDIG_W!$J17</f>
        <v>3.5013389927626573E-3</v>
      </c>
      <c r="G147" s="22" t="s">
        <v>33</v>
      </c>
      <c r="H147" s="22">
        <f>STOWA2019_HUIDIG_W!$J17</f>
        <v>3.5013389927626573E-3</v>
      </c>
      <c r="I147" t="str">
        <f t="shared" si="11"/>
        <v>HUIDIG;winter;48;80;3.50133899276266E-03;TRUE;3.50133899276266E-03</v>
      </c>
      <c r="P147" s="22"/>
      <c r="Q147" s="44"/>
    </row>
    <row r="148" spans="1:17" x14ac:dyDescent="0.25">
      <c r="A148">
        <f t="shared" si="10"/>
        <v>91.3125</v>
      </c>
      <c r="B148" t="s">
        <v>31</v>
      </c>
      <c r="C148" t="s">
        <v>7</v>
      </c>
      <c r="D148">
        <v>48</v>
      </c>
      <c r="E148">
        <f t="shared" si="12"/>
        <v>85</v>
      </c>
      <c r="F148" s="22">
        <f>STOWA2019_HUIDIG_W!$J18</f>
        <v>2.1411756678052308E-3</v>
      </c>
      <c r="G148" s="22" t="s">
        <v>33</v>
      </c>
      <c r="H148" s="22">
        <f>STOWA2019_HUIDIG_W!$J18</f>
        <v>2.1411756678052308E-3</v>
      </c>
      <c r="I148" t="str">
        <f t="shared" si="11"/>
        <v>HUIDIG;winter;48;85;2.14117566780523E-03;TRUE;2.14117566780523E-03</v>
      </c>
      <c r="P148" s="22"/>
      <c r="Q148" s="44"/>
    </row>
    <row r="149" spans="1:17" x14ac:dyDescent="0.25">
      <c r="A149">
        <f t="shared" si="10"/>
        <v>91.3125</v>
      </c>
      <c r="B149" t="s">
        <v>31</v>
      </c>
      <c r="C149" t="s">
        <v>7</v>
      </c>
      <c r="D149">
        <v>48</v>
      </c>
      <c r="E149">
        <f t="shared" si="12"/>
        <v>90</v>
      </c>
      <c r="F149" s="22">
        <f>STOWA2019_HUIDIG_W!$J19</f>
        <v>1.3258825387234062E-3</v>
      </c>
      <c r="G149" s="22" t="s">
        <v>33</v>
      </c>
      <c r="H149" s="22">
        <f>STOWA2019_HUIDIG_W!$J19</f>
        <v>1.3258825387234062E-3</v>
      </c>
      <c r="I149" t="str">
        <f t="shared" si="11"/>
        <v>HUIDIG;winter;48;90;1.32588253872341E-03;TRUE;1.32588253872341E-03</v>
      </c>
      <c r="P149" s="22"/>
      <c r="Q149" s="44"/>
    </row>
    <row r="150" spans="1:17" x14ac:dyDescent="0.25">
      <c r="A150">
        <f t="shared" si="10"/>
        <v>91.3125</v>
      </c>
      <c r="B150" t="s">
        <v>31</v>
      </c>
      <c r="C150" t="s">
        <v>7</v>
      </c>
      <c r="D150">
        <v>48</v>
      </c>
      <c r="E150">
        <f t="shared" si="12"/>
        <v>95</v>
      </c>
      <c r="F150" s="22">
        <f>STOWA2019_HUIDIG_W!$J20</f>
        <v>8.308496267263178E-4</v>
      </c>
      <c r="G150" s="22" t="s">
        <v>33</v>
      </c>
      <c r="H150" s="22">
        <f>STOWA2019_HUIDIG_W!$J20</f>
        <v>8.308496267263178E-4</v>
      </c>
      <c r="I150" t="str">
        <f t="shared" si="11"/>
        <v>HUIDIG;winter;48;95;8.30849626726318E-04;TRUE;8.30849626726318E-04</v>
      </c>
      <c r="P150" s="22"/>
      <c r="Q150" s="44"/>
    </row>
    <row r="151" spans="1:17" x14ac:dyDescent="0.25">
      <c r="A151">
        <f t="shared" si="10"/>
        <v>91.3125</v>
      </c>
      <c r="B151" t="s">
        <v>31</v>
      </c>
      <c r="C151" t="s">
        <v>7</v>
      </c>
      <c r="D151">
        <v>48</v>
      </c>
      <c r="E151">
        <f t="shared" si="12"/>
        <v>100</v>
      </c>
      <c r="F151" s="22">
        <f>STOWA2019_HUIDIG_W!$J21</f>
        <v>5.2656755628013841E-4</v>
      </c>
      <c r="G151" s="22" t="s">
        <v>33</v>
      </c>
      <c r="H151" s="22">
        <f>STOWA2019_HUIDIG_W!$J21</f>
        <v>5.2656755628013841E-4</v>
      </c>
      <c r="I151" t="str">
        <f t="shared" si="11"/>
        <v>HUIDIG;winter;48;100;5.26567556280138E-04;TRUE;5.26567556280138E-04</v>
      </c>
      <c r="P151" s="22"/>
      <c r="Q151" s="44"/>
    </row>
    <row r="152" spans="1:17" x14ac:dyDescent="0.25">
      <c r="A152">
        <f t="shared" si="10"/>
        <v>91.3125</v>
      </c>
      <c r="B152" t="s">
        <v>31</v>
      </c>
      <c r="C152" t="s">
        <v>7</v>
      </c>
      <c r="D152">
        <v>48</v>
      </c>
      <c r="E152">
        <f t="shared" si="12"/>
        <v>105</v>
      </c>
      <c r="F152" s="22">
        <f>STOWA2019_HUIDIG_W!$J22</f>
        <v>9.9052123570486585E-4</v>
      </c>
      <c r="G152" s="22" t="s">
        <v>33</v>
      </c>
      <c r="H152" s="22">
        <f>STOWA2019_HUIDIG_W!$J22</f>
        <v>9.9052123570486585E-4</v>
      </c>
      <c r="I152" t="str">
        <f t="shared" si="11"/>
        <v>HUIDIG;winter;48;105;9.90521235704866E-04;TRUE;9.90521235704866E-04</v>
      </c>
      <c r="P152" s="22"/>
      <c r="Q152" s="44"/>
    </row>
    <row r="153" spans="1:17" x14ac:dyDescent="0.25">
      <c r="A153">
        <f t="shared" si="10"/>
        <v>45.65625</v>
      </c>
      <c r="B153" t="s">
        <v>31</v>
      </c>
      <c r="C153" t="s">
        <v>7</v>
      </c>
      <c r="D153">
        <v>96</v>
      </c>
      <c r="E153">
        <v>20</v>
      </c>
      <c r="F153" s="22">
        <f>STOWA2019_HUIDIG_W!$N5</f>
        <v>81.475079938382223</v>
      </c>
      <c r="G153" s="22" t="s">
        <v>33</v>
      </c>
      <c r="H153" s="22">
        <f>STOWA2019_HUIDIG_W!$N5</f>
        <v>81.475079938382223</v>
      </c>
      <c r="I153" t="str">
        <f t="shared" si="11"/>
        <v>HUIDIG;winter;96;20;81.4750799383822;TRUE;81.4750799383822</v>
      </c>
      <c r="P153" s="22"/>
      <c r="Q153" s="44"/>
    </row>
    <row r="154" spans="1:17" x14ac:dyDescent="0.25">
      <c r="A154">
        <f t="shared" si="10"/>
        <v>45.65625</v>
      </c>
      <c r="B154" t="s">
        <v>31</v>
      </c>
      <c r="C154" t="s">
        <v>7</v>
      </c>
      <c r="D154">
        <v>96</v>
      </c>
      <c r="E154">
        <f>E153+5</f>
        <v>25</v>
      </c>
      <c r="F154" s="22">
        <f>STOWA2019_HUIDIG_W!$N6</f>
        <v>3.7204451967024639</v>
      </c>
      <c r="G154" s="22" t="s">
        <v>33</v>
      </c>
      <c r="H154" s="22">
        <f>STOWA2019_HUIDIG_W!$N6</f>
        <v>3.7204451967024639</v>
      </c>
      <c r="I154" t="str">
        <f t="shared" si="11"/>
        <v>HUIDIG;winter;96;25;3.72044519670246;TRUE;3.72044519670246</v>
      </c>
      <c r="P154" s="22"/>
      <c r="Q154" s="44"/>
    </row>
    <row r="155" spans="1:17" x14ac:dyDescent="0.25">
      <c r="A155">
        <f t="shared" si="10"/>
        <v>45.65625</v>
      </c>
      <c r="B155" t="s">
        <v>31</v>
      </c>
      <c r="C155" t="s">
        <v>7</v>
      </c>
      <c r="D155">
        <v>96</v>
      </c>
      <c r="E155">
        <f t="shared" ref="E155:E173" si="13">E154+5</f>
        <v>30</v>
      </c>
      <c r="F155" s="22">
        <f>STOWA2019_HUIDIG_W!$N7</f>
        <v>2.2946574075142196</v>
      </c>
      <c r="G155" s="22" t="s">
        <v>33</v>
      </c>
      <c r="H155" s="22">
        <f>STOWA2019_HUIDIG_W!$N7</f>
        <v>2.2946574075142196</v>
      </c>
      <c r="I155" t="str">
        <f t="shared" si="11"/>
        <v>HUIDIG;winter;96;30;2.29465740751422;TRUE;2.29465740751422</v>
      </c>
      <c r="P155" s="22"/>
      <c r="Q155" s="44"/>
    </row>
    <row r="156" spans="1:17" x14ac:dyDescent="0.25">
      <c r="A156">
        <f t="shared" si="10"/>
        <v>45.65625</v>
      </c>
      <c r="B156" t="s">
        <v>31</v>
      </c>
      <c r="C156" t="s">
        <v>7</v>
      </c>
      <c r="D156">
        <v>96</v>
      </c>
      <c r="E156">
        <f t="shared" si="13"/>
        <v>35</v>
      </c>
      <c r="F156" s="22">
        <f>STOWA2019_HUIDIG_W!$N8</f>
        <v>1.4223371463816785</v>
      </c>
      <c r="G156" s="22" t="s">
        <v>33</v>
      </c>
      <c r="H156" s="22">
        <f>STOWA2019_HUIDIG_W!$N8</f>
        <v>1.4223371463816785</v>
      </c>
      <c r="I156" t="str">
        <f t="shared" si="11"/>
        <v>HUIDIG;winter;96;35;1.42233714638168;TRUE;1.42233714638168</v>
      </c>
      <c r="P156" s="22"/>
      <c r="Q156" s="44"/>
    </row>
    <row r="157" spans="1:17" x14ac:dyDescent="0.25">
      <c r="A157">
        <f t="shared" si="10"/>
        <v>45.65625</v>
      </c>
      <c r="B157" t="s">
        <v>31</v>
      </c>
      <c r="C157" t="s">
        <v>7</v>
      </c>
      <c r="D157">
        <v>96</v>
      </c>
      <c r="E157">
        <f t="shared" si="13"/>
        <v>40</v>
      </c>
      <c r="F157" s="22">
        <f>STOWA2019_HUIDIG_W!$N9</f>
        <v>0.88594122040791179</v>
      </c>
      <c r="G157" s="22" t="s">
        <v>33</v>
      </c>
      <c r="H157" s="22">
        <f>STOWA2019_HUIDIG_W!$N9</f>
        <v>0.88594122040791179</v>
      </c>
      <c r="I157" t="str">
        <f t="shared" si="11"/>
        <v>HUIDIG;winter;96;40;0.885941220407912;TRUE;0.885941220407912</v>
      </c>
      <c r="P157" s="22"/>
      <c r="Q157" s="44"/>
    </row>
    <row r="158" spans="1:17" x14ac:dyDescent="0.25">
      <c r="A158">
        <f t="shared" si="10"/>
        <v>45.65625</v>
      </c>
      <c r="B158" t="s">
        <v>31</v>
      </c>
      <c r="C158" t="s">
        <v>7</v>
      </c>
      <c r="D158">
        <v>96</v>
      </c>
      <c r="E158">
        <f t="shared" si="13"/>
        <v>45</v>
      </c>
      <c r="F158" s="22">
        <f>STOWA2019_HUIDIG_W!$N10</f>
        <v>0.55447524677430926</v>
      </c>
      <c r="G158" s="22" t="s">
        <v>33</v>
      </c>
      <c r="H158" s="22">
        <f>STOWA2019_HUIDIG_W!$N10</f>
        <v>0.55447524677430926</v>
      </c>
      <c r="I158" t="str">
        <f t="shared" si="11"/>
        <v>HUIDIG;winter;96;45;0.554475246774309;TRUE;0.554475246774309</v>
      </c>
      <c r="P158" s="22"/>
      <c r="Q158" s="44"/>
    </row>
    <row r="159" spans="1:17" x14ac:dyDescent="0.25">
      <c r="A159">
        <f t="shared" si="10"/>
        <v>45.65625</v>
      </c>
      <c r="B159" t="s">
        <v>31</v>
      </c>
      <c r="C159" t="s">
        <v>7</v>
      </c>
      <c r="D159">
        <v>96</v>
      </c>
      <c r="E159">
        <f t="shared" si="13"/>
        <v>50</v>
      </c>
      <c r="F159" s="22">
        <f>STOWA2019_HUIDIG_W!$N11</f>
        <v>0.34865254302441595</v>
      </c>
      <c r="G159" s="22" t="s">
        <v>33</v>
      </c>
      <c r="H159" s="22">
        <f>STOWA2019_HUIDIG_W!$N11</f>
        <v>0.34865254302441595</v>
      </c>
      <c r="I159" t="str">
        <f t="shared" si="11"/>
        <v>HUIDIG;winter;96;50;0.348652543024416;TRUE;0.348652543024416</v>
      </c>
      <c r="P159" s="22"/>
      <c r="Q159" s="44"/>
    </row>
    <row r="160" spans="1:17" x14ac:dyDescent="0.25">
      <c r="A160">
        <f t="shared" si="10"/>
        <v>45.65625</v>
      </c>
      <c r="B160" t="s">
        <v>31</v>
      </c>
      <c r="C160" t="s">
        <v>7</v>
      </c>
      <c r="D160">
        <v>96</v>
      </c>
      <c r="E160">
        <f t="shared" si="13"/>
        <v>55</v>
      </c>
      <c r="F160" s="22">
        <f>STOWA2019_HUIDIG_W!$N12</f>
        <v>0.22024024722824148</v>
      </c>
      <c r="G160" s="22" t="s">
        <v>33</v>
      </c>
      <c r="H160" s="22">
        <f>STOWA2019_HUIDIG_W!$N12</f>
        <v>0.22024024722824148</v>
      </c>
      <c r="I160" t="str">
        <f t="shared" si="11"/>
        <v>HUIDIG;winter;96;55;0.220240247228241;TRUE;0.220240247228241</v>
      </c>
      <c r="P160" s="22"/>
      <c r="Q160" s="44"/>
    </row>
    <row r="161" spans="1:17" x14ac:dyDescent="0.25">
      <c r="A161">
        <f t="shared" si="10"/>
        <v>45.65625</v>
      </c>
      <c r="B161" t="s">
        <v>31</v>
      </c>
      <c r="C161" t="s">
        <v>7</v>
      </c>
      <c r="D161">
        <v>96</v>
      </c>
      <c r="E161">
        <f t="shared" si="13"/>
        <v>60</v>
      </c>
      <c r="F161" s="22">
        <f>STOWA2019_HUIDIG_W!$N13</f>
        <v>0.1397509106560787</v>
      </c>
      <c r="G161" s="22" t="s">
        <v>33</v>
      </c>
      <c r="H161" s="22">
        <f>STOWA2019_HUIDIG_W!$N13</f>
        <v>0.1397509106560787</v>
      </c>
      <c r="I161" t="str">
        <f t="shared" si="11"/>
        <v>HUIDIG;winter;96;60;0.139750910656079;TRUE;0.139750910656079</v>
      </c>
      <c r="P161" s="22"/>
      <c r="Q161" s="44"/>
    </row>
    <row r="162" spans="1:17" x14ac:dyDescent="0.25">
      <c r="A162">
        <f t="shared" si="10"/>
        <v>45.65625</v>
      </c>
      <c r="B162" t="s">
        <v>31</v>
      </c>
      <c r="C162" t="s">
        <v>7</v>
      </c>
      <c r="D162">
        <v>96</v>
      </c>
      <c r="E162">
        <f t="shared" si="13"/>
        <v>65</v>
      </c>
      <c r="F162" s="22">
        <f>STOWA2019_HUIDIG_W!$N14</f>
        <v>8.9069454903755313E-2</v>
      </c>
      <c r="G162" s="22" t="s">
        <v>33</v>
      </c>
      <c r="H162" s="22">
        <f>STOWA2019_HUIDIG_W!$N14</f>
        <v>8.9069454903755313E-2</v>
      </c>
      <c r="I162" t="str">
        <f t="shared" si="11"/>
        <v>HUIDIG;winter;96;65;8.90694549037553E-02;TRUE;8.90694549037553E-02</v>
      </c>
      <c r="P162" s="22"/>
      <c r="Q162" s="44"/>
    </row>
    <row r="163" spans="1:17" x14ac:dyDescent="0.25">
      <c r="A163">
        <f t="shared" si="10"/>
        <v>45.65625</v>
      </c>
      <c r="B163" t="s">
        <v>31</v>
      </c>
      <c r="C163" t="s">
        <v>7</v>
      </c>
      <c r="D163">
        <v>96</v>
      </c>
      <c r="E163">
        <f t="shared" si="13"/>
        <v>70</v>
      </c>
      <c r="F163" s="22">
        <f>STOWA2019_HUIDIG_W!$N15</f>
        <v>5.7014103371063884E-2</v>
      </c>
      <c r="G163" s="22" t="s">
        <v>33</v>
      </c>
      <c r="H163" s="22">
        <f>STOWA2019_HUIDIG_W!$N15</f>
        <v>5.7014103371063884E-2</v>
      </c>
      <c r="I163" t="str">
        <f t="shared" si="11"/>
        <v>HUIDIG;winter;96;70;5.70141033710639E-02;TRUE;5.70141033710639E-02</v>
      </c>
      <c r="P163" s="22"/>
      <c r="Q163" s="44"/>
    </row>
    <row r="164" spans="1:17" x14ac:dyDescent="0.25">
      <c r="A164">
        <f t="shared" si="10"/>
        <v>45.65625</v>
      </c>
      <c r="B164" t="s">
        <v>31</v>
      </c>
      <c r="C164" t="s">
        <v>7</v>
      </c>
      <c r="D164">
        <v>96</v>
      </c>
      <c r="E164">
        <f t="shared" si="13"/>
        <v>75</v>
      </c>
      <c r="F164" s="22">
        <f>STOWA2019_HUIDIG_W!$N16</f>
        <v>3.6650455859155717E-2</v>
      </c>
      <c r="G164" s="22" t="s">
        <v>33</v>
      </c>
      <c r="H164" s="22">
        <f>STOWA2019_HUIDIG_W!$N16</f>
        <v>3.6650455859155717E-2</v>
      </c>
      <c r="I164" t="str">
        <f t="shared" si="11"/>
        <v>HUIDIG;winter;96;75;3.66504558591557E-02;TRUE;3.66504558591557E-02</v>
      </c>
      <c r="P164" s="22"/>
      <c r="Q164" s="44"/>
    </row>
    <row r="165" spans="1:17" x14ac:dyDescent="0.25">
      <c r="A165">
        <f t="shared" si="10"/>
        <v>45.65625</v>
      </c>
      <c r="B165" t="s">
        <v>31</v>
      </c>
      <c r="C165" t="s">
        <v>7</v>
      </c>
      <c r="D165">
        <v>96</v>
      </c>
      <c r="E165">
        <f t="shared" si="13"/>
        <v>80</v>
      </c>
      <c r="F165" s="22">
        <f>STOWA2019_HUIDIG_W!$N17</f>
        <v>2.3658394760271186E-2</v>
      </c>
      <c r="G165" s="22" t="s">
        <v>33</v>
      </c>
      <c r="H165" s="22">
        <f>STOWA2019_HUIDIG_W!$N17</f>
        <v>2.3658394760271186E-2</v>
      </c>
      <c r="I165" t="str">
        <f t="shared" si="11"/>
        <v>HUIDIG;winter;96;80;2.36583947602712E-02;TRUE;2.36583947602712E-02</v>
      </c>
      <c r="P165" s="22"/>
      <c r="Q165" s="44"/>
    </row>
    <row r="166" spans="1:17" x14ac:dyDescent="0.25">
      <c r="A166">
        <f t="shared" si="10"/>
        <v>45.65625</v>
      </c>
      <c r="B166" t="s">
        <v>31</v>
      </c>
      <c r="C166" t="s">
        <v>7</v>
      </c>
      <c r="D166">
        <v>96</v>
      </c>
      <c r="E166">
        <f t="shared" si="13"/>
        <v>85</v>
      </c>
      <c r="F166" s="22">
        <f>STOWA2019_HUIDIG_W!$N18</f>
        <v>1.5334378790740632E-2</v>
      </c>
      <c r="G166" s="22" t="s">
        <v>33</v>
      </c>
      <c r="H166" s="22">
        <f>STOWA2019_HUIDIG_W!$N18</f>
        <v>1.5334378790740632E-2</v>
      </c>
      <c r="I166" t="str">
        <f t="shared" si="11"/>
        <v>HUIDIG;winter;96;85;1.53343787907406E-02;TRUE;1.53343787907406E-02</v>
      </c>
      <c r="P166" s="22"/>
      <c r="Q166" s="44"/>
    </row>
    <row r="167" spans="1:17" x14ac:dyDescent="0.25">
      <c r="A167">
        <f t="shared" si="10"/>
        <v>45.65625</v>
      </c>
      <c r="B167" t="s">
        <v>31</v>
      </c>
      <c r="C167" t="s">
        <v>7</v>
      </c>
      <c r="D167">
        <v>96</v>
      </c>
      <c r="E167">
        <f t="shared" si="13"/>
        <v>90</v>
      </c>
      <c r="F167" s="22">
        <f>STOWA2019_HUIDIG_W!$N19</f>
        <v>9.9790515549798009E-3</v>
      </c>
      <c r="G167" s="22" t="s">
        <v>33</v>
      </c>
      <c r="H167" s="22">
        <f>STOWA2019_HUIDIG_W!$N19</f>
        <v>9.9790515549798009E-3</v>
      </c>
      <c r="I167" t="str">
        <f t="shared" si="11"/>
        <v>HUIDIG;winter;96;90;9.9790515549798E-03;TRUE;9.9790515549798E-03</v>
      </c>
      <c r="P167" s="22"/>
      <c r="Q167" s="44"/>
    </row>
    <row r="168" spans="1:17" x14ac:dyDescent="0.25">
      <c r="A168">
        <f t="shared" si="10"/>
        <v>45.65625</v>
      </c>
      <c r="B168" t="s">
        <v>31</v>
      </c>
      <c r="C168" t="s">
        <v>7</v>
      </c>
      <c r="D168">
        <v>96</v>
      </c>
      <c r="E168">
        <f t="shared" si="13"/>
        <v>95</v>
      </c>
      <c r="F168" s="22">
        <f>STOWA2019_HUIDIG_W!$N20</f>
        <v>6.5196241955046055E-3</v>
      </c>
      <c r="G168" s="22" t="s">
        <v>33</v>
      </c>
      <c r="H168" s="22">
        <f>STOWA2019_HUIDIG_W!$N20</f>
        <v>6.5196241955046055E-3</v>
      </c>
      <c r="I168" t="str">
        <f t="shared" si="11"/>
        <v>HUIDIG;winter;96;95;6.51962419550461E-03;TRUE;6.51962419550461E-03</v>
      </c>
      <c r="P168" s="22"/>
      <c r="Q168" s="44"/>
    </row>
    <row r="169" spans="1:17" x14ac:dyDescent="0.25">
      <c r="A169">
        <f t="shared" si="10"/>
        <v>45.65625</v>
      </c>
      <c r="B169" t="s">
        <v>31</v>
      </c>
      <c r="C169" t="s">
        <v>7</v>
      </c>
      <c r="D169">
        <v>96</v>
      </c>
      <c r="E169">
        <f t="shared" si="13"/>
        <v>100</v>
      </c>
      <c r="F169" s="22">
        <f>STOWA2019_HUIDIG_W!$N21</f>
        <v>4.2759734351880477E-3</v>
      </c>
      <c r="G169" s="22" t="s">
        <v>33</v>
      </c>
      <c r="H169" s="22">
        <f>STOWA2019_HUIDIG_W!$N21</f>
        <v>4.2759734351880477E-3</v>
      </c>
      <c r="I169" t="str">
        <f t="shared" si="11"/>
        <v>HUIDIG;winter;96;100;4.27597343518805E-03;TRUE;4.27597343518805E-03</v>
      </c>
      <c r="P169" s="22"/>
      <c r="Q169" s="44"/>
    </row>
    <row r="170" spans="1:17" x14ac:dyDescent="0.25">
      <c r="A170">
        <f t="shared" si="10"/>
        <v>45.65625</v>
      </c>
      <c r="B170" t="s">
        <v>31</v>
      </c>
      <c r="C170" t="s">
        <v>7</v>
      </c>
      <c r="D170">
        <v>96</v>
      </c>
      <c r="E170">
        <f t="shared" si="13"/>
        <v>105</v>
      </c>
      <c r="F170" s="22">
        <f>STOWA2019_HUIDIG_W!$N22</f>
        <v>2.8151162579384643E-3</v>
      </c>
      <c r="G170" s="22" t="s">
        <v>33</v>
      </c>
      <c r="H170" s="22">
        <f>STOWA2019_HUIDIG_W!$N22</f>
        <v>2.8151162579384643E-3</v>
      </c>
      <c r="I170" t="str">
        <f t="shared" si="11"/>
        <v>HUIDIG;winter;96;105;2.81511625793846E-03;TRUE;2.81511625793846E-03</v>
      </c>
      <c r="P170" s="22"/>
      <c r="Q170" s="44"/>
    </row>
    <row r="171" spans="1:17" x14ac:dyDescent="0.25">
      <c r="A171">
        <f t="shared" si="10"/>
        <v>45.65625</v>
      </c>
      <c r="B171" t="s">
        <v>31</v>
      </c>
      <c r="C171" t="s">
        <v>7</v>
      </c>
      <c r="D171">
        <v>96</v>
      </c>
      <c r="E171">
        <f t="shared" si="13"/>
        <v>110</v>
      </c>
      <c r="F171" s="22">
        <f>STOWA2019_HUIDIG_W!$N23</f>
        <v>1.8602749746508E-3</v>
      </c>
      <c r="G171" s="22" t="s">
        <v>33</v>
      </c>
      <c r="H171" s="22">
        <f>STOWA2019_HUIDIG_W!$N23</f>
        <v>1.8602749746508E-3</v>
      </c>
      <c r="I171" t="str">
        <f t="shared" si="11"/>
        <v>HUIDIG;winter;96;110;1.8602749746508E-03;TRUE;1.8602749746508E-03</v>
      </c>
      <c r="P171" s="22"/>
      <c r="Q171" s="44"/>
    </row>
    <row r="172" spans="1:17" x14ac:dyDescent="0.25">
      <c r="A172">
        <f t="shared" si="10"/>
        <v>45.65625</v>
      </c>
      <c r="B172" t="s">
        <v>31</v>
      </c>
      <c r="C172" t="s">
        <v>7</v>
      </c>
      <c r="D172">
        <v>96</v>
      </c>
      <c r="E172">
        <f t="shared" si="13"/>
        <v>115</v>
      </c>
      <c r="F172" s="22">
        <f>STOWA2019_HUIDIG_W!$N24</f>
        <v>1.2338113967323683E-3</v>
      </c>
      <c r="G172" s="22" t="s">
        <v>33</v>
      </c>
      <c r="H172" s="22">
        <f>STOWA2019_HUIDIG_W!$N24</f>
        <v>1.2338113967323683E-3</v>
      </c>
      <c r="I172" t="str">
        <f t="shared" si="11"/>
        <v>HUIDIG;winter;96;115;1.23381139673237E-03;TRUE;1.23381139673237E-03</v>
      </c>
      <c r="P172" s="22"/>
      <c r="Q172" s="44"/>
    </row>
    <row r="173" spans="1:17" x14ac:dyDescent="0.25">
      <c r="A173">
        <f t="shared" si="10"/>
        <v>45.65625</v>
      </c>
      <c r="B173" t="s">
        <v>31</v>
      </c>
      <c r="C173" t="s">
        <v>7</v>
      </c>
      <c r="D173">
        <v>96</v>
      </c>
      <c r="E173">
        <f t="shared" si="13"/>
        <v>120</v>
      </c>
      <c r="F173" s="22">
        <f>STOWA2019_HUIDIG_W!$N25</f>
        <v>2.5095034284773375E-3</v>
      </c>
      <c r="G173" s="22" t="s">
        <v>33</v>
      </c>
      <c r="H173" s="22">
        <f>STOWA2019_HUIDIG_W!$N25</f>
        <v>2.5095034284773375E-3</v>
      </c>
      <c r="I173" t="str">
        <f t="shared" si="11"/>
        <v>HUIDIG;winter;96;120;2.50950342847734E-03;TRUE;2.50950342847734E-03</v>
      </c>
      <c r="P173" s="22"/>
      <c r="Q173" s="44"/>
    </row>
    <row r="174" spans="1:17" x14ac:dyDescent="0.25">
      <c r="A174">
        <f t="shared" si="10"/>
        <v>22.828125</v>
      </c>
      <c r="B174" t="s">
        <v>31</v>
      </c>
      <c r="C174" t="s">
        <v>7</v>
      </c>
      <c r="D174">
        <v>192</v>
      </c>
      <c r="E174">
        <v>25</v>
      </c>
      <c r="F174" s="22">
        <f>STOWA2019_HUIDIG_W!$R6</f>
        <v>35.17333393024488</v>
      </c>
      <c r="G174" s="22" t="s">
        <v>33</v>
      </c>
      <c r="H174" s="22">
        <f>STOWA2019_HUIDIG_W!$R6</f>
        <v>35.17333393024488</v>
      </c>
      <c r="I174" t="str">
        <f t="shared" si="11"/>
        <v>HUIDIG;winter;192;25;35.1733339302449;TRUE;35.1733339302449</v>
      </c>
      <c r="P174" s="22"/>
      <c r="Q174" s="44"/>
    </row>
    <row r="175" spans="1:17" x14ac:dyDescent="0.25">
      <c r="A175">
        <f t="shared" si="10"/>
        <v>22.828125</v>
      </c>
      <c r="B175" t="s">
        <v>31</v>
      </c>
      <c r="C175" t="s">
        <v>7</v>
      </c>
      <c r="D175">
        <v>192</v>
      </c>
      <c r="E175">
        <f>E174+5</f>
        <v>30</v>
      </c>
      <c r="F175" s="22">
        <f>STOWA2019_HUIDIG_W!$R7</f>
        <v>2.6736285586375468</v>
      </c>
      <c r="G175" s="22" t="s">
        <v>33</v>
      </c>
      <c r="H175" s="22">
        <f>STOWA2019_HUIDIG_W!$R7</f>
        <v>2.6736285586375468</v>
      </c>
      <c r="I175" t="str">
        <f t="shared" si="11"/>
        <v>HUIDIG;winter;192;30;2.67362855863755;TRUE;2.67362855863755</v>
      </c>
      <c r="P175" s="22"/>
      <c r="Q175" s="44"/>
    </row>
    <row r="176" spans="1:17" x14ac:dyDescent="0.25">
      <c r="A176">
        <f t="shared" si="10"/>
        <v>22.828125</v>
      </c>
      <c r="B176" t="s">
        <v>31</v>
      </c>
      <c r="C176" t="s">
        <v>7</v>
      </c>
      <c r="D176">
        <v>192</v>
      </c>
      <c r="E176">
        <f t="shared" ref="E176:E200" si="14">E175+5</f>
        <v>35</v>
      </c>
      <c r="F176" s="22">
        <f>STOWA2019_HUIDIG_W!$R8</f>
        <v>2.0152001520603102</v>
      </c>
      <c r="G176" s="22" t="s">
        <v>33</v>
      </c>
      <c r="H176" s="22">
        <f>STOWA2019_HUIDIG_W!$R8</f>
        <v>2.0152001520603102</v>
      </c>
      <c r="I176" t="str">
        <f t="shared" si="11"/>
        <v>HUIDIG;winter;192;35;2.01520015206031;TRUE;2.01520015206031</v>
      </c>
      <c r="P176" s="22"/>
      <c r="Q176" s="44"/>
    </row>
    <row r="177" spans="1:17" x14ac:dyDescent="0.25">
      <c r="A177">
        <f t="shared" si="10"/>
        <v>22.828125</v>
      </c>
      <c r="B177" t="s">
        <v>31</v>
      </c>
      <c r="C177" t="s">
        <v>7</v>
      </c>
      <c r="D177">
        <v>192</v>
      </c>
      <c r="E177">
        <f t="shared" si="14"/>
        <v>40</v>
      </c>
      <c r="F177" s="22">
        <f>STOWA2019_HUIDIG_W!$R9</f>
        <v>1.5129998514718626</v>
      </c>
      <c r="G177" s="22" t="s">
        <v>33</v>
      </c>
      <c r="H177" s="22">
        <f>STOWA2019_HUIDIG_W!$R9</f>
        <v>1.5129998514718626</v>
      </c>
      <c r="I177" t="str">
        <f t="shared" si="11"/>
        <v>HUIDIG;winter;192;40;1.51299985147186;TRUE;1.51299985147186</v>
      </c>
      <c r="P177" s="22"/>
      <c r="Q177" s="44"/>
    </row>
    <row r="178" spans="1:17" x14ac:dyDescent="0.25">
      <c r="A178">
        <f t="shared" si="10"/>
        <v>22.828125</v>
      </c>
      <c r="B178" t="s">
        <v>31</v>
      </c>
      <c r="C178" t="s">
        <v>7</v>
      </c>
      <c r="D178">
        <v>192</v>
      </c>
      <c r="E178">
        <f t="shared" si="14"/>
        <v>45</v>
      </c>
      <c r="F178" s="22">
        <f>STOWA2019_HUIDIG_W!$R10</f>
        <v>1.1313986257445063</v>
      </c>
      <c r="G178" s="22" t="s">
        <v>33</v>
      </c>
      <c r="H178" s="22">
        <f>STOWA2019_HUIDIG_W!$R10</f>
        <v>1.1313986257445063</v>
      </c>
      <c r="I178" t="str">
        <f t="shared" si="11"/>
        <v>HUIDIG;winter;192;45;1.13139862574451;TRUE;1.13139862574451</v>
      </c>
      <c r="P178" s="22"/>
      <c r="Q178" s="44"/>
    </row>
    <row r="179" spans="1:17" x14ac:dyDescent="0.25">
      <c r="A179">
        <f t="shared" si="10"/>
        <v>22.828125</v>
      </c>
      <c r="B179" t="s">
        <v>31</v>
      </c>
      <c r="C179" t="s">
        <v>7</v>
      </c>
      <c r="D179">
        <v>192</v>
      </c>
      <c r="E179">
        <f t="shared" si="14"/>
        <v>50</v>
      </c>
      <c r="F179" s="22">
        <f>STOWA2019_HUIDIG_W!$R11</f>
        <v>0.84255629633550999</v>
      </c>
      <c r="G179" s="22" t="s">
        <v>33</v>
      </c>
      <c r="H179" s="22">
        <f>STOWA2019_HUIDIG_W!$R11</f>
        <v>0.84255629633550999</v>
      </c>
      <c r="I179" t="str">
        <f t="shared" si="11"/>
        <v>HUIDIG;winter;192;50;0.84255629633551;TRUE;0.84255629633551</v>
      </c>
      <c r="P179" s="22"/>
      <c r="Q179" s="44"/>
    </row>
    <row r="180" spans="1:17" x14ac:dyDescent="0.25">
      <c r="A180">
        <f t="shared" si="10"/>
        <v>22.828125</v>
      </c>
      <c r="B180" t="s">
        <v>31</v>
      </c>
      <c r="C180" t="s">
        <v>7</v>
      </c>
      <c r="D180">
        <v>192</v>
      </c>
      <c r="E180">
        <f t="shared" si="14"/>
        <v>55</v>
      </c>
      <c r="F180" s="22">
        <f>STOWA2019_HUIDIG_W!$R12</f>
        <v>0.62479428091175282</v>
      </c>
      <c r="G180" s="22" t="s">
        <v>33</v>
      </c>
      <c r="H180" s="22">
        <f>STOWA2019_HUIDIG_W!$R12</f>
        <v>0.62479428091175282</v>
      </c>
      <c r="I180" t="str">
        <f t="shared" si="11"/>
        <v>HUIDIG;winter;192;55;0.624794280911753;TRUE;0.624794280911753</v>
      </c>
      <c r="P180" s="22"/>
      <c r="Q180" s="44"/>
    </row>
    <row r="181" spans="1:17" x14ac:dyDescent="0.25">
      <c r="A181">
        <f t="shared" si="10"/>
        <v>22.828125</v>
      </c>
      <c r="B181" t="s">
        <v>31</v>
      </c>
      <c r="C181" t="s">
        <v>7</v>
      </c>
      <c r="D181">
        <v>192</v>
      </c>
      <c r="E181">
        <f t="shared" si="14"/>
        <v>60</v>
      </c>
      <c r="F181" s="22">
        <f>STOWA2019_HUIDIG_W!$R13</f>
        <v>0.46129213290658933</v>
      </c>
      <c r="G181" s="22" t="s">
        <v>33</v>
      </c>
      <c r="H181" s="22">
        <f>STOWA2019_HUIDIG_W!$R13</f>
        <v>0.46129213290658933</v>
      </c>
      <c r="I181" t="str">
        <f t="shared" si="11"/>
        <v>HUIDIG;winter;192;60;0.461292132906589;TRUE;0.461292132906589</v>
      </c>
      <c r="P181" s="22"/>
      <c r="Q181" s="44"/>
    </row>
    <row r="182" spans="1:17" x14ac:dyDescent="0.25">
      <c r="A182">
        <f t="shared" si="10"/>
        <v>22.828125</v>
      </c>
      <c r="B182" t="s">
        <v>31</v>
      </c>
      <c r="C182" t="s">
        <v>7</v>
      </c>
      <c r="D182">
        <v>192</v>
      </c>
      <c r="E182">
        <f t="shared" si="14"/>
        <v>65</v>
      </c>
      <c r="F182" s="22">
        <f>STOWA2019_HUIDIG_W!$R14</f>
        <v>0.33904674937866841</v>
      </c>
      <c r="G182" s="22" t="s">
        <v>33</v>
      </c>
      <c r="H182" s="22">
        <f>STOWA2019_HUIDIG_W!$R14</f>
        <v>0.33904674937866841</v>
      </c>
      <c r="I182" t="str">
        <f t="shared" si="11"/>
        <v>HUIDIG;winter;192;65;0.339046749378668;TRUE;0.339046749378668</v>
      </c>
      <c r="P182" s="22"/>
      <c r="Q182" s="44"/>
    </row>
    <row r="183" spans="1:17" x14ac:dyDescent="0.25">
      <c r="A183">
        <f t="shared" si="10"/>
        <v>22.828125</v>
      </c>
      <c r="B183" t="s">
        <v>31</v>
      </c>
      <c r="C183" t="s">
        <v>7</v>
      </c>
      <c r="D183">
        <v>192</v>
      </c>
      <c r="E183">
        <f t="shared" si="14"/>
        <v>70</v>
      </c>
      <c r="F183" s="22">
        <f>STOWA2019_HUIDIG_W!$R15</f>
        <v>0.24804401956422006</v>
      </c>
      <c r="G183" s="22" t="s">
        <v>33</v>
      </c>
      <c r="H183" s="22">
        <f>STOWA2019_HUIDIG_W!$R15</f>
        <v>0.24804401956422006</v>
      </c>
      <c r="I183" t="str">
        <f t="shared" si="11"/>
        <v>HUIDIG;winter;192;70;0.24804401956422;TRUE;0.24804401956422</v>
      </c>
      <c r="P183" s="22"/>
      <c r="Q183" s="44"/>
    </row>
    <row r="184" spans="1:17" x14ac:dyDescent="0.25">
      <c r="A184">
        <f t="shared" si="10"/>
        <v>22.828125</v>
      </c>
      <c r="B184" t="s">
        <v>31</v>
      </c>
      <c r="C184" t="s">
        <v>7</v>
      </c>
      <c r="D184">
        <v>192</v>
      </c>
      <c r="E184">
        <f t="shared" si="14"/>
        <v>75</v>
      </c>
      <c r="F184" s="22">
        <f>STOWA2019_HUIDIG_W!$R16</f>
        <v>0.18060176006500234</v>
      </c>
      <c r="G184" s="22" t="s">
        <v>33</v>
      </c>
      <c r="H184" s="22">
        <f>STOWA2019_HUIDIG_W!$R16</f>
        <v>0.18060176006500234</v>
      </c>
      <c r="I184" t="str">
        <f t="shared" si="11"/>
        <v>HUIDIG;winter;192;75;0.180601760065002;TRUE;0.180601760065002</v>
      </c>
      <c r="P184" s="22"/>
      <c r="Q184" s="44"/>
    </row>
    <row r="185" spans="1:17" x14ac:dyDescent="0.25">
      <c r="A185">
        <f t="shared" si="10"/>
        <v>22.828125</v>
      </c>
      <c r="B185" t="s">
        <v>31</v>
      </c>
      <c r="C185" t="s">
        <v>7</v>
      </c>
      <c r="D185">
        <v>192</v>
      </c>
      <c r="E185">
        <f t="shared" si="14"/>
        <v>80</v>
      </c>
      <c r="F185" s="22">
        <f>STOWA2019_HUIDIG_W!$R17</f>
        <v>0.13085031557909116</v>
      </c>
      <c r="G185" s="22" t="s">
        <v>33</v>
      </c>
      <c r="H185" s="22">
        <f>STOWA2019_HUIDIG_W!$R17</f>
        <v>0.13085031557909116</v>
      </c>
      <c r="I185" t="str">
        <f t="shared" si="11"/>
        <v>HUIDIG;winter;192;80;0.130850315579091;TRUE;0.130850315579091</v>
      </c>
      <c r="P185" s="22"/>
      <c r="Q185" s="44"/>
    </row>
    <row r="186" spans="1:17" x14ac:dyDescent="0.25">
      <c r="A186">
        <f t="shared" si="10"/>
        <v>22.828125</v>
      </c>
      <c r="B186" t="s">
        <v>31</v>
      </c>
      <c r="C186" t="s">
        <v>7</v>
      </c>
      <c r="D186">
        <v>192</v>
      </c>
      <c r="E186">
        <f t="shared" si="14"/>
        <v>85</v>
      </c>
      <c r="F186" s="22">
        <f>STOWA2019_HUIDIG_W!$R18</f>
        <v>9.4323440841128287E-2</v>
      </c>
      <c r="G186" s="22" t="s">
        <v>33</v>
      </c>
      <c r="H186" s="22">
        <f>STOWA2019_HUIDIG_W!$R18</f>
        <v>9.4323440841128287E-2</v>
      </c>
      <c r="I186" t="str">
        <f t="shared" si="11"/>
        <v>HUIDIG;winter;192;85;9.43234408411283E-02;TRUE;9.43234408411283E-02</v>
      </c>
      <c r="P186" s="22"/>
      <c r="Q186" s="44"/>
    </row>
    <row r="187" spans="1:17" x14ac:dyDescent="0.25">
      <c r="A187">
        <f t="shared" si="10"/>
        <v>22.828125</v>
      </c>
      <c r="B187" t="s">
        <v>31</v>
      </c>
      <c r="C187" t="s">
        <v>7</v>
      </c>
      <c r="D187">
        <v>192</v>
      </c>
      <c r="E187">
        <f t="shared" si="14"/>
        <v>90</v>
      </c>
      <c r="F187" s="22">
        <f>STOWA2019_HUIDIG_W!$R19</f>
        <v>6.7637228411634165E-2</v>
      </c>
      <c r="G187" s="22" t="s">
        <v>33</v>
      </c>
      <c r="H187" s="22">
        <f>STOWA2019_HUIDIG_W!$R19</f>
        <v>6.7637228411634165E-2</v>
      </c>
      <c r="I187" t="str">
        <f t="shared" si="11"/>
        <v>HUIDIG;winter;192;90;6.76372284116342E-02;TRUE;6.76372284116342E-02</v>
      </c>
      <c r="P187" s="22"/>
      <c r="Q187" s="44"/>
    </row>
    <row r="188" spans="1:17" x14ac:dyDescent="0.25">
      <c r="A188">
        <f t="shared" si="10"/>
        <v>22.828125</v>
      </c>
      <c r="B188" t="s">
        <v>31</v>
      </c>
      <c r="C188" t="s">
        <v>7</v>
      </c>
      <c r="D188">
        <v>192</v>
      </c>
      <c r="E188">
        <f t="shared" si="14"/>
        <v>95</v>
      </c>
      <c r="F188" s="22">
        <f>STOWA2019_HUIDIG_W!$R20</f>
        <v>4.8239085466457887E-2</v>
      </c>
      <c r="G188" s="22" t="s">
        <v>33</v>
      </c>
      <c r="H188" s="22">
        <f>STOWA2019_HUIDIG_W!$R20</f>
        <v>4.8239085466457887E-2</v>
      </c>
      <c r="I188" t="str">
        <f t="shared" si="11"/>
        <v>HUIDIG;winter;192;95;4.82390854664579E-02;TRUE;4.82390854664579E-02</v>
      </c>
      <c r="P188" s="22"/>
      <c r="Q188" s="44"/>
    </row>
    <row r="189" spans="1:17" x14ac:dyDescent="0.25">
      <c r="A189">
        <f t="shared" si="10"/>
        <v>22.828125</v>
      </c>
      <c r="B189" t="s">
        <v>31</v>
      </c>
      <c r="C189" t="s">
        <v>7</v>
      </c>
      <c r="D189">
        <v>192</v>
      </c>
      <c r="E189">
        <f t="shared" si="14"/>
        <v>100</v>
      </c>
      <c r="F189" s="22">
        <f>STOWA2019_HUIDIG_W!$R21</f>
        <v>3.4212241285572181E-2</v>
      </c>
      <c r="G189" s="22" t="s">
        <v>33</v>
      </c>
      <c r="H189" s="22">
        <f>STOWA2019_HUIDIG_W!$R21</f>
        <v>3.4212241285572181E-2</v>
      </c>
      <c r="I189" t="str">
        <f t="shared" si="11"/>
        <v>HUIDIG;winter;192;100;3.42122412855722E-02;TRUE;3.42122412855722E-02</v>
      </c>
      <c r="P189" s="22"/>
      <c r="Q189" s="44"/>
    </row>
    <row r="190" spans="1:17" x14ac:dyDescent="0.25">
      <c r="A190">
        <f t="shared" si="10"/>
        <v>22.828125</v>
      </c>
      <c r="B190" t="s">
        <v>31</v>
      </c>
      <c r="C190" t="s">
        <v>7</v>
      </c>
      <c r="D190">
        <v>192</v>
      </c>
      <c r="E190">
        <f t="shared" si="14"/>
        <v>105</v>
      </c>
      <c r="F190" s="22">
        <f>STOWA2019_HUIDIG_W!$R22</f>
        <v>2.4124113131300751E-2</v>
      </c>
      <c r="G190" s="22" t="s">
        <v>33</v>
      </c>
      <c r="H190" s="22">
        <f>STOWA2019_HUIDIG_W!$R22</f>
        <v>2.4124113131300751E-2</v>
      </c>
      <c r="I190" t="str">
        <f t="shared" si="11"/>
        <v>HUIDIG;winter;192;105;2.41241131313008E-02;TRUE;2.41241131313008E-02</v>
      </c>
      <c r="P190" s="22"/>
      <c r="Q190" s="44"/>
    </row>
    <row r="191" spans="1:17" x14ac:dyDescent="0.25">
      <c r="A191">
        <f t="shared" si="10"/>
        <v>22.828125</v>
      </c>
      <c r="B191" t="s">
        <v>31</v>
      </c>
      <c r="C191" t="s">
        <v>7</v>
      </c>
      <c r="D191">
        <v>192</v>
      </c>
      <c r="E191">
        <f t="shared" si="14"/>
        <v>110</v>
      </c>
      <c r="F191" s="22">
        <f>STOWA2019_HUIDIG_W!$R23</f>
        <v>1.6909179215445873E-2</v>
      </c>
      <c r="G191" s="22" t="s">
        <v>33</v>
      </c>
      <c r="H191" s="22">
        <f>STOWA2019_HUIDIG_W!$R23</f>
        <v>1.6909179215445873E-2</v>
      </c>
      <c r="I191" t="str">
        <f t="shared" si="11"/>
        <v>HUIDIG;winter;192;110;1.69091792154459E-02;TRUE;1.69091792154459E-02</v>
      </c>
      <c r="P191" s="22"/>
      <c r="Q191" s="44"/>
    </row>
    <row r="192" spans="1:17" x14ac:dyDescent="0.25">
      <c r="A192">
        <f t="shared" si="10"/>
        <v>22.828125</v>
      </c>
      <c r="B192" t="s">
        <v>31</v>
      </c>
      <c r="C192" t="s">
        <v>7</v>
      </c>
      <c r="D192">
        <v>192</v>
      </c>
      <c r="E192">
        <f t="shared" si="14"/>
        <v>115</v>
      </c>
      <c r="F192" s="22">
        <f>STOWA2019_HUIDIG_W!$R24</f>
        <v>1.1778894068624448E-2</v>
      </c>
      <c r="G192" s="22" t="s">
        <v>33</v>
      </c>
      <c r="H192" s="22">
        <f>STOWA2019_HUIDIG_W!$R24</f>
        <v>1.1778894068624448E-2</v>
      </c>
      <c r="I192" t="str">
        <f t="shared" si="11"/>
        <v>HUIDIG;winter;192;115;1.17788940686244E-02;TRUE;1.17788940686244E-02</v>
      </c>
      <c r="P192" s="22"/>
      <c r="Q192" s="44"/>
    </row>
    <row r="193" spans="1:17" x14ac:dyDescent="0.25">
      <c r="A193">
        <f t="shared" si="10"/>
        <v>22.828125</v>
      </c>
      <c r="B193" t="s">
        <v>31</v>
      </c>
      <c r="C193" t="s">
        <v>7</v>
      </c>
      <c r="D193">
        <v>192</v>
      </c>
      <c r="E193">
        <f t="shared" si="14"/>
        <v>120</v>
      </c>
      <c r="F193" s="22">
        <f>STOWA2019_HUIDIG_W!$R25</f>
        <v>8.1527099111192852E-3</v>
      </c>
      <c r="G193" s="22" t="s">
        <v>33</v>
      </c>
      <c r="H193" s="22">
        <f>STOWA2019_HUIDIG_W!$R25</f>
        <v>8.1527099111192852E-3</v>
      </c>
      <c r="I193" t="str">
        <f t="shared" si="11"/>
        <v>HUIDIG;winter;192;120;8.15270991111929E-03;TRUE;8.15270991111929E-03</v>
      </c>
      <c r="P193" s="22"/>
      <c r="Q193" s="44"/>
    </row>
    <row r="194" spans="1:17" x14ac:dyDescent="0.25">
      <c r="A194">
        <f t="shared" ref="A194:A257" si="15">IF(C194="zomer",24/D194*365.25 * 6/12,24/D194*365.25 * 6/12)</f>
        <v>22.828125</v>
      </c>
      <c r="B194" t="s">
        <v>31</v>
      </c>
      <c r="C194" t="s">
        <v>7</v>
      </c>
      <c r="D194">
        <v>192</v>
      </c>
      <c r="E194">
        <f t="shared" si="14"/>
        <v>125</v>
      </c>
      <c r="F194" s="22">
        <f>STOWA2019_HUIDIG_W!$R26</f>
        <v>5.6055012747077155E-3</v>
      </c>
      <c r="G194" s="22" t="s">
        <v>33</v>
      </c>
      <c r="H194" s="22">
        <f>STOWA2019_HUIDIG_W!$R26</f>
        <v>5.6055012747077155E-3</v>
      </c>
      <c r="I194" t="str">
        <f t="shared" ref="I194:I257" si="16">CONCATENATEWITHDELIMITER(B194:H194,";")</f>
        <v>HUIDIG;winter;192;125;5.60550127470772E-03;TRUE;5.60550127470772E-03</v>
      </c>
      <c r="P194" s="22"/>
      <c r="Q194" s="44"/>
    </row>
    <row r="195" spans="1:17" x14ac:dyDescent="0.25">
      <c r="A195">
        <f t="shared" si="15"/>
        <v>22.828125</v>
      </c>
      <c r="B195" t="s">
        <v>31</v>
      </c>
      <c r="C195" t="s">
        <v>7</v>
      </c>
      <c r="D195">
        <v>192</v>
      </c>
      <c r="E195">
        <f t="shared" si="14"/>
        <v>130</v>
      </c>
      <c r="F195" s="22">
        <f>STOWA2019_HUIDIG_W!$R27</f>
        <v>3.8276823107124026E-3</v>
      </c>
      <c r="G195" s="22" t="s">
        <v>33</v>
      </c>
      <c r="H195" s="22">
        <f>STOWA2019_HUIDIG_W!$R27</f>
        <v>3.8276823107124026E-3</v>
      </c>
      <c r="I195" t="str">
        <f t="shared" si="16"/>
        <v>HUIDIG;winter;192;130;3.8276823107124E-03;TRUE;3.8276823107124E-03</v>
      </c>
      <c r="P195" s="22"/>
      <c r="Q195" s="44"/>
    </row>
    <row r="196" spans="1:17" x14ac:dyDescent="0.25">
      <c r="A196">
        <f t="shared" si="15"/>
        <v>22.828125</v>
      </c>
      <c r="B196" t="s">
        <v>31</v>
      </c>
      <c r="C196" t="s">
        <v>7</v>
      </c>
      <c r="D196">
        <v>192</v>
      </c>
      <c r="E196">
        <f t="shared" si="14"/>
        <v>135</v>
      </c>
      <c r="F196" s="22">
        <f>STOWA2019_HUIDIG_W!$R28</f>
        <v>2.5951011929883005E-3</v>
      </c>
      <c r="G196" s="22" t="s">
        <v>33</v>
      </c>
      <c r="H196" s="22">
        <f>STOWA2019_HUIDIG_W!$R28</f>
        <v>2.5951011929883005E-3</v>
      </c>
      <c r="I196" t="str">
        <f t="shared" si="16"/>
        <v>HUIDIG;winter;192;135;2.5951011929883E-03;TRUE;2.5951011929883E-03</v>
      </c>
      <c r="P196" s="22"/>
      <c r="Q196" s="44"/>
    </row>
    <row r="197" spans="1:17" x14ac:dyDescent="0.25">
      <c r="A197">
        <f t="shared" si="15"/>
        <v>22.828125</v>
      </c>
      <c r="B197" t="s">
        <v>31</v>
      </c>
      <c r="C197" t="s">
        <v>7</v>
      </c>
      <c r="D197">
        <v>192</v>
      </c>
      <c r="E197">
        <f t="shared" si="14"/>
        <v>140</v>
      </c>
      <c r="F197" s="22">
        <f>STOWA2019_HUIDIG_W!$R29</f>
        <v>1.746430497581648E-3</v>
      </c>
      <c r="G197" s="22" t="s">
        <v>33</v>
      </c>
      <c r="H197" s="22">
        <f>STOWA2019_HUIDIG_W!$R29</f>
        <v>1.746430497581648E-3</v>
      </c>
      <c r="I197" t="str">
        <f t="shared" si="16"/>
        <v>HUIDIG;winter;192;140;1.74643049758165E-03;TRUE;1.74643049758165E-03</v>
      </c>
      <c r="P197" s="22"/>
      <c r="Q197" s="44"/>
    </row>
    <row r="198" spans="1:17" x14ac:dyDescent="0.25">
      <c r="A198">
        <f t="shared" si="15"/>
        <v>22.828125</v>
      </c>
      <c r="B198" t="s">
        <v>31</v>
      </c>
      <c r="C198" t="s">
        <v>7</v>
      </c>
      <c r="D198">
        <v>192</v>
      </c>
      <c r="E198">
        <f t="shared" si="14"/>
        <v>145</v>
      </c>
      <c r="F198" s="22">
        <f>STOWA2019_HUIDIG_W!$R30</f>
        <v>1.1662767694352242E-3</v>
      </c>
      <c r="G198" s="22" t="s">
        <v>33</v>
      </c>
      <c r="H198" s="22">
        <f>STOWA2019_HUIDIG_W!$R30</f>
        <v>1.1662767694352242E-3</v>
      </c>
      <c r="I198" t="str">
        <f t="shared" si="16"/>
        <v>HUIDIG;winter;192;145;1.16627676943522E-03;TRUE;1.16627676943522E-03</v>
      </c>
      <c r="P198" s="22"/>
      <c r="Q198" s="44"/>
    </row>
    <row r="199" spans="1:17" x14ac:dyDescent="0.25">
      <c r="A199">
        <f t="shared" si="15"/>
        <v>22.828125</v>
      </c>
      <c r="B199" t="s">
        <v>31</v>
      </c>
      <c r="C199" t="s">
        <v>7</v>
      </c>
      <c r="D199">
        <v>192</v>
      </c>
      <c r="E199">
        <f t="shared" si="14"/>
        <v>150</v>
      </c>
      <c r="F199" s="22">
        <f>STOWA2019_HUIDIG_W!$R31</f>
        <v>7.7263168588501715E-4</v>
      </c>
      <c r="G199" s="22" t="s">
        <v>33</v>
      </c>
      <c r="H199" s="22">
        <f>STOWA2019_HUIDIG_W!$R31</f>
        <v>7.7263168588501715E-4</v>
      </c>
      <c r="I199" t="str">
        <f t="shared" si="16"/>
        <v>HUIDIG;winter;192;150;7.72631685885017E-04;TRUE;7.72631685885017E-04</v>
      </c>
      <c r="P199" s="22"/>
      <c r="Q199" s="44"/>
    </row>
    <row r="200" spans="1:17" x14ac:dyDescent="0.25">
      <c r="A200">
        <f t="shared" si="15"/>
        <v>22.828125</v>
      </c>
      <c r="B200" t="s">
        <v>31</v>
      </c>
      <c r="C200" t="s">
        <v>7</v>
      </c>
      <c r="D200">
        <v>192</v>
      </c>
      <c r="E200">
        <f t="shared" si="14"/>
        <v>155</v>
      </c>
      <c r="F200" s="22">
        <f>STOWA2019_HUIDIG_W!$R32</f>
        <v>1.4128110374670595E-3</v>
      </c>
      <c r="G200" s="22" t="s">
        <v>33</v>
      </c>
      <c r="H200" s="22">
        <f>STOWA2019_HUIDIG_W!$R32</f>
        <v>1.4128110374670595E-3</v>
      </c>
      <c r="I200" t="str">
        <f t="shared" si="16"/>
        <v>HUIDIG;winter;192;155;1.41281103746706E-03;TRUE;1.41281103746706E-03</v>
      </c>
      <c r="P200" s="22"/>
      <c r="Q200" s="44"/>
    </row>
    <row r="201" spans="1:17" x14ac:dyDescent="0.25">
      <c r="A201">
        <f t="shared" si="15"/>
        <v>20.291666666666664</v>
      </c>
      <c r="B201" t="s">
        <v>31</v>
      </c>
      <c r="C201" t="s">
        <v>7</v>
      </c>
      <c r="D201">
        <v>216</v>
      </c>
      <c r="E201">
        <v>25</v>
      </c>
      <c r="F201" s="22">
        <f>STOWA2019_HUIDIG_W!$V6</f>
        <v>29.630788351993452</v>
      </c>
      <c r="G201" s="22" t="s">
        <v>33</v>
      </c>
      <c r="H201" s="22">
        <f>STOWA2019_HUIDIG_W!$V6</f>
        <v>29.630788351993452</v>
      </c>
      <c r="I201" t="str">
        <f t="shared" si="16"/>
        <v>HUIDIG;winter;216;25;29.6307883519935;TRUE;29.6307883519935</v>
      </c>
      <c r="P201" s="22"/>
      <c r="Q201" s="44"/>
    </row>
    <row r="202" spans="1:17" x14ac:dyDescent="0.25">
      <c r="A202">
        <f t="shared" si="15"/>
        <v>20.291666666666664</v>
      </c>
      <c r="B202" t="s">
        <v>31</v>
      </c>
      <c r="C202" t="s">
        <v>7</v>
      </c>
      <c r="D202">
        <v>216</v>
      </c>
      <c r="E202">
        <f>E201+5</f>
        <v>30</v>
      </c>
      <c r="F202" s="22">
        <f>STOWA2019_HUIDIG_W!$V7</f>
        <v>2.5622204769893493</v>
      </c>
      <c r="G202" s="22" t="s">
        <v>33</v>
      </c>
      <c r="H202" s="22">
        <f>STOWA2019_HUIDIG_W!$V7</f>
        <v>2.5622204769893493</v>
      </c>
      <c r="I202" t="str">
        <f t="shared" si="16"/>
        <v>HUIDIG;winter;216;30;2.56222047698935;TRUE;2.56222047698935</v>
      </c>
      <c r="P202" s="22"/>
      <c r="Q202" s="44"/>
    </row>
    <row r="203" spans="1:17" x14ac:dyDescent="0.25">
      <c r="A203">
        <f t="shared" si="15"/>
        <v>20.291666666666664</v>
      </c>
      <c r="B203" t="s">
        <v>31</v>
      </c>
      <c r="C203" t="s">
        <v>7</v>
      </c>
      <c r="D203">
        <v>216</v>
      </c>
      <c r="E203">
        <f t="shared" ref="E203:E228" si="17">E202+5</f>
        <v>35</v>
      </c>
      <c r="F203" s="22">
        <f>STOWA2019_HUIDIG_W!$V8</f>
        <v>1.9920017787796933</v>
      </c>
      <c r="G203" s="22" t="s">
        <v>33</v>
      </c>
      <c r="H203" s="22">
        <f>STOWA2019_HUIDIG_W!$V8</f>
        <v>1.9920017787796933</v>
      </c>
      <c r="I203" t="str">
        <f t="shared" si="16"/>
        <v>HUIDIG;winter;216;35;1.99200177877969;TRUE;1.99200177877969</v>
      </c>
      <c r="P203" s="22"/>
      <c r="Q203" s="44"/>
    </row>
    <row r="204" spans="1:17" x14ac:dyDescent="0.25">
      <c r="A204">
        <f t="shared" si="15"/>
        <v>20.291666666666664</v>
      </c>
      <c r="B204" t="s">
        <v>31</v>
      </c>
      <c r="C204" t="s">
        <v>7</v>
      </c>
      <c r="D204">
        <v>216</v>
      </c>
      <c r="E204">
        <f t="shared" si="17"/>
        <v>40</v>
      </c>
      <c r="F204" s="22">
        <f>STOWA2019_HUIDIG_W!$V9</f>
        <v>1.5419889695719569</v>
      </c>
      <c r="G204" s="22" t="s">
        <v>33</v>
      </c>
      <c r="H204" s="22">
        <f>STOWA2019_HUIDIG_W!$V9</f>
        <v>1.5419889695719569</v>
      </c>
      <c r="I204" t="str">
        <f t="shared" si="16"/>
        <v>HUIDIG;winter;216;40;1.54198896957196;TRUE;1.54198896957196</v>
      </c>
      <c r="P204" s="22"/>
      <c r="Q204" s="44"/>
    </row>
    <row r="205" spans="1:17" x14ac:dyDescent="0.25">
      <c r="A205">
        <f t="shared" si="15"/>
        <v>20.291666666666664</v>
      </c>
      <c r="B205" t="s">
        <v>31</v>
      </c>
      <c r="C205" t="s">
        <v>7</v>
      </c>
      <c r="D205">
        <v>216</v>
      </c>
      <c r="E205">
        <f t="shared" si="17"/>
        <v>45</v>
      </c>
      <c r="F205" s="22">
        <f>STOWA2019_HUIDIG_W!$V10</f>
        <v>1.1882976748193164</v>
      </c>
      <c r="G205" s="22" t="s">
        <v>33</v>
      </c>
      <c r="H205" s="22">
        <f>STOWA2019_HUIDIG_W!$V10</f>
        <v>1.1882976748193164</v>
      </c>
      <c r="I205" t="str">
        <f t="shared" si="16"/>
        <v>HUIDIG;winter;216;45;1.18829767481932;TRUE;1.18829767481932</v>
      </c>
      <c r="P205" s="22"/>
      <c r="Q205" s="44"/>
    </row>
    <row r="206" spans="1:17" x14ac:dyDescent="0.25">
      <c r="A206">
        <f t="shared" si="15"/>
        <v>20.291666666666664</v>
      </c>
      <c r="B206" t="s">
        <v>31</v>
      </c>
      <c r="C206" t="s">
        <v>7</v>
      </c>
      <c r="D206">
        <v>216</v>
      </c>
      <c r="E206">
        <f t="shared" si="17"/>
        <v>50</v>
      </c>
      <c r="F206" s="22">
        <f>STOWA2019_HUIDIG_W!$V11</f>
        <v>0.9114907295617396</v>
      </c>
      <c r="G206" s="22" t="s">
        <v>33</v>
      </c>
      <c r="H206" s="22">
        <f>STOWA2019_HUIDIG_W!$V11</f>
        <v>0.9114907295617396</v>
      </c>
      <c r="I206" t="str">
        <f t="shared" si="16"/>
        <v>HUIDIG;winter;216;50;0.91149072956174;TRUE;0.91149072956174</v>
      </c>
      <c r="P206" s="22"/>
      <c r="Q206" s="44"/>
    </row>
    <row r="207" spans="1:17" x14ac:dyDescent="0.25">
      <c r="A207">
        <f t="shared" si="15"/>
        <v>20.291666666666664</v>
      </c>
      <c r="B207" t="s">
        <v>31</v>
      </c>
      <c r="C207" t="s">
        <v>7</v>
      </c>
      <c r="D207">
        <v>216</v>
      </c>
      <c r="E207">
        <f t="shared" si="17"/>
        <v>55</v>
      </c>
      <c r="F207" s="22">
        <f>STOWA2019_HUIDIG_W!$V12</f>
        <v>0.69580750697244076</v>
      </c>
      <c r="G207" s="22" t="s">
        <v>33</v>
      </c>
      <c r="H207" s="22">
        <f>STOWA2019_HUIDIG_W!$V12</f>
        <v>0.69580750697244076</v>
      </c>
      <c r="I207" t="str">
        <f t="shared" si="16"/>
        <v>HUIDIG;winter;216;55;0.695807506972441;TRUE;0.695807506972441</v>
      </c>
      <c r="P207" s="22"/>
      <c r="Q207" s="44"/>
    </row>
    <row r="208" spans="1:17" x14ac:dyDescent="0.25">
      <c r="A208">
        <f t="shared" si="15"/>
        <v>20.291666666666664</v>
      </c>
      <c r="B208" t="s">
        <v>31</v>
      </c>
      <c r="C208" t="s">
        <v>7</v>
      </c>
      <c r="D208">
        <v>216</v>
      </c>
      <c r="E208">
        <f t="shared" si="17"/>
        <v>60</v>
      </c>
      <c r="F208" s="22">
        <f>STOWA2019_HUIDIG_W!$V13</f>
        <v>0.52851652551972572</v>
      </c>
      <c r="G208" s="22" t="s">
        <v>33</v>
      </c>
      <c r="H208" s="22">
        <f>STOWA2019_HUIDIG_W!$V13</f>
        <v>0.52851652551972572</v>
      </c>
      <c r="I208" t="str">
        <f t="shared" si="16"/>
        <v>HUIDIG;winter;216;60;0.528516525519726;TRUE;0.528516525519726</v>
      </c>
      <c r="P208" s="22"/>
      <c r="Q208" s="44"/>
    </row>
    <row r="209" spans="1:17" x14ac:dyDescent="0.25">
      <c r="A209">
        <f t="shared" si="15"/>
        <v>20.291666666666664</v>
      </c>
      <c r="B209" t="s">
        <v>31</v>
      </c>
      <c r="C209" t="s">
        <v>7</v>
      </c>
      <c r="D209">
        <v>216</v>
      </c>
      <c r="E209">
        <f t="shared" si="17"/>
        <v>65</v>
      </c>
      <c r="F209" s="22">
        <f>STOWA2019_HUIDIG_W!$V14</f>
        <v>0.39937331341710691</v>
      </c>
      <c r="G209" s="22" t="s">
        <v>33</v>
      </c>
      <c r="H209" s="22">
        <f>STOWA2019_HUIDIG_W!$V14</f>
        <v>0.39937331341710691</v>
      </c>
      <c r="I209" t="str">
        <f t="shared" si="16"/>
        <v>HUIDIG;winter;216;65;0.399373313417107;TRUE;0.399373313417107</v>
      </c>
      <c r="P209" s="22"/>
      <c r="Q209" s="44"/>
    </row>
    <row r="210" spans="1:17" x14ac:dyDescent="0.25">
      <c r="A210">
        <f t="shared" si="15"/>
        <v>20.291666666666664</v>
      </c>
      <c r="B210" t="s">
        <v>31</v>
      </c>
      <c r="C210" t="s">
        <v>7</v>
      </c>
      <c r="D210">
        <v>216</v>
      </c>
      <c r="E210">
        <f t="shared" si="17"/>
        <v>70</v>
      </c>
      <c r="F210" s="22">
        <f>STOWA2019_HUIDIG_W!$V15</f>
        <v>0.30016788664996319</v>
      </c>
      <c r="G210" s="22" t="s">
        <v>33</v>
      </c>
      <c r="H210" s="22">
        <f>STOWA2019_HUIDIG_W!$V15</f>
        <v>0.30016788664996319</v>
      </c>
      <c r="I210" t="str">
        <f t="shared" si="16"/>
        <v>HUIDIG;winter;216;70;0.300167886649963;TRUE;0.300167886649963</v>
      </c>
      <c r="P210" s="22"/>
      <c r="Q210" s="44"/>
    </row>
    <row r="211" spans="1:17" x14ac:dyDescent="0.25">
      <c r="A211">
        <f t="shared" si="15"/>
        <v>20.291666666666664</v>
      </c>
      <c r="B211" t="s">
        <v>31</v>
      </c>
      <c r="C211" t="s">
        <v>7</v>
      </c>
      <c r="D211">
        <v>216</v>
      </c>
      <c r="E211">
        <f t="shared" si="17"/>
        <v>75</v>
      </c>
      <c r="F211" s="22">
        <f>STOWA2019_HUIDIG_W!$V16</f>
        <v>0.22434829585517524</v>
      </c>
      <c r="G211" s="22" t="s">
        <v>33</v>
      </c>
      <c r="H211" s="22">
        <f>STOWA2019_HUIDIG_W!$V16</f>
        <v>0.22434829585517524</v>
      </c>
      <c r="I211" t="str">
        <f t="shared" si="16"/>
        <v>HUIDIG;winter;216;75;0.224348295855175;TRUE;0.224348295855175</v>
      </c>
      <c r="P211" s="22"/>
      <c r="Q211" s="44"/>
    </row>
    <row r="212" spans="1:17" x14ac:dyDescent="0.25">
      <c r="A212">
        <f t="shared" si="15"/>
        <v>20.291666666666664</v>
      </c>
      <c r="B212" t="s">
        <v>31</v>
      </c>
      <c r="C212" t="s">
        <v>7</v>
      </c>
      <c r="D212">
        <v>216</v>
      </c>
      <c r="E212">
        <f t="shared" si="17"/>
        <v>80</v>
      </c>
      <c r="F212" s="22">
        <f>STOWA2019_HUIDIG_W!$V17</f>
        <v>0.16670854609128027</v>
      </c>
      <c r="G212" s="22" t="s">
        <v>33</v>
      </c>
      <c r="H212" s="22">
        <f>STOWA2019_HUIDIG_W!$V17</f>
        <v>0.16670854609128027</v>
      </c>
      <c r="I212" t="str">
        <f t="shared" si="16"/>
        <v>HUIDIG;winter;216;80;0.16670854609128;TRUE;0.16670854609128</v>
      </c>
      <c r="P212" s="22"/>
      <c r="Q212" s="44"/>
    </row>
    <row r="213" spans="1:17" x14ac:dyDescent="0.25">
      <c r="A213">
        <f t="shared" si="15"/>
        <v>20.291666666666664</v>
      </c>
      <c r="B213" t="s">
        <v>31</v>
      </c>
      <c r="C213" t="s">
        <v>7</v>
      </c>
      <c r="D213">
        <v>216</v>
      </c>
      <c r="E213">
        <f t="shared" si="17"/>
        <v>85</v>
      </c>
      <c r="F213" s="22">
        <f>STOWA2019_HUIDIG_W!$V18</f>
        <v>0.12313081802151155</v>
      </c>
      <c r="G213" s="22" t="s">
        <v>33</v>
      </c>
      <c r="H213" s="22">
        <f>STOWA2019_HUIDIG_W!$V18</f>
        <v>0.12313081802151155</v>
      </c>
      <c r="I213" t="str">
        <f t="shared" si="16"/>
        <v>HUIDIG;winter;216;85;0.123130818021512;TRUE;0.123130818021512</v>
      </c>
      <c r="P213" s="22"/>
      <c r="Q213" s="44"/>
    </row>
    <row r="214" spans="1:17" x14ac:dyDescent="0.25">
      <c r="A214">
        <f t="shared" si="15"/>
        <v>20.291666666666664</v>
      </c>
      <c r="B214" t="s">
        <v>31</v>
      </c>
      <c r="C214" t="s">
        <v>7</v>
      </c>
      <c r="D214">
        <v>216</v>
      </c>
      <c r="E214">
        <f t="shared" si="17"/>
        <v>90</v>
      </c>
      <c r="F214" s="22">
        <f>STOWA2019_HUIDIG_W!$V19</f>
        <v>9.0373342918763006E-2</v>
      </c>
      <c r="G214" s="22" t="s">
        <v>33</v>
      </c>
      <c r="H214" s="22">
        <f>STOWA2019_HUIDIG_W!$V19</f>
        <v>9.0373342918763006E-2</v>
      </c>
      <c r="I214" t="str">
        <f t="shared" si="16"/>
        <v>HUIDIG;winter;216;90;0.090373342918763;TRUE;0.090373342918763</v>
      </c>
      <c r="P214" s="22"/>
      <c r="Q214" s="44"/>
    </row>
    <row r="215" spans="1:17" x14ac:dyDescent="0.25">
      <c r="A215">
        <f t="shared" si="15"/>
        <v>20.291666666666664</v>
      </c>
      <c r="B215" t="s">
        <v>31</v>
      </c>
      <c r="C215" t="s">
        <v>7</v>
      </c>
      <c r="D215">
        <v>216</v>
      </c>
      <c r="E215">
        <f t="shared" si="17"/>
        <v>95</v>
      </c>
      <c r="F215" s="22">
        <f>STOWA2019_HUIDIG_W!$V20</f>
        <v>6.5896528753205119E-2</v>
      </c>
      <c r="G215" s="22" t="s">
        <v>33</v>
      </c>
      <c r="H215" s="22">
        <f>STOWA2019_HUIDIG_W!$V20</f>
        <v>6.5896528753205119E-2</v>
      </c>
      <c r="I215" t="str">
        <f t="shared" si="16"/>
        <v>HUIDIG;winter;216;95;6.58965287532051E-02;TRUE;6.58965287532051E-02</v>
      </c>
      <c r="P215" s="22"/>
      <c r="Q215" s="44"/>
    </row>
    <row r="216" spans="1:17" x14ac:dyDescent="0.25">
      <c r="A216">
        <f t="shared" si="15"/>
        <v>20.291666666666664</v>
      </c>
      <c r="B216" t="s">
        <v>31</v>
      </c>
      <c r="C216" t="s">
        <v>7</v>
      </c>
      <c r="D216">
        <v>216</v>
      </c>
      <c r="E216">
        <f t="shared" si="17"/>
        <v>100</v>
      </c>
      <c r="F216" s="22">
        <f>STOWA2019_HUIDIG_W!$V21</f>
        <v>4.7721020044458801E-2</v>
      </c>
      <c r="G216" s="22" t="s">
        <v>33</v>
      </c>
      <c r="H216" s="22">
        <f>STOWA2019_HUIDIG_W!$V21</f>
        <v>4.7721020044458801E-2</v>
      </c>
      <c r="I216" t="str">
        <f t="shared" si="16"/>
        <v>HUIDIG;winter;216;100;4.77210200444588E-02;TRUE;4.77210200444588E-02</v>
      </c>
      <c r="P216" s="22"/>
      <c r="Q216" s="44"/>
    </row>
    <row r="217" spans="1:17" x14ac:dyDescent="0.25">
      <c r="A217">
        <f t="shared" si="15"/>
        <v>20.291666666666664</v>
      </c>
      <c r="B217" t="s">
        <v>31</v>
      </c>
      <c r="C217" t="s">
        <v>7</v>
      </c>
      <c r="D217">
        <v>216</v>
      </c>
      <c r="E217">
        <f t="shared" si="17"/>
        <v>105</v>
      </c>
      <c r="F217" s="22">
        <f>STOWA2019_HUIDIG_W!$V22</f>
        <v>3.4312317938793677E-2</v>
      </c>
      <c r="G217" s="22" t="s">
        <v>33</v>
      </c>
      <c r="H217" s="22">
        <f>STOWA2019_HUIDIG_W!$V22</f>
        <v>3.4312317938793677E-2</v>
      </c>
      <c r="I217" t="str">
        <f t="shared" si="16"/>
        <v>HUIDIG;winter;216;105;3.43123179387937E-02;TRUE;3.43123179387937E-02</v>
      </c>
      <c r="P217" s="22"/>
      <c r="Q217" s="44"/>
    </row>
    <row r="218" spans="1:17" x14ac:dyDescent="0.25">
      <c r="A218">
        <f t="shared" si="15"/>
        <v>20.291666666666664</v>
      </c>
      <c r="B218" t="s">
        <v>31</v>
      </c>
      <c r="C218" t="s">
        <v>7</v>
      </c>
      <c r="D218">
        <v>216</v>
      </c>
      <c r="E218">
        <f t="shared" si="17"/>
        <v>110</v>
      </c>
      <c r="F218" s="22">
        <f>STOWA2019_HUIDIG_W!$V23</f>
        <v>2.4487405216258161E-2</v>
      </c>
      <c r="G218" s="22" t="s">
        <v>33</v>
      </c>
      <c r="H218" s="22">
        <f>STOWA2019_HUIDIG_W!$V23</f>
        <v>2.4487405216258161E-2</v>
      </c>
      <c r="I218" t="str">
        <f t="shared" si="16"/>
        <v>HUIDIG;winter;216;110;2.44874052162582E-02;TRUE;2.44874052162582E-02</v>
      </c>
      <c r="P218" s="22"/>
      <c r="Q218" s="44"/>
    </row>
    <row r="219" spans="1:17" x14ac:dyDescent="0.25">
      <c r="A219">
        <f t="shared" si="15"/>
        <v>20.291666666666664</v>
      </c>
      <c r="B219" t="s">
        <v>31</v>
      </c>
      <c r="C219" t="s">
        <v>7</v>
      </c>
      <c r="D219">
        <v>216</v>
      </c>
      <c r="E219">
        <f t="shared" si="17"/>
        <v>115</v>
      </c>
      <c r="F219" s="22">
        <f>STOWA2019_HUIDIG_W!$V24</f>
        <v>1.7339528200744636E-2</v>
      </c>
      <c r="G219" s="22" t="s">
        <v>33</v>
      </c>
      <c r="H219" s="22">
        <f>STOWA2019_HUIDIG_W!$V24</f>
        <v>1.7339528200744636E-2</v>
      </c>
      <c r="I219" t="str">
        <f t="shared" si="16"/>
        <v>HUIDIG;winter;216;115;1.73395282007446E-02;TRUE;1.73395282007446E-02</v>
      </c>
      <c r="P219" s="22"/>
      <c r="Q219" s="44"/>
    </row>
    <row r="220" spans="1:17" x14ac:dyDescent="0.25">
      <c r="A220">
        <f t="shared" si="15"/>
        <v>20.291666666666664</v>
      </c>
      <c r="B220" t="s">
        <v>31</v>
      </c>
      <c r="C220" t="s">
        <v>7</v>
      </c>
      <c r="D220">
        <v>216</v>
      </c>
      <c r="E220">
        <f t="shared" si="17"/>
        <v>120</v>
      </c>
      <c r="F220" s="22">
        <f>STOWA2019_HUIDIG_W!$V25</f>
        <v>1.2177896965526746E-2</v>
      </c>
      <c r="G220" s="22" t="s">
        <v>33</v>
      </c>
      <c r="H220" s="22">
        <f>STOWA2019_HUIDIG_W!$V25</f>
        <v>1.2177896965526746E-2</v>
      </c>
      <c r="I220" t="str">
        <f t="shared" si="16"/>
        <v>HUIDIG;winter;216;120;1.21778969655267E-02;TRUE;1.21778969655267E-02</v>
      </c>
      <c r="P220" s="22"/>
      <c r="Q220" s="44"/>
    </row>
    <row r="221" spans="1:17" x14ac:dyDescent="0.25">
      <c r="A221">
        <f t="shared" si="15"/>
        <v>20.291666666666664</v>
      </c>
      <c r="B221" t="s">
        <v>31</v>
      </c>
      <c r="C221" t="s">
        <v>7</v>
      </c>
      <c r="D221">
        <v>216</v>
      </c>
      <c r="E221">
        <f t="shared" si="17"/>
        <v>125</v>
      </c>
      <c r="F221" s="22">
        <f>STOWA2019_HUIDIG_W!$V26</f>
        <v>8.4795886099063578E-3</v>
      </c>
      <c r="G221" s="22" t="s">
        <v>33</v>
      </c>
      <c r="H221" s="22">
        <f>STOWA2019_HUIDIG_W!$V26</f>
        <v>8.4795886099063578E-3</v>
      </c>
      <c r="I221" t="str">
        <f t="shared" si="16"/>
        <v>HUIDIG;winter;216;125;8.47958860990636E-03;TRUE;8.47958860990636E-03</v>
      </c>
      <c r="P221" s="22"/>
      <c r="Q221" s="44"/>
    </row>
    <row r="222" spans="1:17" x14ac:dyDescent="0.25">
      <c r="A222">
        <f t="shared" si="15"/>
        <v>20.291666666666664</v>
      </c>
      <c r="B222" t="s">
        <v>31</v>
      </c>
      <c r="C222" t="s">
        <v>7</v>
      </c>
      <c r="D222">
        <v>216</v>
      </c>
      <c r="E222">
        <f t="shared" si="17"/>
        <v>130</v>
      </c>
      <c r="F222" s="22">
        <f>STOWA2019_HUIDIG_W!$V27</f>
        <v>5.8513863326235989E-3</v>
      </c>
      <c r="G222" s="22" t="s">
        <v>33</v>
      </c>
      <c r="H222" s="22">
        <f>STOWA2019_HUIDIG_W!$V27</f>
        <v>5.8513863326235989E-3</v>
      </c>
      <c r="I222" t="str">
        <f t="shared" si="16"/>
        <v>HUIDIG;winter;216;130;5.8513863326236E-03;TRUE;5.8513863326236E-03</v>
      </c>
      <c r="P222" s="22"/>
      <c r="Q222" s="44"/>
    </row>
    <row r="223" spans="1:17" x14ac:dyDescent="0.25">
      <c r="A223">
        <f t="shared" si="15"/>
        <v>20.291666666666664</v>
      </c>
      <c r="B223" t="s">
        <v>31</v>
      </c>
      <c r="C223" t="s">
        <v>7</v>
      </c>
      <c r="D223">
        <v>216</v>
      </c>
      <c r="E223">
        <f t="shared" si="17"/>
        <v>135</v>
      </c>
      <c r="F223" s="22">
        <f>STOWA2019_HUIDIG_W!$V28</f>
        <v>3.9996690397613045E-3</v>
      </c>
      <c r="G223" s="22" t="s">
        <v>33</v>
      </c>
      <c r="H223" s="22">
        <f>STOWA2019_HUIDIG_W!$V28</f>
        <v>3.9996690397613045E-3</v>
      </c>
      <c r="I223" t="str">
        <f t="shared" si="16"/>
        <v>HUIDIG;winter;216;135;3.9996690397613E-03;TRUE;3.9996690397613E-03</v>
      </c>
      <c r="P223" s="22"/>
      <c r="Q223" s="44"/>
    </row>
    <row r="224" spans="1:17" x14ac:dyDescent="0.25">
      <c r="A224">
        <f t="shared" si="15"/>
        <v>20.291666666666664</v>
      </c>
      <c r="B224" t="s">
        <v>31</v>
      </c>
      <c r="C224" t="s">
        <v>7</v>
      </c>
      <c r="D224">
        <v>216</v>
      </c>
      <c r="E224">
        <f t="shared" si="17"/>
        <v>140</v>
      </c>
      <c r="F224" s="22">
        <f>STOWA2019_HUIDIG_W!$V29</f>
        <v>2.7067907800407895E-3</v>
      </c>
      <c r="G224" s="22" t="s">
        <v>33</v>
      </c>
      <c r="H224" s="22">
        <f>STOWA2019_HUIDIG_W!$V29</f>
        <v>2.7067907800407895E-3</v>
      </c>
      <c r="I224" t="str">
        <f t="shared" si="16"/>
        <v>HUIDIG;winter;216;140;2.70679078004079E-03;TRUE;2.70679078004079E-03</v>
      </c>
      <c r="P224" s="22"/>
      <c r="Q224" s="44"/>
    </row>
    <row r="225" spans="1:17" x14ac:dyDescent="0.25">
      <c r="A225">
        <f t="shared" si="15"/>
        <v>20.291666666666664</v>
      </c>
      <c r="B225" t="s">
        <v>31</v>
      </c>
      <c r="C225" t="s">
        <v>7</v>
      </c>
      <c r="D225">
        <v>216</v>
      </c>
      <c r="E225">
        <f t="shared" si="17"/>
        <v>145</v>
      </c>
      <c r="F225" s="22">
        <f>STOWA2019_HUIDIG_W!$V30</f>
        <v>1.8126639536692624E-3</v>
      </c>
      <c r="G225" s="22" t="s">
        <v>33</v>
      </c>
      <c r="H225" s="22">
        <f>STOWA2019_HUIDIG_W!$V30</f>
        <v>1.8126639536692624E-3</v>
      </c>
      <c r="I225" t="str">
        <f t="shared" si="16"/>
        <v>HUIDIG;winter;216;145;1.81266395366926E-03;TRUE;1.81266395366926E-03</v>
      </c>
      <c r="P225" s="22"/>
      <c r="Q225" s="44"/>
    </row>
    <row r="226" spans="1:17" x14ac:dyDescent="0.25">
      <c r="A226">
        <f t="shared" si="15"/>
        <v>20.291666666666664</v>
      </c>
      <c r="B226" t="s">
        <v>31</v>
      </c>
      <c r="C226" t="s">
        <v>7</v>
      </c>
      <c r="D226">
        <v>216</v>
      </c>
      <c r="E226">
        <f t="shared" si="17"/>
        <v>150</v>
      </c>
      <c r="F226" s="22">
        <f>STOWA2019_HUIDIG_W!$V31</f>
        <v>1.2004917035403581E-3</v>
      </c>
      <c r="G226" s="22" t="s">
        <v>33</v>
      </c>
      <c r="H226" s="22">
        <f>STOWA2019_HUIDIG_W!$V31</f>
        <v>1.2004917035403581E-3</v>
      </c>
      <c r="I226" t="str">
        <f t="shared" si="16"/>
        <v>HUIDIG;winter;216;150;1.20049170354036E-03;TRUE;1.20049170354036E-03</v>
      </c>
      <c r="P226" s="22"/>
      <c r="Q226" s="44"/>
    </row>
    <row r="227" spans="1:17" x14ac:dyDescent="0.25">
      <c r="A227">
        <f t="shared" si="15"/>
        <v>20.291666666666664</v>
      </c>
      <c r="B227" t="s">
        <v>31</v>
      </c>
      <c r="C227" t="s">
        <v>7</v>
      </c>
      <c r="D227">
        <v>216</v>
      </c>
      <c r="E227">
        <f t="shared" si="17"/>
        <v>155</v>
      </c>
      <c r="F227" s="22">
        <f>STOWA2019_HUIDIG_W!$V32</f>
        <v>7.8578911378230482E-4</v>
      </c>
      <c r="G227" s="22" t="s">
        <v>33</v>
      </c>
      <c r="H227" s="22">
        <f>STOWA2019_HUIDIG_W!$V32</f>
        <v>7.8578911378230482E-4</v>
      </c>
      <c r="I227" t="str">
        <f t="shared" si="16"/>
        <v>HUIDIG;winter;216;155;7.85789113782305E-04;TRUE;7.85789113782305E-04</v>
      </c>
      <c r="P227" s="22"/>
      <c r="Q227" s="44"/>
    </row>
    <row r="228" spans="1:17" x14ac:dyDescent="0.25">
      <c r="A228">
        <f t="shared" si="15"/>
        <v>20.291666666666664</v>
      </c>
      <c r="B228" t="s">
        <v>31</v>
      </c>
      <c r="C228" t="s">
        <v>7</v>
      </c>
      <c r="D228">
        <v>216</v>
      </c>
      <c r="E228">
        <f t="shared" si="17"/>
        <v>160</v>
      </c>
      <c r="F228" s="22">
        <f>STOWA2019_HUIDIG_W!$V33</f>
        <v>1.3480395195433427E-3</v>
      </c>
      <c r="G228" s="22" t="s">
        <v>33</v>
      </c>
      <c r="H228" s="22">
        <f>STOWA2019_HUIDIG_W!$V33</f>
        <v>1.3480395195433427E-3</v>
      </c>
      <c r="I228" t="str">
        <f t="shared" si="16"/>
        <v>HUIDIG;winter;216;160;1.34803951954334E-03;TRUE;1.34803951954334E-03</v>
      </c>
      <c r="P228" s="22"/>
      <c r="Q228" s="44"/>
    </row>
    <row r="229" spans="1:17" x14ac:dyDescent="0.25">
      <c r="A229">
        <f t="shared" si="15"/>
        <v>182.625</v>
      </c>
      <c r="B229" t="s">
        <v>18</v>
      </c>
      <c r="C229" t="s">
        <v>11</v>
      </c>
      <c r="D229">
        <v>24</v>
      </c>
      <c r="E229">
        <v>15</v>
      </c>
      <c r="F229" s="22">
        <f>STOWA2015_2030_Z!$F4</f>
        <v>356.82937532653443</v>
      </c>
      <c r="G229" s="22" t="s">
        <v>33</v>
      </c>
      <c r="H229" s="22">
        <f>STOWA2015_2030_Z!$F4</f>
        <v>356.82937532653443</v>
      </c>
      <c r="I229" t="str">
        <f t="shared" si="16"/>
        <v>KL2030;zomer;24;15;356.829375326534;TRUE;356.829375326534</v>
      </c>
      <c r="J229" s="22"/>
      <c r="K229" s="22"/>
      <c r="L229" s="22"/>
      <c r="M229" s="22"/>
      <c r="N229" s="22"/>
      <c r="O229" s="22"/>
      <c r="P229" s="22"/>
      <c r="Q229" s="44"/>
    </row>
    <row r="230" spans="1:17" x14ac:dyDescent="0.25">
      <c r="A230">
        <f t="shared" si="15"/>
        <v>182.625</v>
      </c>
      <c r="B230" t="s">
        <v>18</v>
      </c>
      <c r="C230" t="s">
        <v>11</v>
      </c>
      <c r="D230">
        <v>24</v>
      </c>
      <c r="E230">
        <f>E229+5</f>
        <v>20</v>
      </c>
      <c r="F230" s="22">
        <f>STOWA2015_2030_Z!$F5</f>
        <v>3.8697210628245973</v>
      </c>
      <c r="G230" s="22" t="s">
        <v>33</v>
      </c>
      <c r="H230" s="22">
        <f>STOWA2015_2030_Z!$F5</f>
        <v>3.8697210628245973</v>
      </c>
      <c r="I230" t="str">
        <f t="shared" si="16"/>
        <v>KL2030;zomer;24;20;3.8697210628246;TRUE;3.8697210628246</v>
      </c>
    </row>
    <row r="231" spans="1:17" x14ac:dyDescent="0.25">
      <c r="A231">
        <f t="shared" si="15"/>
        <v>182.625</v>
      </c>
      <c r="B231" t="s">
        <v>18</v>
      </c>
      <c r="C231" t="s">
        <v>11</v>
      </c>
      <c r="D231">
        <v>24</v>
      </c>
      <c r="E231">
        <f t="shared" ref="E231:E247" si="18">E230+5</f>
        <v>25</v>
      </c>
      <c r="F231" s="22">
        <f>STOWA2015_2030_Z!$F6</f>
        <v>2.0254368019200317</v>
      </c>
      <c r="G231" s="22" t="s">
        <v>33</v>
      </c>
      <c r="H231" s="22">
        <f>STOWA2015_2030_Z!$F6</f>
        <v>2.0254368019200317</v>
      </c>
      <c r="I231" t="str">
        <f t="shared" si="16"/>
        <v>KL2030;zomer;24;25;2.02543680192003;TRUE;2.02543680192003</v>
      </c>
    </row>
    <row r="232" spans="1:17" x14ac:dyDescent="0.25">
      <c r="A232">
        <f t="shared" si="15"/>
        <v>182.625</v>
      </c>
      <c r="B232" t="s">
        <v>18</v>
      </c>
      <c r="C232" t="s">
        <v>11</v>
      </c>
      <c r="D232">
        <v>24</v>
      </c>
      <c r="E232">
        <f t="shared" si="18"/>
        <v>30</v>
      </c>
      <c r="F232" s="22">
        <f>STOWA2015_2030_Z!$F7</f>
        <v>1.0895513462244726</v>
      </c>
      <c r="G232" s="22" t="s">
        <v>33</v>
      </c>
      <c r="H232" s="22">
        <f>STOWA2015_2030_Z!$F7</f>
        <v>1.0895513462244726</v>
      </c>
      <c r="I232" t="str">
        <f t="shared" si="16"/>
        <v>KL2030;zomer;24;30;1.08955134622447;TRUE;1.08955134622447</v>
      </c>
    </row>
    <row r="233" spans="1:17" x14ac:dyDescent="0.25">
      <c r="A233">
        <f t="shared" si="15"/>
        <v>182.625</v>
      </c>
      <c r="B233" t="s">
        <v>18</v>
      </c>
      <c r="C233" t="s">
        <v>11</v>
      </c>
      <c r="D233">
        <v>24</v>
      </c>
      <c r="E233">
        <f t="shared" si="18"/>
        <v>35</v>
      </c>
      <c r="F233" s="22">
        <f>STOWA2015_2030_Z!$F8</f>
        <v>0.60103497872953082</v>
      </c>
      <c r="G233" s="22" t="s">
        <v>33</v>
      </c>
      <c r="H233" s="22">
        <f>STOWA2015_2030_Z!$F8</f>
        <v>0.60103497872953082</v>
      </c>
      <c r="I233" t="str">
        <f t="shared" si="16"/>
        <v>KL2030;zomer;24;35;0.601034978729531;TRUE;0.601034978729531</v>
      </c>
    </row>
    <row r="234" spans="1:17" x14ac:dyDescent="0.25">
      <c r="A234">
        <f t="shared" si="15"/>
        <v>182.625</v>
      </c>
      <c r="B234" t="s">
        <v>18</v>
      </c>
      <c r="C234" t="s">
        <v>11</v>
      </c>
      <c r="D234">
        <v>24</v>
      </c>
      <c r="E234">
        <f t="shared" si="18"/>
        <v>40</v>
      </c>
      <c r="F234" s="22">
        <f>STOWA2015_2030_Z!$F9</f>
        <v>0.33932938447541483</v>
      </c>
      <c r="G234" s="22" t="s">
        <v>33</v>
      </c>
      <c r="H234" s="22">
        <f>STOWA2015_2030_Z!$F9</f>
        <v>0.33932938447541483</v>
      </c>
      <c r="I234" t="str">
        <f t="shared" si="16"/>
        <v>KL2030;zomer;24;40;0.339329384475415;TRUE;0.339329384475415</v>
      </c>
    </row>
    <row r="235" spans="1:17" x14ac:dyDescent="0.25">
      <c r="A235">
        <f t="shared" si="15"/>
        <v>182.625</v>
      </c>
      <c r="B235" t="s">
        <v>18</v>
      </c>
      <c r="C235" t="s">
        <v>11</v>
      </c>
      <c r="D235">
        <v>24</v>
      </c>
      <c r="E235">
        <f t="shared" si="18"/>
        <v>45</v>
      </c>
      <c r="F235" s="22">
        <f>STOWA2015_2030_Z!$F10</f>
        <v>0.19572933525532854</v>
      </c>
      <c r="G235" s="22" t="s">
        <v>33</v>
      </c>
      <c r="H235" s="22">
        <f>STOWA2015_2030_Z!$F10</f>
        <v>0.19572933525532854</v>
      </c>
      <c r="I235" t="str">
        <f t="shared" si="16"/>
        <v>KL2030;zomer;24;45;0.195729335255329;TRUE;0.195729335255329</v>
      </c>
    </row>
    <row r="236" spans="1:17" x14ac:dyDescent="0.25">
      <c r="A236">
        <f t="shared" si="15"/>
        <v>182.625</v>
      </c>
      <c r="B236" t="s">
        <v>18</v>
      </c>
      <c r="C236" t="s">
        <v>11</v>
      </c>
      <c r="D236">
        <v>24</v>
      </c>
      <c r="E236">
        <f t="shared" si="18"/>
        <v>50</v>
      </c>
      <c r="F236" s="22">
        <f>STOWA2015_2030_Z!$F11</f>
        <v>0.11516713304620932</v>
      </c>
      <c r="G236" s="22" t="s">
        <v>33</v>
      </c>
      <c r="H236" s="22">
        <f>STOWA2015_2030_Z!$F11</f>
        <v>0.11516713304620932</v>
      </c>
      <c r="I236" t="str">
        <f t="shared" si="16"/>
        <v>KL2030;zomer;24;50;0.115167133046209;TRUE;0.115167133046209</v>
      </c>
    </row>
    <row r="237" spans="1:17" x14ac:dyDescent="0.25">
      <c r="A237">
        <f t="shared" si="15"/>
        <v>182.625</v>
      </c>
      <c r="B237" t="s">
        <v>18</v>
      </c>
      <c r="C237" t="s">
        <v>11</v>
      </c>
      <c r="D237">
        <v>24</v>
      </c>
      <c r="E237">
        <f t="shared" si="18"/>
        <v>55</v>
      </c>
      <c r="F237" s="22">
        <f>STOWA2015_2030_Z!$F12</f>
        <v>6.9029649098886092E-2</v>
      </c>
      <c r="G237" s="22" t="s">
        <v>33</v>
      </c>
      <c r="H237" s="22">
        <f>STOWA2015_2030_Z!$F12</f>
        <v>6.9029649098886092E-2</v>
      </c>
      <c r="I237" t="str">
        <f t="shared" si="16"/>
        <v>KL2030;zomer;24;55;6.90296490988861E-02;TRUE;6.90296490988861E-02</v>
      </c>
    </row>
    <row r="238" spans="1:17" x14ac:dyDescent="0.25">
      <c r="A238">
        <f t="shared" si="15"/>
        <v>182.625</v>
      </c>
      <c r="B238" t="s">
        <v>18</v>
      </c>
      <c r="C238" t="s">
        <v>11</v>
      </c>
      <c r="D238">
        <v>24</v>
      </c>
      <c r="E238">
        <f t="shared" si="18"/>
        <v>60</v>
      </c>
      <c r="F238" s="22">
        <f>STOWA2015_2030_Z!$F13</f>
        <v>4.2095414111134086E-2</v>
      </c>
      <c r="G238" s="22" t="s">
        <v>33</v>
      </c>
      <c r="H238" s="22">
        <f>STOWA2015_2030_Z!$F13</f>
        <v>4.2095414111134086E-2</v>
      </c>
      <c r="I238" t="str">
        <f t="shared" si="16"/>
        <v>KL2030;zomer;24;60;4.20954141111341E-02;TRUE;4.20954141111341E-02</v>
      </c>
    </row>
    <row r="239" spans="1:17" x14ac:dyDescent="0.25">
      <c r="A239">
        <f t="shared" si="15"/>
        <v>182.625</v>
      </c>
      <c r="B239" t="s">
        <v>18</v>
      </c>
      <c r="C239" t="s">
        <v>11</v>
      </c>
      <c r="D239">
        <v>24</v>
      </c>
      <c r="E239">
        <f t="shared" si="18"/>
        <v>65</v>
      </c>
      <c r="F239" s="22">
        <f>STOWA2015_2030_Z!$F14</f>
        <v>2.6087752832198004E-2</v>
      </c>
      <c r="G239" s="22" t="s">
        <v>33</v>
      </c>
      <c r="H239" s="22">
        <f>STOWA2015_2030_Z!$F14</f>
        <v>2.6087752832198004E-2</v>
      </c>
      <c r="I239" t="str">
        <f t="shared" si="16"/>
        <v>KL2030;zomer;24;65;0.026087752832198;TRUE;0.026087752832198</v>
      </c>
    </row>
    <row r="240" spans="1:17" x14ac:dyDescent="0.25">
      <c r="A240">
        <f t="shared" si="15"/>
        <v>182.625</v>
      </c>
      <c r="B240" t="s">
        <v>18</v>
      </c>
      <c r="C240" t="s">
        <v>11</v>
      </c>
      <c r="D240">
        <v>24</v>
      </c>
      <c r="E240">
        <f t="shared" si="18"/>
        <v>70</v>
      </c>
      <c r="F240" s="22">
        <f>STOWA2015_2030_Z!$F15</f>
        <v>1.6413399623282351E-2</v>
      </c>
      <c r="G240" s="22" t="s">
        <v>33</v>
      </c>
      <c r="H240" s="22">
        <f>STOWA2015_2030_Z!$F15</f>
        <v>1.6413399623282351E-2</v>
      </c>
      <c r="I240" t="str">
        <f t="shared" si="16"/>
        <v>KL2030;zomer;24;70;1.64133996232824E-02;TRUE;1.64133996232824E-02</v>
      </c>
    </row>
    <row r="241" spans="1:9" x14ac:dyDescent="0.25">
      <c r="A241">
        <f t="shared" si="15"/>
        <v>182.625</v>
      </c>
      <c r="B241" t="s">
        <v>18</v>
      </c>
      <c r="C241" t="s">
        <v>11</v>
      </c>
      <c r="D241">
        <v>24</v>
      </c>
      <c r="E241">
        <f t="shared" si="18"/>
        <v>75</v>
      </c>
      <c r="F241" s="22">
        <f>STOWA2015_2030_Z!$F16</f>
        <v>1.0474140248597864E-2</v>
      </c>
      <c r="G241" s="22" t="s">
        <v>33</v>
      </c>
      <c r="H241" s="22">
        <f>STOWA2015_2030_Z!$F16</f>
        <v>1.0474140248597864E-2</v>
      </c>
      <c r="I241" t="str">
        <f t="shared" si="16"/>
        <v>KL2030;zomer;24;75;1.04741402485979E-02;TRUE;1.04741402485979E-02</v>
      </c>
    </row>
    <row r="242" spans="1:9" x14ac:dyDescent="0.25">
      <c r="A242">
        <f t="shared" si="15"/>
        <v>182.625</v>
      </c>
      <c r="B242" t="s">
        <v>18</v>
      </c>
      <c r="C242" t="s">
        <v>11</v>
      </c>
      <c r="D242">
        <v>24</v>
      </c>
      <c r="E242">
        <f t="shared" si="18"/>
        <v>80</v>
      </c>
      <c r="F242" s="22">
        <f>STOWA2015_2030_Z!$F17</f>
        <v>6.7737642092811131E-3</v>
      </c>
      <c r="G242" s="22" t="s">
        <v>33</v>
      </c>
      <c r="H242" s="22">
        <f>STOWA2015_2030_Z!$F17</f>
        <v>6.7737642092811131E-3</v>
      </c>
      <c r="I242" t="str">
        <f t="shared" si="16"/>
        <v>KL2030;zomer;24;80;6.77376420928111E-03;TRUE;6.77376420928111E-03</v>
      </c>
    </row>
    <row r="243" spans="1:9" x14ac:dyDescent="0.25">
      <c r="A243">
        <f t="shared" si="15"/>
        <v>182.625</v>
      </c>
      <c r="B243" t="s">
        <v>18</v>
      </c>
      <c r="C243" t="s">
        <v>11</v>
      </c>
      <c r="D243">
        <v>24</v>
      </c>
      <c r="E243">
        <f t="shared" si="18"/>
        <v>85</v>
      </c>
      <c r="F243" s="22">
        <f>STOWA2015_2030_Z!$F18</f>
        <v>4.4360786589443361E-3</v>
      </c>
      <c r="G243" s="22" t="s">
        <v>33</v>
      </c>
      <c r="H243" s="22">
        <f>STOWA2015_2030_Z!$F18</f>
        <v>4.4360786589443361E-3</v>
      </c>
      <c r="I243" t="str">
        <f t="shared" si="16"/>
        <v>KL2030;zomer;24;85;4.43607865894434E-03;TRUE;4.43607865894434E-03</v>
      </c>
    </row>
    <row r="244" spans="1:9" x14ac:dyDescent="0.25">
      <c r="A244">
        <f t="shared" si="15"/>
        <v>182.625</v>
      </c>
      <c r="B244" t="s">
        <v>18</v>
      </c>
      <c r="C244" t="s">
        <v>11</v>
      </c>
      <c r="D244">
        <v>24</v>
      </c>
      <c r="E244">
        <f t="shared" si="18"/>
        <v>90</v>
      </c>
      <c r="F244" s="22">
        <f>STOWA2015_2030_Z!$F19</f>
        <v>2.9398127704453898E-3</v>
      </c>
      <c r="G244" s="22" t="s">
        <v>33</v>
      </c>
      <c r="H244" s="22">
        <f>STOWA2015_2030_Z!$F19</f>
        <v>2.9398127704453898E-3</v>
      </c>
      <c r="I244" t="str">
        <f t="shared" si="16"/>
        <v>KL2030;zomer;24;90;2.93981277044539E-03;TRUE;2.93981277044539E-03</v>
      </c>
    </row>
    <row r="245" spans="1:9" x14ac:dyDescent="0.25">
      <c r="A245">
        <f t="shared" si="15"/>
        <v>182.625</v>
      </c>
      <c r="B245" t="s">
        <v>18</v>
      </c>
      <c r="C245" t="s">
        <v>11</v>
      </c>
      <c r="D245">
        <v>24</v>
      </c>
      <c r="E245">
        <f t="shared" si="18"/>
        <v>95</v>
      </c>
      <c r="F245" s="22">
        <f>STOWA2015_2030_Z!$F20</f>
        <v>1.9701997787932371E-3</v>
      </c>
      <c r="G245" s="22" t="s">
        <v>33</v>
      </c>
      <c r="H245" s="22">
        <f>STOWA2015_2030_Z!$F20</f>
        <v>1.9701997787932371E-3</v>
      </c>
      <c r="I245" t="str">
        <f t="shared" si="16"/>
        <v>KL2030;zomer;24;95;1.97019977879324E-03;TRUE;1.97019977879324E-03</v>
      </c>
    </row>
    <row r="246" spans="1:9" x14ac:dyDescent="0.25">
      <c r="A246">
        <f t="shared" si="15"/>
        <v>182.625</v>
      </c>
      <c r="B246" t="s">
        <v>18</v>
      </c>
      <c r="C246" t="s">
        <v>11</v>
      </c>
      <c r="D246">
        <v>24</v>
      </c>
      <c r="E246">
        <f t="shared" si="18"/>
        <v>100</v>
      </c>
      <c r="F246" s="22">
        <f>STOWA2015_2030_Z!$F21</f>
        <v>1.3344808010103582E-3</v>
      </c>
      <c r="G246" s="22" t="s">
        <v>33</v>
      </c>
      <c r="H246" s="22">
        <f>STOWA2015_2030_Z!$F21</f>
        <v>1.3344808010103582E-3</v>
      </c>
      <c r="I246" t="str">
        <f t="shared" si="16"/>
        <v>KL2030;zomer;24;100;1.33448080101036E-03;TRUE;1.33448080101036E-03</v>
      </c>
    </row>
    <row r="247" spans="1:9" x14ac:dyDescent="0.25">
      <c r="A247">
        <f t="shared" si="15"/>
        <v>182.625</v>
      </c>
      <c r="B247" t="s">
        <v>18</v>
      </c>
      <c r="C247" t="s">
        <v>11</v>
      </c>
      <c r="D247">
        <v>24</v>
      </c>
      <c r="E247">
        <f t="shared" si="18"/>
        <v>105</v>
      </c>
      <c r="F247" s="22">
        <f>STOWA2015_2030_Z!$F22</f>
        <v>3.0999388574188265E-3</v>
      </c>
      <c r="G247" s="22" t="s">
        <v>33</v>
      </c>
      <c r="H247" s="22">
        <f>STOWA2015_2030_Z!$F22</f>
        <v>3.0999388574188265E-3</v>
      </c>
      <c r="I247" t="str">
        <f t="shared" si="16"/>
        <v>KL2030;zomer;24;105;3.09993885741883E-03;TRUE;3.09993885741883E-03</v>
      </c>
    </row>
    <row r="248" spans="1:9" x14ac:dyDescent="0.25">
      <c r="A248">
        <f t="shared" si="15"/>
        <v>91.3125</v>
      </c>
      <c r="B248" t="s">
        <v>18</v>
      </c>
      <c r="C248" t="s">
        <v>11</v>
      </c>
      <c r="D248">
        <v>48</v>
      </c>
      <c r="E248">
        <v>15</v>
      </c>
      <c r="F248" s="22">
        <f>STOWA2015_2030_Z!$J4</f>
        <v>168.83354258377875</v>
      </c>
      <c r="G248" s="22" t="s">
        <v>33</v>
      </c>
      <c r="H248" s="22">
        <f>STOWA2015_2030_Z!$J4</f>
        <v>168.83354258377875</v>
      </c>
      <c r="I248" t="str">
        <f t="shared" si="16"/>
        <v>KL2030;zomer;48;15;168.833542583779;TRUE;168.833542583779</v>
      </c>
    </row>
    <row r="249" spans="1:9" x14ac:dyDescent="0.25">
      <c r="A249">
        <f t="shared" si="15"/>
        <v>91.3125</v>
      </c>
      <c r="B249" t="s">
        <v>18</v>
      </c>
      <c r="C249" t="s">
        <v>11</v>
      </c>
      <c r="D249">
        <v>48</v>
      </c>
      <c r="E249">
        <f>E248+5</f>
        <v>20</v>
      </c>
      <c r="F249" s="22">
        <f>STOWA2015_2030_Z!$J5</f>
        <v>5.5626532199941749</v>
      </c>
      <c r="G249" s="22" t="s">
        <v>33</v>
      </c>
      <c r="H249" s="22">
        <f>STOWA2015_2030_Z!$J5</f>
        <v>5.5626532199941749</v>
      </c>
      <c r="I249" t="str">
        <f t="shared" si="16"/>
        <v>KL2030;zomer;48;20;5.56265321999417;TRUE;5.56265321999417</v>
      </c>
    </row>
    <row r="250" spans="1:9" x14ac:dyDescent="0.25">
      <c r="A250">
        <f t="shared" si="15"/>
        <v>91.3125</v>
      </c>
      <c r="B250" t="s">
        <v>18</v>
      </c>
      <c r="C250" t="s">
        <v>11</v>
      </c>
      <c r="D250">
        <v>48</v>
      </c>
      <c r="E250">
        <f t="shared" ref="E250:E267" si="19">E249+5</f>
        <v>25</v>
      </c>
      <c r="F250" s="22">
        <f>STOWA2015_2030_Z!$J6</f>
        <v>3.2472236347672849</v>
      </c>
      <c r="G250" s="22" t="s">
        <v>33</v>
      </c>
      <c r="H250" s="22">
        <f>STOWA2015_2030_Z!$J6</f>
        <v>3.2472236347672849</v>
      </c>
      <c r="I250" t="str">
        <f t="shared" si="16"/>
        <v>KL2030;zomer;48;25;3.24722363476728;TRUE;3.24722363476728</v>
      </c>
    </row>
    <row r="251" spans="1:9" x14ac:dyDescent="0.25">
      <c r="A251">
        <f t="shared" si="15"/>
        <v>91.3125</v>
      </c>
      <c r="B251" t="s">
        <v>18</v>
      </c>
      <c r="C251" t="s">
        <v>11</v>
      </c>
      <c r="D251">
        <v>48</v>
      </c>
      <c r="E251">
        <f t="shared" si="19"/>
        <v>30</v>
      </c>
      <c r="F251" s="22">
        <f>STOWA2015_2030_Z!$J7</f>
        <v>1.9241490210633194</v>
      </c>
      <c r="G251" s="22" t="s">
        <v>33</v>
      </c>
      <c r="H251" s="22">
        <f>STOWA2015_2030_Z!$J7</f>
        <v>1.9241490210633194</v>
      </c>
      <c r="I251" t="str">
        <f t="shared" si="16"/>
        <v>KL2030;zomer;48;30;1.92414902106332;TRUE;1.92414902106332</v>
      </c>
    </row>
    <row r="252" spans="1:9" x14ac:dyDescent="0.25">
      <c r="A252">
        <f t="shared" si="15"/>
        <v>91.3125</v>
      </c>
      <c r="B252" t="s">
        <v>18</v>
      </c>
      <c r="C252" t="s">
        <v>11</v>
      </c>
      <c r="D252">
        <v>48</v>
      </c>
      <c r="E252">
        <f t="shared" si="19"/>
        <v>35</v>
      </c>
      <c r="F252" s="22">
        <f>STOWA2015_2030_Z!$J8</f>
        <v>1.1564045110147587</v>
      </c>
      <c r="G252" s="22" t="s">
        <v>33</v>
      </c>
      <c r="H252" s="22">
        <f>STOWA2015_2030_Z!$J8</f>
        <v>1.1564045110147587</v>
      </c>
      <c r="I252" t="str">
        <f t="shared" si="16"/>
        <v>KL2030;zomer;48;35;1.15640451101476;TRUE;1.15640451101476</v>
      </c>
    </row>
    <row r="253" spans="1:9" x14ac:dyDescent="0.25">
      <c r="A253">
        <f t="shared" si="15"/>
        <v>91.3125</v>
      </c>
      <c r="B253" t="s">
        <v>18</v>
      </c>
      <c r="C253" t="s">
        <v>11</v>
      </c>
      <c r="D253">
        <v>48</v>
      </c>
      <c r="E253">
        <f t="shared" si="19"/>
        <v>40</v>
      </c>
      <c r="F253" s="22">
        <f>STOWA2015_2030_Z!$J9</f>
        <v>0.70437111478826431</v>
      </c>
      <c r="G253" s="22" t="s">
        <v>33</v>
      </c>
      <c r="H253" s="22">
        <f>STOWA2015_2030_Z!$J9</f>
        <v>0.70437111478826431</v>
      </c>
      <c r="I253" t="str">
        <f t="shared" si="16"/>
        <v>KL2030;zomer;48;40;0.704371114788264;TRUE;0.704371114788264</v>
      </c>
    </row>
    <row r="254" spans="1:9" x14ac:dyDescent="0.25">
      <c r="A254">
        <f t="shared" si="15"/>
        <v>91.3125</v>
      </c>
      <c r="B254" t="s">
        <v>18</v>
      </c>
      <c r="C254" t="s">
        <v>11</v>
      </c>
      <c r="D254">
        <v>48</v>
      </c>
      <c r="E254">
        <f t="shared" si="19"/>
        <v>45</v>
      </c>
      <c r="F254" s="22">
        <f>STOWA2015_2030_Z!$J10</f>
        <v>0.43452531505747849</v>
      </c>
      <c r="G254" s="22" t="s">
        <v>33</v>
      </c>
      <c r="H254" s="22">
        <f>STOWA2015_2030_Z!$J10</f>
        <v>0.43452531505747849</v>
      </c>
      <c r="I254" t="str">
        <f t="shared" si="16"/>
        <v>KL2030;zomer;48;45;0.434525315057478;TRUE;0.434525315057478</v>
      </c>
    </row>
    <row r="255" spans="1:9" x14ac:dyDescent="0.25">
      <c r="A255">
        <f t="shared" si="15"/>
        <v>91.3125</v>
      </c>
      <c r="B255" t="s">
        <v>18</v>
      </c>
      <c r="C255" t="s">
        <v>11</v>
      </c>
      <c r="D255">
        <v>48</v>
      </c>
      <c r="E255">
        <f t="shared" si="19"/>
        <v>50</v>
      </c>
      <c r="F255" s="22">
        <f>STOWA2015_2030_Z!$J11</f>
        <v>0.27131510955658872</v>
      </c>
      <c r="G255" s="22" t="s">
        <v>33</v>
      </c>
      <c r="H255" s="22">
        <f>STOWA2015_2030_Z!$J11</f>
        <v>0.27131510955658872</v>
      </c>
      <c r="I255" t="str">
        <f t="shared" si="16"/>
        <v>KL2030;zomer;48;50;0.271315109556589;TRUE;0.271315109556589</v>
      </c>
    </row>
    <row r="256" spans="1:9" x14ac:dyDescent="0.25">
      <c r="A256">
        <f t="shared" si="15"/>
        <v>91.3125</v>
      </c>
      <c r="B256" t="s">
        <v>18</v>
      </c>
      <c r="C256" t="s">
        <v>11</v>
      </c>
      <c r="D256">
        <v>48</v>
      </c>
      <c r="E256">
        <f t="shared" si="19"/>
        <v>55</v>
      </c>
      <c r="F256" s="22">
        <f>STOWA2015_2030_Z!$J12</f>
        <v>0.17136497747962981</v>
      </c>
      <c r="G256" s="22" t="s">
        <v>33</v>
      </c>
      <c r="H256" s="22">
        <f>STOWA2015_2030_Z!$J12</f>
        <v>0.17136497747962981</v>
      </c>
      <c r="I256" t="str">
        <f t="shared" si="16"/>
        <v>KL2030;zomer;48;55;0.17136497747963;TRUE;0.17136497747963</v>
      </c>
    </row>
    <row r="257" spans="1:9" x14ac:dyDescent="0.25">
      <c r="A257">
        <f t="shared" si="15"/>
        <v>91.3125</v>
      </c>
      <c r="B257" t="s">
        <v>18</v>
      </c>
      <c r="C257" t="s">
        <v>11</v>
      </c>
      <c r="D257">
        <v>48</v>
      </c>
      <c r="E257">
        <f t="shared" si="19"/>
        <v>60</v>
      </c>
      <c r="F257" s="22">
        <f>STOWA2015_2030_Z!$J13</f>
        <v>0.10942625100419962</v>
      </c>
      <c r="G257" s="22" t="s">
        <v>33</v>
      </c>
      <c r="H257" s="22">
        <f>STOWA2015_2030_Z!$J13</f>
        <v>0.10942625100419962</v>
      </c>
      <c r="I257" t="str">
        <f t="shared" si="16"/>
        <v>KL2030;zomer;48;60;0.1094262510042;TRUE;0.1094262510042</v>
      </c>
    </row>
    <row r="258" spans="1:9" x14ac:dyDescent="0.25">
      <c r="A258">
        <f t="shared" ref="A258:A321" si="20">IF(C258="zomer",24/D258*365.25 * 6/12,24/D258*365.25 * 6/12)</f>
        <v>91.3125</v>
      </c>
      <c r="B258" t="s">
        <v>18</v>
      </c>
      <c r="C258" t="s">
        <v>11</v>
      </c>
      <c r="D258">
        <v>48</v>
      </c>
      <c r="E258">
        <f t="shared" si="19"/>
        <v>65</v>
      </c>
      <c r="F258" s="22">
        <f>STOWA2015_2030_Z!$J14</f>
        <v>7.0607548739670206E-2</v>
      </c>
      <c r="G258" s="22" t="s">
        <v>33</v>
      </c>
      <c r="H258" s="22">
        <f>STOWA2015_2030_Z!$J14</f>
        <v>7.0607548739670206E-2</v>
      </c>
      <c r="I258" t="str">
        <f t="shared" ref="I258:I321" si="21">CONCATENATEWITHDELIMITER(B258:H258,";")</f>
        <v>KL2030;zomer;48;65;7.06075487396702E-02;TRUE;7.06075487396702E-02</v>
      </c>
    </row>
    <row r="259" spans="1:9" x14ac:dyDescent="0.25">
      <c r="A259">
        <f t="shared" si="20"/>
        <v>91.3125</v>
      </c>
      <c r="B259" t="s">
        <v>18</v>
      </c>
      <c r="C259" t="s">
        <v>11</v>
      </c>
      <c r="D259">
        <v>48</v>
      </c>
      <c r="E259">
        <f t="shared" si="19"/>
        <v>70</v>
      </c>
      <c r="F259" s="22">
        <f>STOWA2015_2030_Z!$J15</f>
        <v>4.6015571198801355E-2</v>
      </c>
      <c r="G259" s="22" t="s">
        <v>33</v>
      </c>
      <c r="H259" s="22">
        <f>STOWA2015_2030_Z!$J15</f>
        <v>4.6015571198801355E-2</v>
      </c>
      <c r="I259" t="str">
        <f t="shared" si="21"/>
        <v>KL2030;zomer;48;70;4.60155711988014E-02;TRUE;4.60155711988014E-02</v>
      </c>
    </row>
    <row r="260" spans="1:9" x14ac:dyDescent="0.25">
      <c r="A260">
        <f t="shared" si="20"/>
        <v>91.3125</v>
      </c>
      <c r="B260" t="s">
        <v>18</v>
      </c>
      <c r="C260" t="s">
        <v>11</v>
      </c>
      <c r="D260">
        <v>48</v>
      </c>
      <c r="E260">
        <f t="shared" si="19"/>
        <v>75</v>
      </c>
      <c r="F260" s="22">
        <f>STOWA2015_2030_Z!$J16</f>
        <v>3.0275424282676724E-2</v>
      </c>
      <c r="G260" s="22" t="s">
        <v>33</v>
      </c>
      <c r="H260" s="22">
        <f>STOWA2015_2030_Z!$J16</f>
        <v>3.0275424282676724E-2</v>
      </c>
      <c r="I260" t="str">
        <f t="shared" si="21"/>
        <v>KL2030;zomer;48;75;3.02754242826767E-02;TRUE;3.02754242826767E-02</v>
      </c>
    </row>
    <row r="261" spans="1:9" x14ac:dyDescent="0.25">
      <c r="A261">
        <f t="shared" si="20"/>
        <v>91.3125</v>
      </c>
      <c r="B261" t="s">
        <v>18</v>
      </c>
      <c r="C261" t="s">
        <v>11</v>
      </c>
      <c r="D261">
        <v>48</v>
      </c>
      <c r="E261">
        <f t="shared" si="19"/>
        <v>80</v>
      </c>
      <c r="F261" s="22">
        <f>STOWA2015_2030_Z!$J17</f>
        <v>2.0101461232513392E-2</v>
      </c>
      <c r="G261" s="22" t="s">
        <v>33</v>
      </c>
      <c r="H261" s="22">
        <f>STOWA2015_2030_Z!$J17</f>
        <v>2.0101461232513392E-2</v>
      </c>
      <c r="I261" t="str">
        <f t="shared" si="21"/>
        <v>KL2030;zomer;48;80;2.01014612325134E-02;TRUE;2.01014612325134E-02</v>
      </c>
    </row>
    <row r="262" spans="1:9" x14ac:dyDescent="0.25">
      <c r="A262">
        <f t="shared" si="20"/>
        <v>91.3125</v>
      </c>
      <c r="B262" t="s">
        <v>18</v>
      </c>
      <c r="C262" t="s">
        <v>11</v>
      </c>
      <c r="D262">
        <v>48</v>
      </c>
      <c r="E262">
        <f t="shared" si="19"/>
        <v>85</v>
      </c>
      <c r="F262" s="22">
        <f>STOWA2015_2030_Z!$J18</f>
        <v>1.3463212860508649E-2</v>
      </c>
      <c r="G262" s="22" t="s">
        <v>33</v>
      </c>
      <c r="H262" s="22">
        <f>STOWA2015_2030_Z!$J18</f>
        <v>1.3463212860508649E-2</v>
      </c>
      <c r="I262" t="str">
        <f t="shared" si="21"/>
        <v>KL2030;zomer;48;85;1.34632128605086E-02;TRUE;1.34632128605086E-02</v>
      </c>
    </row>
    <row r="263" spans="1:9" x14ac:dyDescent="0.25">
      <c r="A263">
        <f t="shared" si="20"/>
        <v>91.3125</v>
      </c>
      <c r="B263" t="s">
        <v>18</v>
      </c>
      <c r="C263" t="s">
        <v>11</v>
      </c>
      <c r="D263">
        <v>48</v>
      </c>
      <c r="E263">
        <f t="shared" si="19"/>
        <v>90</v>
      </c>
      <c r="F263" s="22">
        <f>STOWA2015_2030_Z!$J19</f>
        <v>9.0927603240910683E-3</v>
      </c>
      <c r="G263" s="22" t="s">
        <v>33</v>
      </c>
      <c r="H263" s="22">
        <f>STOWA2015_2030_Z!$J19</f>
        <v>9.0927603240910683E-3</v>
      </c>
      <c r="I263" t="str">
        <f t="shared" si="21"/>
        <v>KL2030;zomer;48;90;9.09276032409107E-03;TRUE;9.09276032409107E-03</v>
      </c>
    </row>
    <row r="264" spans="1:9" x14ac:dyDescent="0.25">
      <c r="A264">
        <f t="shared" si="20"/>
        <v>91.3125</v>
      </c>
      <c r="B264" t="s">
        <v>18</v>
      </c>
      <c r="C264" t="s">
        <v>11</v>
      </c>
      <c r="D264">
        <v>48</v>
      </c>
      <c r="E264">
        <f t="shared" si="19"/>
        <v>95</v>
      </c>
      <c r="F264" s="22">
        <f>STOWA2015_2030_Z!$J20</f>
        <v>6.1904275872368946E-3</v>
      </c>
      <c r="G264" s="22" t="s">
        <v>33</v>
      </c>
      <c r="H264" s="22">
        <f>STOWA2015_2030_Z!$J20</f>
        <v>6.1904275872368946E-3</v>
      </c>
      <c r="I264" t="str">
        <f t="shared" si="21"/>
        <v>KL2030;zomer;48;95;6.19042758723689E-03;TRUE;6.19042758723689E-03</v>
      </c>
    </row>
    <row r="265" spans="1:9" x14ac:dyDescent="0.25">
      <c r="A265">
        <f t="shared" si="20"/>
        <v>91.3125</v>
      </c>
      <c r="B265" t="s">
        <v>18</v>
      </c>
      <c r="C265" t="s">
        <v>11</v>
      </c>
      <c r="D265">
        <v>48</v>
      </c>
      <c r="E265">
        <f t="shared" si="19"/>
        <v>100</v>
      </c>
      <c r="F265" s="22">
        <f>STOWA2015_2030_Z!$J21</f>
        <v>4.2470193972669081E-3</v>
      </c>
      <c r="G265" s="22" t="s">
        <v>33</v>
      </c>
      <c r="H265" s="22">
        <f>STOWA2015_2030_Z!$J21</f>
        <v>4.2470193972669081E-3</v>
      </c>
      <c r="I265" t="str">
        <f t="shared" si="21"/>
        <v>KL2030;zomer;48;100;4.24701939726691E-03;TRUE;4.24701939726691E-03</v>
      </c>
    </row>
    <row r="266" spans="1:9" x14ac:dyDescent="0.25">
      <c r="A266">
        <f t="shared" si="20"/>
        <v>91.3125</v>
      </c>
      <c r="B266" t="s">
        <v>18</v>
      </c>
      <c r="C266" t="s">
        <v>11</v>
      </c>
      <c r="D266">
        <v>48</v>
      </c>
      <c r="E266">
        <f t="shared" si="19"/>
        <v>105</v>
      </c>
      <c r="F266" s="22">
        <f>STOWA2015_2030_Z!$J22</f>
        <v>2.935320650919818E-3</v>
      </c>
      <c r="G266" s="22" t="s">
        <v>33</v>
      </c>
      <c r="H266" s="22">
        <f>STOWA2015_2030_Z!$J22</f>
        <v>2.935320650919818E-3</v>
      </c>
      <c r="I266" t="str">
        <f t="shared" si="21"/>
        <v>KL2030;zomer;48;105;2.93532065091982E-03;TRUE;2.93532065091982E-03</v>
      </c>
    </row>
    <row r="267" spans="1:9" x14ac:dyDescent="0.25">
      <c r="A267">
        <f t="shared" si="20"/>
        <v>91.3125</v>
      </c>
      <c r="B267" t="s">
        <v>18</v>
      </c>
      <c r="C267" t="s">
        <v>11</v>
      </c>
      <c r="D267">
        <v>48</v>
      </c>
      <c r="E267">
        <f t="shared" si="19"/>
        <v>110</v>
      </c>
      <c r="F267" s="22">
        <f>STOWA2015_2030_Z!$J23</f>
        <v>7.0955152218666849E-3</v>
      </c>
      <c r="G267" s="22" t="s">
        <v>33</v>
      </c>
      <c r="H267" s="22">
        <f>STOWA2015_2030_Z!$J23</f>
        <v>7.0955152218666849E-3</v>
      </c>
      <c r="I267" t="str">
        <f t="shared" si="21"/>
        <v>KL2030;zomer;48;110;7.09551522186668E-03;TRUE;7.09551522186668E-03</v>
      </c>
    </row>
    <row r="268" spans="1:9" x14ac:dyDescent="0.25">
      <c r="A268">
        <f t="shared" si="20"/>
        <v>45.65625</v>
      </c>
      <c r="B268" t="s">
        <v>18</v>
      </c>
      <c r="C268" t="s">
        <v>11</v>
      </c>
      <c r="D268">
        <v>96</v>
      </c>
      <c r="E268">
        <v>20</v>
      </c>
      <c r="F268" s="22">
        <f>STOWA2015_2030_Z!$N5</f>
        <v>78.810854145297441</v>
      </c>
      <c r="G268" s="22" t="s">
        <v>33</v>
      </c>
      <c r="H268" s="22">
        <f>STOWA2015_2030_Z!$N5</f>
        <v>78.810854145297441</v>
      </c>
      <c r="I268" t="str">
        <f t="shared" si="21"/>
        <v>KL2030;zomer;96;20;78.8108541452974;TRUE;78.8108541452974</v>
      </c>
    </row>
    <row r="269" spans="1:9" x14ac:dyDescent="0.25">
      <c r="A269">
        <f t="shared" si="20"/>
        <v>45.65625</v>
      </c>
      <c r="B269" t="s">
        <v>18</v>
      </c>
      <c r="C269" t="s">
        <v>11</v>
      </c>
      <c r="D269">
        <v>96</v>
      </c>
      <c r="E269">
        <f>E268+5</f>
        <v>25</v>
      </c>
      <c r="F269" s="22">
        <f>STOWA2015_2030_Z!$N6</f>
        <v>3.9358508047905225</v>
      </c>
      <c r="G269" s="22" t="s">
        <v>33</v>
      </c>
      <c r="H269" s="22">
        <f>STOWA2015_2030_Z!$N6</f>
        <v>3.9358508047905225</v>
      </c>
      <c r="I269" t="str">
        <f t="shared" si="21"/>
        <v>KL2030;zomer;96;25;3.93585080479052;TRUE;3.93585080479052</v>
      </c>
    </row>
    <row r="270" spans="1:9" x14ac:dyDescent="0.25">
      <c r="A270">
        <f t="shared" si="20"/>
        <v>45.65625</v>
      </c>
      <c r="B270" t="s">
        <v>18</v>
      </c>
      <c r="C270" t="s">
        <v>11</v>
      </c>
      <c r="D270">
        <v>96</v>
      </c>
      <c r="E270">
        <f t="shared" ref="E270:E288" si="22">E269+5</f>
        <v>30</v>
      </c>
      <c r="F270" s="22">
        <f>STOWA2015_2030_Z!$N7</f>
        <v>2.6784066042017134</v>
      </c>
      <c r="G270" s="22" t="s">
        <v>33</v>
      </c>
      <c r="H270" s="22">
        <f>STOWA2015_2030_Z!$N7</f>
        <v>2.6784066042017134</v>
      </c>
      <c r="I270" t="str">
        <f t="shared" si="21"/>
        <v>KL2030;zomer;96;30;2.67840660420171;TRUE;2.67840660420171</v>
      </c>
    </row>
    <row r="271" spans="1:9" x14ac:dyDescent="0.25">
      <c r="A271">
        <f t="shared" si="20"/>
        <v>45.65625</v>
      </c>
      <c r="B271" t="s">
        <v>18</v>
      </c>
      <c r="C271" t="s">
        <v>11</v>
      </c>
      <c r="D271">
        <v>96</v>
      </c>
      <c r="E271">
        <f t="shared" si="22"/>
        <v>35</v>
      </c>
      <c r="F271" s="22">
        <f>STOWA2015_2030_Z!$N8</f>
        <v>1.8284724447406449</v>
      </c>
      <c r="G271" s="22" t="s">
        <v>33</v>
      </c>
      <c r="H271" s="22">
        <f>STOWA2015_2030_Z!$N8</f>
        <v>1.8284724447406449</v>
      </c>
      <c r="I271" t="str">
        <f t="shared" si="21"/>
        <v>KL2030;zomer;96;35;1.82847244474064;TRUE;1.82847244474064</v>
      </c>
    </row>
    <row r="272" spans="1:9" x14ac:dyDescent="0.25">
      <c r="A272">
        <f t="shared" si="20"/>
        <v>45.65625</v>
      </c>
      <c r="B272" t="s">
        <v>18</v>
      </c>
      <c r="C272" t="s">
        <v>11</v>
      </c>
      <c r="D272">
        <v>96</v>
      </c>
      <c r="E272">
        <f t="shared" si="22"/>
        <v>40</v>
      </c>
      <c r="F272" s="22">
        <f>STOWA2015_2030_Z!$N9</f>
        <v>1.2521373066750914</v>
      </c>
      <c r="G272" s="22" t="s">
        <v>33</v>
      </c>
      <c r="H272" s="22">
        <f>STOWA2015_2030_Z!$N9</f>
        <v>1.2521373066750914</v>
      </c>
      <c r="I272" t="str">
        <f t="shared" si="21"/>
        <v>KL2030;zomer;96;40;1.25213730667509;TRUE;1.25213730667509</v>
      </c>
    </row>
    <row r="273" spans="1:9" x14ac:dyDescent="0.25">
      <c r="A273">
        <f t="shared" si="20"/>
        <v>45.65625</v>
      </c>
      <c r="B273" t="s">
        <v>18</v>
      </c>
      <c r="C273" t="s">
        <v>11</v>
      </c>
      <c r="D273">
        <v>96</v>
      </c>
      <c r="E273">
        <f t="shared" si="22"/>
        <v>45</v>
      </c>
      <c r="F273" s="22">
        <f>STOWA2015_2030_Z!$N10</f>
        <v>0.86009267138062429</v>
      </c>
      <c r="G273" s="22" t="s">
        <v>33</v>
      </c>
      <c r="H273" s="22">
        <f>STOWA2015_2030_Z!$N10</f>
        <v>0.86009267138062429</v>
      </c>
      <c r="I273" t="str">
        <f t="shared" si="21"/>
        <v>KL2030;zomer;96;45;0.860092671380624;TRUE;0.860092671380624</v>
      </c>
    </row>
    <row r="274" spans="1:9" x14ac:dyDescent="0.25">
      <c r="A274">
        <f t="shared" si="20"/>
        <v>45.65625</v>
      </c>
      <c r="B274" t="s">
        <v>18</v>
      </c>
      <c r="C274" t="s">
        <v>11</v>
      </c>
      <c r="D274">
        <v>96</v>
      </c>
      <c r="E274">
        <f t="shared" si="22"/>
        <v>50</v>
      </c>
      <c r="F274" s="22">
        <f>STOWA2015_2030_Z!$N11</f>
        <v>0.59257995381835049</v>
      </c>
      <c r="G274" s="22" t="s">
        <v>33</v>
      </c>
      <c r="H274" s="22">
        <f>STOWA2015_2030_Z!$N11</f>
        <v>0.59257995381835049</v>
      </c>
      <c r="I274" t="str">
        <f t="shared" si="21"/>
        <v>KL2030;zomer;96;50;0.59257995381835;TRUE;0.59257995381835</v>
      </c>
    </row>
    <row r="275" spans="1:9" x14ac:dyDescent="0.25">
      <c r="A275">
        <f t="shared" si="20"/>
        <v>45.65625</v>
      </c>
      <c r="B275" t="s">
        <v>18</v>
      </c>
      <c r="C275" t="s">
        <v>11</v>
      </c>
      <c r="D275">
        <v>96</v>
      </c>
      <c r="E275">
        <f t="shared" si="22"/>
        <v>55</v>
      </c>
      <c r="F275" s="22">
        <f>STOWA2015_2030_Z!$N12</f>
        <v>0.40948335330782804</v>
      </c>
      <c r="G275" s="22" t="s">
        <v>33</v>
      </c>
      <c r="H275" s="22">
        <f>STOWA2015_2030_Z!$N12</f>
        <v>0.40948335330782804</v>
      </c>
      <c r="I275" t="str">
        <f t="shared" si="21"/>
        <v>KL2030;zomer;96;55;0.409483353307828;TRUE;0.409483353307828</v>
      </c>
    </row>
    <row r="276" spans="1:9" x14ac:dyDescent="0.25">
      <c r="A276">
        <f t="shared" si="20"/>
        <v>45.65625</v>
      </c>
      <c r="B276" t="s">
        <v>18</v>
      </c>
      <c r="C276" t="s">
        <v>11</v>
      </c>
      <c r="D276">
        <v>96</v>
      </c>
      <c r="E276">
        <f t="shared" si="22"/>
        <v>60</v>
      </c>
      <c r="F276" s="22">
        <f>STOWA2015_2030_Z!$N13</f>
        <v>0.28378719587378409</v>
      </c>
      <c r="G276" s="22" t="s">
        <v>33</v>
      </c>
      <c r="H276" s="22">
        <f>STOWA2015_2030_Z!$N13</f>
        <v>0.28378719587378409</v>
      </c>
      <c r="I276" t="str">
        <f t="shared" si="21"/>
        <v>KL2030;zomer;96;60;0.283787195873784;TRUE;0.283787195873784</v>
      </c>
    </row>
    <row r="277" spans="1:9" x14ac:dyDescent="0.25">
      <c r="A277">
        <f t="shared" si="20"/>
        <v>45.65625</v>
      </c>
      <c r="B277" t="s">
        <v>18</v>
      </c>
      <c r="C277" t="s">
        <v>11</v>
      </c>
      <c r="D277">
        <v>96</v>
      </c>
      <c r="E277">
        <f t="shared" si="22"/>
        <v>65</v>
      </c>
      <c r="F277" s="22">
        <f>STOWA2015_2030_Z!$N14</f>
        <v>0.19724079047667242</v>
      </c>
      <c r="G277" s="22" t="s">
        <v>33</v>
      </c>
      <c r="H277" s="22">
        <f>STOWA2015_2030_Z!$N14</f>
        <v>0.19724079047667242</v>
      </c>
      <c r="I277" t="str">
        <f t="shared" si="21"/>
        <v>KL2030;zomer;96;65;0.197240790476672;TRUE;0.197240790476672</v>
      </c>
    </row>
    <row r="278" spans="1:9" x14ac:dyDescent="0.25">
      <c r="A278">
        <f t="shared" si="20"/>
        <v>45.65625</v>
      </c>
      <c r="B278" t="s">
        <v>18</v>
      </c>
      <c r="C278" t="s">
        <v>11</v>
      </c>
      <c r="D278">
        <v>96</v>
      </c>
      <c r="E278">
        <f t="shared" si="22"/>
        <v>70</v>
      </c>
      <c r="F278" s="22">
        <f>STOWA2015_2030_Z!$N15</f>
        <v>0.13747656396630897</v>
      </c>
      <c r="G278" s="22" t="s">
        <v>33</v>
      </c>
      <c r="H278" s="22">
        <f>STOWA2015_2030_Z!$N15</f>
        <v>0.13747656396630897</v>
      </c>
      <c r="I278" t="str">
        <f t="shared" si="21"/>
        <v>KL2030;zomer;96;70;0.137476563966309;TRUE;0.137476563966309</v>
      </c>
    </row>
    <row r="279" spans="1:9" x14ac:dyDescent="0.25">
      <c r="A279">
        <f t="shared" si="20"/>
        <v>45.65625</v>
      </c>
      <c r="B279" t="s">
        <v>18</v>
      </c>
      <c r="C279" t="s">
        <v>11</v>
      </c>
      <c r="D279">
        <v>96</v>
      </c>
      <c r="E279">
        <f t="shared" si="22"/>
        <v>75</v>
      </c>
      <c r="F279" s="22">
        <f>STOWA2015_2030_Z!$N16</f>
        <v>9.6088110771860552E-2</v>
      </c>
      <c r="G279" s="22" t="s">
        <v>33</v>
      </c>
      <c r="H279" s="22">
        <f>STOWA2015_2030_Z!$N16</f>
        <v>9.6088110771860552E-2</v>
      </c>
      <c r="I279" t="str">
        <f t="shared" si="21"/>
        <v>KL2030;zomer;96;75;9.60881107718606E-02;TRUE;9.60881107718606E-02</v>
      </c>
    </row>
    <row r="280" spans="1:9" x14ac:dyDescent="0.25">
      <c r="A280">
        <f t="shared" si="20"/>
        <v>45.65625</v>
      </c>
      <c r="B280" t="s">
        <v>18</v>
      </c>
      <c r="C280" t="s">
        <v>11</v>
      </c>
      <c r="D280">
        <v>96</v>
      </c>
      <c r="E280">
        <f t="shared" si="22"/>
        <v>80</v>
      </c>
      <c r="F280" s="22">
        <f>STOWA2015_2030_Z!$N17</f>
        <v>6.7344352298911725E-2</v>
      </c>
      <c r="G280" s="22" t="s">
        <v>33</v>
      </c>
      <c r="H280" s="22">
        <f>STOWA2015_2030_Z!$N17</f>
        <v>6.7344352298911725E-2</v>
      </c>
      <c r="I280" t="str">
        <f t="shared" si="21"/>
        <v>KL2030;zomer;96;80;6.73443522989117E-02;TRUE;6.73443522989117E-02</v>
      </c>
    </row>
    <row r="281" spans="1:9" x14ac:dyDescent="0.25">
      <c r="A281">
        <f t="shared" si="20"/>
        <v>45.65625</v>
      </c>
      <c r="B281" t="s">
        <v>18</v>
      </c>
      <c r="C281" t="s">
        <v>11</v>
      </c>
      <c r="D281">
        <v>96</v>
      </c>
      <c r="E281">
        <f t="shared" si="22"/>
        <v>85</v>
      </c>
      <c r="F281" s="22">
        <f>STOWA2015_2030_Z!$N18</f>
        <v>4.7326583865192742E-2</v>
      </c>
      <c r="G281" s="22" t="s">
        <v>33</v>
      </c>
      <c r="H281" s="22">
        <f>STOWA2015_2030_Z!$N18</f>
        <v>4.7326583865192742E-2</v>
      </c>
      <c r="I281" t="str">
        <f t="shared" si="21"/>
        <v>KL2030;zomer;96;85;4.73265838651927E-02;TRUE;4.73265838651927E-02</v>
      </c>
    </row>
    <row r="282" spans="1:9" x14ac:dyDescent="0.25">
      <c r="A282">
        <f t="shared" si="20"/>
        <v>45.65625</v>
      </c>
      <c r="B282" t="s">
        <v>18</v>
      </c>
      <c r="C282" t="s">
        <v>11</v>
      </c>
      <c r="D282">
        <v>96</v>
      </c>
      <c r="E282">
        <f t="shared" si="22"/>
        <v>90</v>
      </c>
      <c r="F282" s="22">
        <f>STOWA2015_2030_Z!$N19</f>
        <v>3.3347547961871546E-2</v>
      </c>
      <c r="G282" s="22" t="s">
        <v>33</v>
      </c>
      <c r="H282" s="22">
        <f>STOWA2015_2030_Z!$N19</f>
        <v>3.3347547961871546E-2</v>
      </c>
      <c r="I282" t="str">
        <f t="shared" si="21"/>
        <v>KL2030;zomer;96;90;3.33475479618715E-02;TRUE;3.33475479618715E-02</v>
      </c>
    </row>
    <row r="283" spans="1:9" x14ac:dyDescent="0.25">
      <c r="A283">
        <f t="shared" si="20"/>
        <v>45.65625</v>
      </c>
      <c r="B283" t="s">
        <v>18</v>
      </c>
      <c r="C283" t="s">
        <v>11</v>
      </c>
      <c r="D283">
        <v>96</v>
      </c>
      <c r="E283">
        <f t="shared" si="22"/>
        <v>95</v>
      </c>
      <c r="F283" s="22">
        <f>STOWA2015_2030_Z!$N20</f>
        <v>2.3559178536843271E-2</v>
      </c>
      <c r="G283" s="22" t="s">
        <v>33</v>
      </c>
      <c r="H283" s="22">
        <f>STOWA2015_2030_Z!$N20</f>
        <v>2.3559178536843271E-2</v>
      </c>
      <c r="I283" t="str">
        <f t="shared" si="21"/>
        <v>KL2030;zomer;96;95;2.35591785368433E-02;TRUE;2.35591785368433E-02</v>
      </c>
    </row>
    <row r="284" spans="1:9" x14ac:dyDescent="0.25">
      <c r="A284">
        <f t="shared" si="20"/>
        <v>45.65625</v>
      </c>
      <c r="B284" t="s">
        <v>18</v>
      </c>
      <c r="C284" t="s">
        <v>11</v>
      </c>
      <c r="D284">
        <v>96</v>
      </c>
      <c r="E284">
        <f t="shared" si="22"/>
        <v>100</v>
      </c>
      <c r="F284" s="22">
        <f>STOWA2015_2030_Z!$N21</f>
        <v>1.6686950297830079E-2</v>
      </c>
      <c r="G284" s="22" t="s">
        <v>33</v>
      </c>
      <c r="H284" s="22">
        <f>STOWA2015_2030_Z!$N21</f>
        <v>1.6686950297830079E-2</v>
      </c>
      <c r="I284" t="str">
        <f t="shared" si="21"/>
        <v>KL2030;zomer;96;100;1.66869502978301E-02;TRUE;1.66869502978301E-02</v>
      </c>
    </row>
    <row r="285" spans="1:9" x14ac:dyDescent="0.25">
      <c r="A285">
        <f t="shared" si="20"/>
        <v>45.65625</v>
      </c>
      <c r="B285" t="s">
        <v>18</v>
      </c>
      <c r="C285" t="s">
        <v>11</v>
      </c>
      <c r="D285">
        <v>96</v>
      </c>
      <c r="E285">
        <f t="shared" si="22"/>
        <v>105</v>
      </c>
      <c r="F285" s="22">
        <f>STOWA2015_2030_Z!$N22</f>
        <v>1.1849441175039284E-2</v>
      </c>
      <c r="G285" s="22" t="s">
        <v>33</v>
      </c>
      <c r="H285" s="22">
        <f>STOWA2015_2030_Z!$N22</f>
        <v>1.1849441175039284E-2</v>
      </c>
      <c r="I285" t="str">
        <f t="shared" si="21"/>
        <v>KL2030;zomer;96;105;1.18494411750393E-02;TRUE;1.18494411750393E-02</v>
      </c>
    </row>
    <row r="286" spans="1:9" x14ac:dyDescent="0.25">
      <c r="A286">
        <f t="shared" si="20"/>
        <v>45.65625</v>
      </c>
      <c r="B286" t="s">
        <v>18</v>
      </c>
      <c r="C286" t="s">
        <v>11</v>
      </c>
      <c r="D286">
        <v>96</v>
      </c>
      <c r="E286">
        <f t="shared" si="22"/>
        <v>110</v>
      </c>
      <c r="F286" s="22">
        <f>STOWA2015_2030_Z!$N23</f>
        <v>8.4354192682421052E-3</v>
      </c>
      <c r="G286" s="22" t="s">
        <v>33</v>
      </c>
      <c r="H286" s="22">
        <f>STOWA2015_2030_Z!$N23</f>
        <v>8.4354192682421052E-3</v>
      </c>
      <c r="I286" t="str">
        <f t="shared" si="21"/>
        <v>KL2030;zomer;96;110;8.43541926824211E-03;TRUE;8.43541926824211E-03</v>
      </c>
    </row>
    <row r="287" spans="1:9" x14ac:dyDescent="0.25">
      <c r="A287">
        <f t="shared" si="20"/>
        <v>45.65625</v>
      </c>
      <c r="B287" t="s">
        <v>18</v>
      </c>
      <c r="C287" t="s">
        <v>11</v>
      </c>
      <c r="D287">
        <v>96</v>
      </c>
      <c r="E287">
        <f t="shared" si="22"/>
        <v>115</v>
      </c>
      <c r="F287" s="22">
        <f>STOWA2015_2030_Z!$N24</f>
        <v>6.0198764225288769E-3</v>
      </c>
      <c r="G287" s="22" t="s">
        <v>33</v>
      </c>
      <c r="H287" s="22">
        <f>STOWA2015_2030_Z!$N24</f>
        <v>6.0198764225288769E-3</v>
      </c>
      <c r="I287" t="str">
        <f t="shared" si="21"/>
        <v>KL2030;zomer;96;115;6.01987642252888E-03;TRUE;6.01987642252888E-03</v>
      </c>
    </row>
    <row r="288" spans="1:9" x14ac:dyDescent="0.25">
      <c r="A288">
        <f t="shared" si="20"/>
        <v>45.65625</v>
      </c>
      <c r="B288" t="s">
        <v>18</v>
      </c>
      <c r="C288" t="s">
        <v>11</v>
      </c>
      <c r="D288">
        <v>96</v>
      </c>
      <c r="E288">
        <f t="shared" si="22"/>
        <v>120</v>
      </c>
      <c r="F288" s="22">
        <f>STOWA2015_2030_Z!$N25</f>
        <v>1.5460704872696893E-2</v>
      </c>
      <c r="G288" s="22" t="s">
        <v>33</v>
      </c>
      <c r="H288" s="22">
        <f>STOWA2015_2030_Z!$N25</f>
        <v>1.5460704872696893E-2</v>
      </c>
      <c r="I288" t="str">
        <f t="shared" si="21"/>
        <v>KL2030;zomer;96;120;1.54607048726969E-02;TRUE;1.54607048726969E-02</v>
      </c>
    </row>
    <row r="289" spans="1:9" x14ac:dyDescent="0.25">
      <c r="A289">
        <f t="shared" si="20"/>
        <v>22.828125</v>
      </c>
      <c r="B289" t="s">
        <v>18</v>
      </c>
      <c r="C289" t="s">
        <v>11</v>
      </c>
      <c r="D289">
        <v>192</v>
      </c>
      <c r="E289">
        <v>20</v>
      </c>
      <c r="F289" s="22">
        <f>STOWA2015_2030_Z!$R5</f>
        <v>31.784042287433984</v>
      </c>
      <c r="G289" s="22" t="s">
        <v>33</v>
      </c>
      <c r="H289" s="22">
        <f>STOWA2015_2030_Z!$R5</f>
        <v>31.784042287433984</v>
      </c>
      <c r="I289" t="str">
        <f t="shared" si="21"/>
        <v>KL2030;zomer;192;20;31.784042287434;TRUE;31.784042287434</v>
      </c>
    </row>
    <row r="290" spans="1:9" x14ac:dyDescent="0.25">
      <c r="A290">
        <f t="shared" si="20"/>
        <v>22.828125</v>
      </c>
      <c r="B290" t="s">
        <v>18</v>
      </c>
      <c r="C290" t="s">
        <v>11</v>
      </c>
      <c r="D290">
        <v>192</v>
      </c>
      <c r="E290">
        <f>E289+5</f>
        <v>25</v>
      </c>
      <c r="F290" s="22">
        <f>STOWA2015_2030_Z!$R6</f>
        <v>2.9401637114503334</v>
      </c>
      <c r="G290" s="22" t="s">
        <v>33</v>
      </c>
      <c r="H290" s="22">
        <f>STOWA2015_2030_Z!$R6</f>
        <v>2.9401637114503334</v>
      </c>
      <c r="I290" t="str">
        <f t="shared" si="21"/>
        <v>KL2030;zomer;192;25;2.94016371145033;TRUE;2.94016371145033</v>
      </c>
    </row>
    <row r="291" spans="1:9" x14ac:dyDescent="0.25">
      <c r="A291">
        <f t="shared" si="20"/>
        <v>22.828125</v>
      </c>
      <c r="B291" t="s">
        <v>18</v>
      </c>
      <c r="C291" t="s">
        <v>11</v>
      </c>
      <c r="D291">
        <v>192</v>
      </c>
      <c r="E291">
        <f t="shared" ref="E291:E315" si="23">E290+5</f>
        <v>30</v>
      </c>
      <c r="F291" s="22">
        <f>STOWA2015_2030_Z!$R7</f>
        <v>2.3397093318246203</v>
      </c>
      <c r="G291" s="22" t="s">
        <v>33</v>
      </c>
      <c r="H291" s="22">
        <f>STOWA2015_2030_Z!$R7</f>
        <v>2.3397093318246203</v>
      </c>
      <c r="I291" t="str">
        <f t="shared" si="21"/>
        <v>KL2030;zomer;192;30;2.33970933182462;TRUE;2.33970933182462</v>
      </c>
    </row>
    <row r="292" spans="1:9" x14ac:dyDescent="0.25">
      <c r="A292">
        <f t="shared" si="20"/>
        <v>22.828125</v>
      </c>
      <c r="B292" t="s">
        <v>18</v>
      </c>
      <c r="C292" t="s">
        <v>11</v>
      </c>
      <c r="D292">
        <v>192</v>
      </c>
      <c r="E292">
        <f t="shared" si="23"/>
        <v>35</v>
      </c>
      <c r="F292" s="22">
        <f>STOWA2015_2030_Z!$R8</f>
        <v>1.8571524878443446</v>
      </c>
      <c r="G292" s="22" t="s">
        <v>33</v>
      </c>
      <c r="H292" s="22">
        <f>STOWA2015_2030_Z!$R8</f>
        <v>1.8571524878443446</v>
      </c>
      <c r="I292" t="str">
        <f t="shared" si="21"/>
        <v>KL2030;zomer;192;35;1.85715248784434;TRUE;1.85715248784434</v>
      </c>
    </row>
    <row r="293" spans="1:9" x14ac:dyDescent="0.25">
      <c r="A293">
        <f t="shared" si="20"/>
        <v>22.828125</v>
      </c>
      <c r="B293" t="s">
        <v>18</v>
      </c>
      <c r="C293" t="s">
        <v>11</v>
      </c>
      <c r="D293">
        <v>192</v>
      </c>
      <c r="E293">
        <f t="shared" si="23"/>
        <v>40</v>
      </c>
      <c r="F293" s="22">
        <f>STOWA2015_2030_Z!$R9</f>
        <v>1.4702920507968082</v>
      </c>
      <c r="G293" s="22" t="s">
        <v>33</v>
      </c>
      <c r="H293" s="22">
        <f>STOWA2015_2030_Z!$R9</f>
        <v>1.4702920507968082</v>
      </c>
      <c r="I293" t="str">
        <f t="shared" si="21"/>
        <v>KL2030;zomer;192;40;1.47029205079681;TRUE;1.47029205079681</v>
      </c>
    </row>
    <row r="294" spans="1:9" x14ac:dyDescent="0.25">
      <c r="A294">
        <f t="shared" si="20"/>
        <v>22.828125</v>
      </c>
      <c r="B294" t="s">
        <v>18</v>
      </c>
      <c r="C294" t="s">
        <v>11</v>
      </c>
      <c r="D294">
        <v>192</v>
      </c>
      <c r="E294">
        <f t="shared" si="23"/>
        <v>45</v>
      </c>
      <c r="F294" s="22">
        <f>STOWA2015_2030_Z!$R10</f>
        <v>1.1609254085617566</v>
      </c>
      <c r="G294" s="22" t="s">
        <v>33</v>
      </c>
      <c r="H294" s="22">
        <f>STOWA2015_2030_Z!$R10</f>
        <v>1.1609254085617566</v>
      </c>
      <c r="I294" t="str">
        <f t="shared" si="21"/>
        <v>KL2030;zomer;192;45;1.16092540856176;TRUE;1.16092540856176</v>
      </c>
    </row>
    <row r="295" spans="1:9" x14ac:dyDescent="0.25">
      <c r="A295">
        <f t="shared" si="20"/>
        <v>22.828125</v>
      </c>
      <c r="B295" t="s">
        <v>18</v>
      </c>
      <c r="C295" t="s">
        <v>11</v>
      </c>
      <c r="D295">
        <v>192</v>
      </c>
      <c r="E295">
        <f t="shared" si="23"/>
        <v>50</v>
      </c>
      <c r="F295" s="22">
        <f>STOWA2015_2030_Z!$R11</f>
        <v>0.91416180623168763</v>
      </c>
      <c r="G295" s="22" t="s">
        <v>33</v>
      </c>
      <c r="H295" s="22">
        <f>STOWA2015_2030_Z!$R11</f>
        <v>0.91416180623168763</v>
      </c>
      <c r="I295" t="str">
        <f t="shared" si="21"/>
        <v>KL2030;zomer;192;50;0.914161806231688;TRUE;0.914161806231688</v>
      </c>
    </row>
    <row r="296" spans="1:9" x14ac:dyDescent="0.25">
      <c r="A296">
        <f t="shared" si="20"/>
        <v>22.828125</v>
      </c>
      <c r="B296" t="s">
        <v>18</v>
      </c>
      <c r="C296" t="s">
        <v>11</v>
      </c>
      <c r="D296">
        <v>192</v>
      </c>
      <c r="E296">
        <f t="shared" si="23"/>
        <v>55</v>
      </c>
      <c r="F296" s="22">
        <f>STOWA2015_2030_Z!$R12</f>
        <v>0.71784773317313233</v>
      </c>
      <c r="G296" s="22" t="s">
        <v>33</v>
      </c>
      <c r="H296" s="22">
        <f>STOWA2015_2030_Z!$R12</f>
        <v>0.71784773317313233</v>
      </c>
      <c r="I296" t="str">
        <f t="shared" si="21"/>
        <v>KL2030;zomer;192;55;0.717847733173132;TRUE;0.717847733173132</v>
      </c>
    </row>
    <row r="297" spans="1:9" x14ac:dyDescent="0.25">
      <c r="A297">
        <f t="shared" si="20"/>
        <v>22.828125</v>
      </c>
      <c r="B297" t="s">
        <v>18</v>
      </c>
      <c r="C297" t="s">
        <v>11</v>
      </c>
      <c r="D297">
        <v>192</v>
      </c>
      <c r="E297">
        <f t="shared" si="23"/>
        <v>60</v>
      </c>
      <c r="F297" s="22">
        <f>STOWA2015_2030_Z!$R13</f>
        <v>0.56208705194031139</v>
      </c>
      <c r="G297" s="22" t="s">
        <v>33</v>
      </c>
      <c r="H297" s="22">
        <f>STOWA2015_2030_Z!$R13</f>
        <v>0.56208705194031139</v>
      </c>
      <c r="I297" t="str">
        <f t="shared" si="21"/>
        <v>KL2030;zomer;192;60;0.562087051940311;TRUE;0.562087051940311</v>
      </c>
    </row>
    <row r="298" spans="1:9" x14ac:dyDescent="0.25">
      <c r="A298">
        <f t="shared" si="20"/>
        <v>22.828125</v>
      </c>
      <c r="B298" t="s">
        <v>18</v>
      </c>
      <c r="C298" t="s">
        <v>11</v>
      </c>
      <c r="D298">
        <v>192</v>
      </c>
      <c r="E298">
        <f t="shared" si="23"/>
        <v>65</v>
      </c>
      <c r="F298" s="22">
        <f>STOWA2015_2030_Z!$R14</f>
        <v>0.4388410825564284</v>
      </c>
      <c r="G298" s="22" t="s">
        <v>33</v>
      </c>
      <c r="H298" s="22">
        <f>STOWA2015_2030_Z!$R14</f>
        <v>0.4388410825564284</v>
      </c>
      <c r="I298" t="str">
        <f t="shared" si="21"/>
        <v>KL2030;zomer;192;65;0.438841082556428;TRUE;0.438841082556428</v>
      </c>
    </row>
    <row r="299" spans="1:9" x14ac:dyDescent="0.25">
      <c r="A299">
        <f t="shared" si="20"/>
        <v>22.828125</v>
      </c>
      <c r="B299" t="s">
        <v>18</v>
      </c>
      <c r="C299" t="s">
        <v>11</v>
      </c>
      <c r="D299">
        <v>192</v>
      </c>
      <c r="E299">
        <f t="shared" si="23"/>
        <v>70</v>
      </c>
      <c r="F299" s="22">
        <f>STOWA2015_2030_Z!$R15</f>
        <v>0.34159603034623021</v>
      </c>
      <c r="G299" s="22" t="s">
        <v>33</v>
      </c>
      <c r="H299" s="22">
        <f>STOWA2015_2030_Z!$R15</f>
        <v>0.34159603034623021</v>
      </c>
      <c r="I299" t="str">
        <f t="shared" si="21"/>
        <v>KL2030;zomer;192;70;0.34159603034623;TRUE;0.34159603034623</v>
      </c>
    </row>
    <row r="300" spans="1:9" x14ac:dyDescent="0.25">
      <c r="A300">
        <f t="shared" si="20"/>
        <v>22.828125</v>
      </c>
      <c r="B300" t="s">
        <v>18</v>
      </c>
      <c r="C300" t="s">
        <v>11</v>
      </c>
      <c r="D300">
        <v>192</v>
      </c>
      <c r="E300">
        <f t="shared" si="23"/>
        <v>75</v>
      </c>
      <c r="F300" s="22">
        <f>STOWA2015_2030_Z!$R16</f>
        <v>0.26508702034068521</v>
      </c>
      <c r="G300" s="22" t="s">
        <v>33</v>
      </c>
      <c r="H300" s="22">
        <f>STOWA2015_2030_Z!$R16</f>
        <v>0.26508702034068521</v>
      </c>
      <c r="I300" t="str">
        <f t="shared" si="21"/>
        <v>KL2030;zomer;192;75;0.265087020340685;TRUE;0.265087020340685</v>
      </c>
    </row>
    <row r="301" spans="1:9" x14ac:dyDescent="0.25">
      <c r="A301">
        <f t="shared" si="20"/>
        <v>22.828125</v>
      </c>
      <c r="B301" t="s">
        <v>18</v>
      </c>
      <c r="C301" t="s">
        <v>11</v>
      </c>
      <c r="D301">
        <v>192</v>
      </c>
      <c r="E301">
        <f t="shared" si="23"/>
        <v>80</v>
      </c>
      <c r="F301" s="22">
        <f>STOWA2015_2030_Z!$R17</f>
        <v>0.2050696148054173</v>
      </c>
      <c r="G301" s="22" t="s">
        <v>33</v>
      </c>
      <c r="H301" s="22">
        <f>STOWA2015_2030_Z!$R17</f>
        <v>0.2050696148054173</v>
      </c>
      <c r="I301" t="str">
        <f t="shared" si="21"/>
        <v>KL2030;zomer;192;80;0.205069614805417;TRUE;0.205069614805417</v>
      </c>
    </row>
    <row r="302" spans="1:9" x14ac:dyDescent="0.25">
      <c r="A302">
        <f t="shared" si="20"/>
        <v>22.828125</v>
      </c>
      <c r="B302" t="s">
        <v>18</v>
      </c>
      <c r="C302" t="s">
        <v>11</v>
      </c>
      <c r="D302">
        <v>192</v>
      </c>
      <c r="E302">
        <f t="shared" si="23"/>
        <v>85</v>
      </c>
      <c r="F302" s="22">
        <f>STOWA2015_2030_Z!$R18</f>
        <v>0.15813107660551384</v>
      </c>
      <c r="G302" s="22" t="s">
        <v>33</v>
      </c>
      <c r="H302" s="22">
        <f>STOWA2015_2030_Z!$R18</f>
        <v>0.15813107660551384</v>
      </c>
      <c r="I302" t="str">
        <f t="shared" si="21"/>
        <v>KL2030;zomer;192;85;0.158131076605514;TRUE;0.158131076605514</v>
      </c>
    </row>
    <row r="303" spans="1:9" x14ac:dyDescent="0.25">
      <c r="A303">
        <f t="shared" si="20"/>
        <v>22.828125</v>
      </c>
      <c r="B303" t="s">
        <v>18</v>
      </c>
      <c r="C303" t="s">
        <v>11</v>
      </c>
      <c r="D303">
        <v>192</v>
      </c>
      <c r="E303">
        <f t="shared" si="23"/>
        <v>90</v>
      </c>
      <c r="F303" s="22">
        <f>STOWA2015_2030_Z!$R19</f>
        <v>0.12153482977552393</v>
      </c>
      <c r="G303" s="22" t="s">
        <v>33</v>
      </c>
      <c r="H303" s="22">
        <f>STOWA2015_2030_Z!$R19</f>
        <v>0.12153482977552393</v>
      </c>
      <c r="I303" t="str">
        <f t="shared" si="21"/>
        <v>KL2030;zomer;192;90;0.121534829775524;TRUE;0.121534829775524</v>
      </c>
    </row>
    <row r="304" spans="1:9" x14ac:dyDescent="0.25">
      <c r="A304">
        <f t="shared" si="20"/>
        <v>22.828125</v>
      </c>
      <c r="B304" t="s">
        <v>18</v>
      </c>
      <c r="C304" t="s">
        <v>11</v>
      </c>
      <c r="D304">
        <v>192</v>
      </c>
      <c r="E304">
        <f t="shared" si="23"/>
        <v>95</v>
      </c>
      <c r="F304" s="22">
        <f>STOWA2015_2030_Z!$R20</f>
        <v>9.3092586044147996E-2</v>
      </c>
      <c r="G304" s="22" t="s">
        <v>33</v>
      </c>
      <c r="H304" s="22">
        <f>STOWA2015_2030_Z!$R20</f>
        <v>9.3092586044147996E-2</v>
      </c>
      <c r="I304" t="str">
        <f t="shared" si="21"/>
        <v>KL2030;zomer;192;95;0.093092586044148;TRUE;0.093092586044148</v>
      </c>
    </row>
    <row r="305" spans="1:9" x14ac:dyDescent="0.25">
      <c r="A305">
        <f t="shared" si="20"/>
        <v>22.828125</v>
      </c>
      <c r="B305" t="s">
        <v>18</v>
      </c>
      <c r="C305" t="s">
        <v>11</v>
      </c>
      <c r="D305">
        <v>192</v>
      </c>
      <c r="E305">
        <f t="shared" si="23"/>
        <v>100</v>
      </c>
      <c r="F305" s="22">
        <f>STOWA2015_2030_Z!$R21</f>
        <v>7.1059475177909587E-2</v>
      </c>
      <c r="G305" s="22" t="s">
        <v>33</v>
      </c>
      <c r="H305" s="22">
        <f>STOWA2015_2030_Z!$R21</f>
        <v>7.1059475177909587E-2</v>
      </c>
      <c r="I305" t="str">
        <f t="shared" si="21"/>
        <v>KL2030;zomer;192;100;7.10594751779096E-02;TRUE;7.10594751779096E-02</v>
      </c>
    </row>
    <row r="306" spans="1:9" x14ac:dyDescent="0.25">
      <c r="A306">
        <f t="shared" si="20"/>
        <v>22.828125</v>
      </c>
      <c r="B306" t="s">
        <v>18</v>
      </c>
      <c r="C306" t="s">
        <v>11</v>
      </c>
      <c r="D306">
        <v>192</v>
      </c>
      <c r="E306">
        <f t="shared" si="23"/>
        <v>105</v>
      </c>
      <c r="F306" s="22">
        <f>STOWA2015_2030_Z!$R22</f>
        <v>5.4048258002736604E-2</v>
      </c>
      <c r="G306" s="22" t="s">
        <v>33</v>
      </c>
      <c r="H306" s="22">
        <f>STOWA2015_2030_Z!$R22</f>
        <v>5.4048258002736604E-2</v>
      </c>
      <c r="I306" t="str">
        <f t="shared" si="21"/>
        <v>KL2030;zomer;192;105;5.40482580027366E-02;TRUE;5.40482580027366E-02</v>
      </c>
    </row>
    <row r="307" spans="1:9" x14ac:dyDescent="0.25">
      <c r="A307">
        <f t="shared" si="20"/>
        <v>22.828125</v>
      </c>
      <c r="B307" t="s">
        <v>18</v>
      </c>
      <c r="C307" t="s">
        <v>11</v>
      </c>
      <c r="D307">
        <v>192</v>
      </c>
      <c r="E307">
        <f t="shared" si="23"/>
        <v>110</v>
      </c>
      <c r="F307" s="22">
        <f>STOWA2015_2030_Z!$R23</f>
        <v>4.095933144961772E-2</v>
      </c>
      <c r="G307" s="22" t="s">
        <v>33</v>
      </c>
      <c r="H307" s="22">
        <f>STOWA2015_2030_Z!$R23</f>
        <v>4.095933144961772E-2</v>
      </c>
      <c r="I307" t="str">
        <f t="shared" si="21"/>
        <v>KL2030;zomer;192;110;4.09593314496177E-02;TRUE;4.09593314496177E-02</v>
      </c>
    </row>
    <row r="308" spans="1:9" x14ac:dyDescent="0.25">
      <c r="A308">
        <f t="shared" si="20"/>
        <v>22.828125</v>
      </c>
      <c r="B308" t="s">
        <v>18</v>
      </c>
      <c r="C308" t="s">
        <v>11</v>
      </c>
      <c r="D308">
        <v>192</v>
      </c>
      <c r="E308">
        <f t="shared" si="23"/>
        <v>115</v>
      </c>
      <c r="F308" s="22">
        <f>STOWA2015_2030_Z!$R24</f>
        <v>3.0923770321105562E-2</v>
      </c>
      <c r="G308" s="22" t="s">
        <v>33</v>
      </c>
      <c r="H308" s="22">
        <f>STOWA2015_2030_Z!$R24</f>
        <v>3.0923770321105562E-2</v>
      </c>
      <c r="I308" t="str">
        <f t="shared" si="21"/>
        <v>KL2030;zomer;192;115;3.09237703211056E-02;TRUE;3.09237703211056E-02</v>
      </c>
    </row>
    <row r="309" spans="1:9" x14ac:dyDescent="0.25">
      <c r="A309">
        <f t="shared" si="20"/>
        <v>22.828125</v>
      </c>
      <c r="B309" t="s">
        <v>18</v>
      </c>
      <c r="C309" t="s">
        <v>11</v>
      </c>
      <c r="D309">
        <v>192</v>
      </c>
      <c r="E309">
        <f t="shared" si="23"/>
        <v>120</v>
      </c>
      <c r="F309" s="22">
        <f>STOWA2015_2030_Z!$R25</f>
        <v>2.3257104080084481E-2</v>
      </c>
      <c r="G309" s="22" t="s">
        <v>33</v>
      </c>
      <c r="H309" s="22">
        <f>STOWA2015_2030_Z!$R25</f>
        <v>2.3257104080084481E-2</v>
      </c>
      <c r="I309" t="str">
        <f t="shared" si="21"/>
        <v>KL2030;zomer;192;120;2.32571040800845E-02;TRUE;2.32571040800845E-02</v>
      </c>
    </row>
    <row r="310" spans="1:9" x14ac:dyDescent="0.25">
      <c r="A310">
        <f t="shared" si="20"/>
        <v>22.828125</v>
      </c>
      <c r="B310" t="s">
        <v>18</v>
      </c>
      <c r="C310" t="s">
        <v>11</v>
      </c>
      <c r="D310">
        <v>192</v>
      </c>
      <c r="E310">
        <f t="shared" si="23"/>
        <v>125</v>
      </c>
      <c r="F310" s="22">
        <f>STOWA2015_2030_Z!$R26</f>
        <v>1.7421910466269001E-2</v>
      </c>
      <c r="G310" s="22" t="s">
        <v>33</v>
      </c>
      <c r="H310" s="22">
        <f>STOWA2015_2030_Z!$R26</f>
        <v>1.7421910466269001E-2</v>
      </c>
      <c r="I310" t="str">
        <f t="shared" si="21"/>
        <v>KL2030;zomer;192;125;0.017421910466269;TRUE;0.017421910466269</v>
      </c>
    </row>
    <row r="311" spans="1:9" x14ac:dyDescent="0.25">
      <c r="A311">
        <f t="shared" si="20"/>
        <v>22.828125</v>
      </c>
      <c r="B311" t="s">
        <v>18</v>
      </c>
      <c r="C311" t="s">
        <v>11</v>
      </c>
      <c r="D311">
        <v>192</v>
      </c>
      <c r="E311">
        <f t="shared" si="23"/>
        <v>130</v>
      </c>
      <c r="F311" s="22">
        <f>STOWA2015_2030_Z!$R27</f>
        <v>1.2997631257781E-2</v>
      </c>
      <c r="G311" s="22" t="s">
        <v>33</v>
      </c>
      <c r="H311" s="22">
        <f>STOWA2015_2030_Z!$R27</f>
        <v>1.2997631257781E-2</v>
      </c>
      <c r="I311" t="str">
        <f t="shared" si="21"/>
        <v>KL2030;zomer;192;130;0.012997631257781;TRUE;0.012997631257781</v>
      </c>
    </row>
    <row r="312" spans="1:9" x14ac:dyDescent="0.25">
      <c r="A312">
        <f t="shared" si="20"/>
        <v>22.828125</v>
      </c>
      <c r="B312" t="s">
        <v>18</v>
      </c>
      <c r="C312" t="s">
        <v>11</v>
      </c>
      <c r="D312">
        <v>192</v>
      </c>
      <c r="E312">
        <f t="shared" si="23"/>
        <v>135</v>
      </c>
      <c r="F312" s="22">
        <f>STOWA2015_2030_Z!$R28</f>
        <v>9.6562877729452802E-3</v>
      </c>
      <c r="G312" s="22" t="s">
        <v>33</v>
      </c>
      <c r="H312" s="22">
        <f>STOWA2015_2030_Z!$R28</f>
        <v>9.6562877729452802E-3</v>
      </c>
      <c r="I312" t="str">
        <f t="shared" si="21"/>
        <v>KL2030;zomer;192;135;9.65628777294528E-03;TRUE;9.65628777294528E-03</v>
      </c>
    </row>
    <row r="313" spans="1:9" x14ac:dyDescent="0.25">
      <c r="A313">
        <f t="shared" si="20"/>
        <v>22.828125</v>
      </c>
      <c r="B313" t="s">
        <v>18</v>
      </c>
      <c r="C313" t="s">
        <v>11</v>
      </c>
      <c r="D313">
        <v>192</v>
      </c>
      <c r="E313">
        <f t="shared" si="23"/>
        <v>140</v>
      </c>
      <c r="F313" s="22">
        <f>STOWA2015_2030_Z!$R29</f>
        <v>7.1430023244747343E-3</v>
      </c>
      <c r="G313" s="22" t="s">
        <v>33</v>
      </c>
      <c r="H313" s="22">
        <f>STOWA2015_2030_Z!$R29</f>
        <v>7.1430023244747343E-3</v>
      </c>
      <c r="I313" t="str">
        <f t="shared" si="21"/>
        <v>KL2030;zomer;192;140;7.14300232447473E-03;TRUE;7.14300232447473E-03</v>
      </c>
    </row>
    <row r="314" spans="1:9" x14ac:dyDescent="0.25">
      <c r="A314">
        <f t="shared" si="20"/>
        <v>22.828125</v>
      </c>
      <c r="B314" t="s">
        <v>18</v>
      </c>
      <c r="C314" t="s">
        <v>11</v>
      </c>
      <c r="D314">
        <v>192</v>
      </c>
      <c r="E314">
        <f t="shared" si="23"/>
        <v>145</v>
      </c>
      <c r="F314" s="22">
        <f>STOWA2015_2030_Z!$R30</f>
        <v>5.2604233303205229E-3</v>
      </c>
      <c r="G314" s="22" t="s">
        <v>33</v>
      </c>
      <c r="H314" s="22">
        <f>STOWA2015_2030_Z!$R30</f>
        <v>5.2604233303205229E-3</v>
      </c>
      <c r="I314" t="str">
        <f t="shared" si="21"/>
        <v>KL2030;zomer;192;145;5.26042333032052E-03;TRUE;5.26042333032052E-03</v>
      </c>
    </row>
    <row r="315" spans="1:9" x14ac:dyDescent="0.25">
      <c r="A315">
        <f t="shared" si="20"/>
        <v>22.828125</v>
      </c>
      <c r="B315" t="s">
        <v>18</v>
      </c>
      <c r="C315" t="s">
        <v>11</v>
      </c>
      <c r="D315">
        <v>192</v>
      </c>
      <c r="E315">
        <f t="shared" si="23"/>
        <v>150</v>
      </c>
      <c r="F315" s="22">
        <f>STOWA2015_2030_Z!$R31</f>
        <v>1.3788696085830486E-2</v>
      </c>
      <c r="G315" s="22" t="s">
        <v>33</v>
      </c>
      <c r="H315" s="22">
        <f>STOWA2015_2030_Z!$R31</f>
        <v>1.3788696085830486E-2</v>
      </c>
      <c r="I315" t="str">
        <f t="shared" si="21"/>
        <v>KL2030;zomer;192;150;1.37886960858305E-02;TRUE;1.37886960858305E-02</v>
      </c>
    </row>
    <row r="316" spans="1:9" x14ac:dyDescent="0.25">
      <c r="A316">
        <f t="shared" si="20"/>
        <v>20.291666666666664</v>
      </c>
      <c r="B316" t="s">
        <v>18</v>
      </c>
      <c r="C316" t="s">
        <v>11</v>
      </c>
      <c r="D316">
        <v>216</v>
      </c>
      <c r="E316">
        <v>20</v>
      </c>
      <c r="F316" s="22">
        <f>STOWA2015_2030_Z!$V5</f>
        <v>26.969619730293029</v>
      </c>
      <c r="G316" s="22" t="s">
        <v>33</v>
      </c>
      <c r="H316" s="22">
        <f>STOWA2015_2030_Z!$V5</f>
        <v>26.969619730293029</v>
      </c>
      <c r="I316" t="str">
        <f t="shared" si="21"/>
        <v>KL2030;zomer;216;20;26.969619730293;TRUE;26.969619730293</v>
      </c>
    </row>
    <row r="317" spans="1:9" x14ac:dyDescent="0.25">
      <c r="A317">
        <f t="shared" si="20"/>
        <v>20.291666666666664</v>
      </c>
      <c r="B317" t="s">
        <v>18</v>
      </c>
      <c r="C317" t="s">
        <v>11</v>
      </c>
      <c r="D317">
        <v>216</v>
      </c>
      <c r="E317">
        <f>E316+5</f>
        <v>25</v>
      </c>
      <c r="F317" s="22">
        <f>STOWA2015_2030_Z!$V6</f>
        <v>2.640853412774554</v>
      </c>
      <c r="G317" s="22" t="s">
        <v>33</v>
      </c>
      <c r="H317" s="22">
        <f>STOWA2015_2030_Z!$V6</f>
        <v>2.640853412774554</v>
      </c>
      <c r="I317" t="str">
        <f t="shared" si="21"/>
        <v>KL2030;zomer;216;25;2.64085341277455;TRUE;2.64085341277455</v>
      </c>
    </row>
    <row r="318" spans="1:9" x14ac:dyDescent="0.25">
      <c r="A318">
        <f t="shared" si="20"/>
        <v>20.291666666666664</v>
      </c>
      <c r="B318" t="s">
        <v>18</v>
      </c>
      <c r="C318" t="s">
        <v>11</v>
      </c>
      <c r="D318">
        <v>216</v>
      </c>
      <c r="E318">
        <f t="shared" ref="E318:E343" si="24">E317+5</f>
        <v>30</v>
      </c>
      <c r="F318" s="22">
        <f>STOWA2015_2030_Z!$V7</f>
        <v>2.1547990903480461</v>
      </c>
      <c r="G318" s="22" t="s">
        <v>33</v>
      </c>
      <c r="H318" s="22">
        <f>STOWA2015_2030_Z!$V7</f>
        <v>2.1547990903480461</v>
      </c>
      <c r="I318" t="str">
        <f t="shared" si="21"/>
        <v>KL2030;zomer;216;30;2.15479909034805;TRUE;2.15479909034805</v>
      </c>
    </row>
    <row r="319" spans="1:9" x14ac:dyDescent="0.25">
      <c r="A319">
        <f t="shared" si="20"/>
        <v>20.291666666666664</v>
      </c>
      <c r="B319" t="s">
        <v>18</v>
      </c>
      <c r="C319" t="s">
        <v>11</v>
      </c>
      <c r="D319">
        <v>216</v>
      </c>
      <c r="E319">
        <f t="shared" si="24"/>
        <v>35</v>
      </c>
      <c r="F319" s="22">
        <f>STOWA2015_2030_Z!$V8</f>
        <v>1.7532532851469798</v>
      </c>
      <c r="G319" s="22" t="s">
        <v>33</v>
      </c>
      <c r="H319" s="22">
        <f>STOWA2015_2030_Z!$V8</f>
        <v>1.7532532851469798</v>
      </c>
      <c r="I319" t="str">
        <f t="shared" si="21"/>
        <v>KL2030;zomer;216;35;1.75325328514698;TRUE;1.75325328514698</v>
      </c>
    </row>
    <row r="320" spans="1:9" x14ac:dyDescent="0.25">
      <c r="A320">
        <f t="shared" si="20"/>
        <v>20.291666666666664</v>
      </c>
      <c r="B320" t="s">
        <v>18</v>
      </c>
      <c r="C320" t="s">
        <v>11</v>
      </c>
      <c r="D320">
        <v>216</v>
      </c>
      <c r="E320">
        <f t="shared" si="24"/>
        <v>40</v>
      </c>
      <c r="F320" s="22">
        <f>STOWA2015_2030_Z!$V9</f>
        <v>1.4224057701918005</v>
      </c>
      <c r="G320" s="22" t="s">
        <v>33</v>
      </c>
      <c r="H320" s="22">
        <f>STOWA2015_2030_Z!$V9</f>
        <v>1.4224057701918005</v>
      </c>
      <c r="I320" t="str">
        <f t="shared" si="21"/>
        <v>KL2030;zomer;216;40;1.4224057701918;TRUE;1.4224057701918</v>
      </c>
    </row>
    <row r="321" spans="1:9" x14ac:dyDescent="0.25">
      <c r="A321">
        <f t="shared" si="20"/>
        <v>20.291666666666664</v>
      </c>
      <c r="B321" t="s">
        <v>18</v>
      </c>
      <c r="C321" t="s">
        <v>11</v>
      </c>
      <c r="D321">
        <v>216</v>
      </c>
      <c r="E321">
        <f t="shared" si="24"/>
        <v>45</v>
      </c>
      <c r="F321" s="22">
        <f>STOWA2015_2030_Z!$V10</f>
        <v>1.1505550971032923</v>
      </c>
      <c r="G321" s="22" t="s">
        <v>33</v>
      </c>
      <c r="H321" s="22">
        <f>STOWA2015_2030_Z!$V10</f>
        <v>1.1505550971032923</v>
      </c>
      <c r="I321" t="str">
        <f t="shared" si="21"/>
        <v>KL2030;zomer;216;45;1.15055509710329;TRUE;1.15055509710329</v>
      </c>
    </row>
    <row r="322" spans="1:9" x14ac:dyDescent="0.25">
      <c r="A322">
        <f t="shared" ref="A322:A385" si="25">IF(C322="zomer",24/D322*365.25 * 6/12,24/D322*365.25 * 6/12)</f>
        <v>20.291666666666664</v>
      </c>
      <c r="B322" t="s">
        <v>18</v>
      </c>
      <c r="C322" t="s">
        <v>11</v>
      </c>
      <c r="D322">
        <v>216</v>
      </c>
      <c r="E322">
        <f t="shared" si="24"/>
        <v>50</v>
      </c>
      <c r="F322" s="22">
        <f>STOWA2015_2030_Z!$V11</f>
        <v>0.92780979988710843</v>
      </c>
      <c r="G322" s="22" t="s">
        <v>33</v>
      </c>
      <c r="H322" s="22">
        <f>STOWA2015_2030_Z!$V11</f>
        <v>0.92780979988710843</v>
      </c>
      <c r="I322" t="str">
        <f t="shared" ref="I322:I385" si="26">CONCATENATEWITHDELIMITER(B322:H322,";")</f>
        <v>KL2030;zomer;216;50;0.927809799887108;TRUE;0.927809799887108</v>
      </c>
    </row>
    <row r="323" spans="1:9" x14ac:dyDescent="0.25">
      <c r="A323">
        <f t="shared" si="25"/>
        <v>20.291666666666664</v>
      </c>
      <c r="B323" t="s">
        <v>18</v>
      </c>
      <c r="C323" t="s">
        <v>11</v>
      </c>
      <c r="D323">
        <v>216</v>
      </c>
      <c r="E323">
        <f t="shared" si="24"/>
        <v>55</v>
      </c>
      <c r="F323" s="22">
        <f>STOWA2015_2030_Z!$V12</f>
        <v>0.74582855900337242</v>
      </c>
      <c r="G323" s="22" t="s">
        <v>33</v>
      </c>
      <c r="H323" s="22">
        <f>STOWA2015_2030_Z!$V12</f>
        <v>0.74582855900337242</v>
      </c>
      <c r="I323" t="str">
        <f t="shared" si="26"/>
        <v>KL2030;zomer;216;55;0.745828559003372;TRUE;0.745828559003372</v>
      </c>
    </row>
    <row r="324" spans="1:9" x14ac:dyDescent="0.25">
      <c r="A324">
        <f t="shared" si="25"/>
        <v>20.291666666666664</v>
      </c>
      <c r="B324" t="s">
        <v>18</v>
      </c>
      <c r="C324" t="s">
        <v>11</v>
      </c>
      <c r="D324">
        <v>216</v>
      </c>
      <c r="E324">
        <f t="shared" si="24"/>
        <v>60</v>
      </c>
      <c r="F324" s="22">
        <f>STOWA2015_2030_Z!$V13</f>
        <v>0.59759469790898656</v>
      </c>
      <c r="G324" s="22" t="s">
        <v>33</v>
      </c>
      <c r="H324" s="22">
        <f>STOWA2015_2030_Z!$V13</f>
        <v>0.59759469790898656</v>
      </c>
      <c r="I324" t="str">
        <f t="shared" si="26"/>
        <v>KL2030;zomer;216;60;0.597594697908987;TRUE;0.597594697908987</v>
      </c>
    </row>
    <row r="325" spans="1:9" x14ac:dyDescent="0.25">
      <c r="A325">
        <f t="shared" si="25"/>
        <v>20.291666666666664</v>
      </c>
      <c r="B325" t="s">
        <v>18</v>
      </c>
      <c r="C325" t="s">
        <v>11</v>
      </c>
      <c r="D325">
        <v>216</v>
      </c>
      <c r="E325">
        <f t="shared" si="24"/>
        <v>65</v>
      </c>
      <c r="F325" s="22">
        <f>STOWA2015_2030_Z!$V14</f>
        <v>0.47722087878229624</v>
      </c>
      <c r="G325" s="22" t="s">
        <v>33</v>
      </c>
      <c r="H325" s="22">
        <f>STOWA2015_2030_Z!$V14</f>
        <v>0.47722087878229624</v>
      </c>
      <c r="I325" t="str">
        <f t="shared" si="26"/>
        <v>KL2030;zomer;216;65;0.477220878782296;TRUE;0.477220878782296</v>
      </c>
    </row>
    <row r="326" spans="1:9" x14ac:dyDescent="0.25">
      <c r="A326">
        <f t="shared" si="25"/>
        <v>20.291666666666664</v>
      </c>
      <c r="B326" t="s">
        <v>18</v>
      </c>
      <c r="C326" t="s">
        <v>11</v>
      </c>
      <c r="D326">
        <v>216</v>
      </c>
      <c r="E326">
        <f t="shared" si="24"/>
        <v>70</v>
      </c>
      <c r="F326" s="22">
        <f>STOWA2015_2030_Z!$V15</f>
        <v>0.37978031185821148</v>
      </c>
      <c r="G326" s="22" t="s">
        <v>33</v>
      </c>
      <c r="H326" s="22">
        <f>STOWA2015_2030_Z!$V15</f>
        <v>0.37978031185821148</v>
      </c>
      <c r="I326" t="str">
        <f t="shared" si="26"/>
        <v>KL2030;zomer;216;70;0.379780311858211;TRUE;0.379780311858211</v>
      </c>
    </row>
    <row r="327" spans="1:9" x14ac:dyDescent="0.25">
      <c r="A327">
        <f t="shared" si="25"/>
        <v>20.291666666666664</v>
      </c>
      <c r="B327" t="s">
        <v>18</v>
      </c>
      <c r="C327" t="s">
        <v>11</v>
      </c>
      <c r="D327">
        <v>216</v>
      </c>
      <c r="E327">
        <f t="shared" si="24"/>
        <v>75</v>
      </c>
      <c r="F327" s="22">
        <f>STOWA2015_2030_Z!$V16</f>
        <v>0.30116119758090298</v>
      </c>
      <c r="G327" s="22" t="s">
        <v>33</v>
      </c>
      <c r="H327" s="22">
        <f>STOWA2015_2030_Z!$V16</f>
        <v>0.30116119758090298</v>
      </c>
      <c r="I327" t="str">
        <f t="shared" si="26"/>
        <v>KL2030;zomer;216;75;0.301161197580903;TRUE;0.301161197580903</v>
      </c>
    </row>
    <row r="328" spans="1:9" x14ac:dyDescent="0.25">
      <c r="A328">
        <f t="shared" si="25"/>
        <v>20.291666666666664</v>
      </c>
      <c r="B328" t="s">
        <v>18</v>
      </c>
      <c r="C328" t="s">
        <v>11</v>
      </c>
      <c r="D328">
        <v>216</v>
      </c>
      <c r="E328">
        <f t="shared" si="24"/>
        <v>80</v>
      </c>
      <c r="F328" s="22">
        <f>STOWA2015_2030_Z!$V17</f>
        <v>0.23794148619004563</v>
      </c>
      <c r="G328" s="22" t="s">
        <v>33</v>
      </c>
      <c r="H328" s="22">
        <f>STOWA2015_2030_Z!$V17</f>
        <v>0.23794148619004563</v>
      </c>
      <c r="I328" t="str">
        <f t="shared" si="26"/>
        <v>KL2030;zomer;216;80;0.237941486190046;TRUE;0.237941486190046</v>
      </c>
    </row>
    <row r="329" spans="1:9" x14ac:dyDescent="0.25">
      <c r="A329">
        <f t="shared" si="25"/>
        <v>20.291666666666664</v>
      </c>
      <c r="B329" t="s">
        <v>18</v>
      </c>
      <c r="C329" t="s">
        <v>11</v>
      </c>
      <c r="D329">
        <v>216</v>
      </c>
      <c r="E329">
        <f t="shared" si="24"/>
        <v>85</v>
      </c>
      <c r="F329" s="22">
        <f>STOWA2015_2030_Z!$V18</f>
        <v>0.18728136871685119</v>
      </c>
      <c r="G329" s="22" t="s">
        <v>33</v>
      </c>
      <c r="H329" s="22">
        <f>STOWA2015_2030_Z!$V18</f>
        <v>0.18728136871685119</v>
      </c>
      <c r="I329" t="str">
        <f t="shared" si="26"/>
        <v>KL2030;zomer;216;85;0.187281368716851;TRUE;0.187281368716851</v>
      </c>
    </row>
    <row r="330" spans="1:9" x14ac:dyDescent="0.25">
      <c r="A330">
        <f t="shared" si="25"/>
        <v>20.291666666666664</v>
      </c>
      <c r="B330" t="s">
        <v>18</v>
      </c>
      <c r="C330" t="s">
        <v>11</v>
      </c>
      <c r="D330">
        <v>216</v>
      </c>
      <c r="E330">
        <f t="shared" si="24"/>
        <v>90</v>
      </c>
      <c r="F330" s="22">
        <f>STOWA2015_2030_Z!$V19</f>
        <v>0.14683120976036035</v>
      </c>
      <c r="G330" s="22" t="s">
        <v>33</v>
      </c>
      <c r="H330" s="22">
        <f>STOWA2015_2030_Z!$V19</f>
        <v>0.14683120976036035</v>
      </c>
      <c r="I330" t="str">
        <f t="shared" si="26"/>
        <v>KL2030;zomer;216;90;0.14683120976036;TRUE;0.14683120976036</v>
      </c>
    </row>
    <row r="331" spans="1:9" x14ac:dyDescent="0.25">
      <c r="A331">
        <f t="shared" si="25"/>
        <v>20.291666666666664</v>
      </c>
      <c r="B331" t="s">
        <v>18</v>
      </c>
      <c r="C331" t="s">
        <v>11</v>
      </c>
      <c r="D331">
        <v>216</v>
      </c>
      <c r="E331">
        <f t="shared" si="24"/>
        <v>95</v>
      </c>
      <c r="F331" s="22">
        <f>STOWA2015_2030_Z!$V20</f>
        <v>0.11465289870564743</v>
      </c>
      <c r="G331" s="22" t="s">
        <v>33</v>
      </c>
      <c r="H331" s="22">
        <f>STOWA2015_2030_Z!$V20</f>
        <v>0.11465289870564743</v>
      </c>
      <c r="I331" t="str">
        <f t="shared" si="26"/>
        <v>KL2030;zomer;216;95;0.114652898705647;TRUE;0.114652898705647</v>
      </c>
    </row>
    <row r="332" spans="1:9" x14ac:dyDescent="0.25">
      <c r="A332">
        <f t="shared" si="25"/>
        <v>20.291666666666664</v>
      </c>
      <c r="B332" t="s">
        <v>18</v>
      </c>
      <c r="C332" t="s">
        <v>11</v>
      </c>
      <c r="D332">
        <v>216</v>
      </c>
      <c r="E332">
        <f t="shared" si="24"/>
        <v>100</v>
      </c>
      <c r="F332" s="22">
        <f>STOWA2015_2030_Z!$V21</f>
        <v>8.9152834885726506E-2</v>
      </c>
      <c r="G332" s="22" t="s">
        <v>33</v>
      </c>
      <c r="H332" s="22">
        <f>STOWA2015_2030_Z!$V21</f>
        <v>8.9152834885726506E-2</v>
      </c>
      <c r="I332" t="str">
        <f t="shared" si="26"/>
        <v>KL2030;zomer;216;100;8.91528348857265E-02;TRUE;8.91528348857265E-02</v>
      </c>
    </row>
    <row r="333" spans="1:9" x14ac:dyDescent="0.25">
      <c r="A333">
        <f t="shared" si="25"/>
        <v>20.291666666666664</v>
      </c>
      <c r="B333" t="s">
        <v>18</v>
      </c>
      <c r="C333" t="s">
        <v>11</v>
      </c>
      <c r="D333">
        <v>216</v>
      </c>
      <c r="E333">
        <f t="shared" si="24"/>
        <v>105</v>
      </c>
      <c r="F333" s="22">
        <f>STOWA2015_2030_Z!$V22</f>
        <v>6.9024976034272129E-2</v>
      </c>
      <c r="G333" s="22" t="s">
        <v>33</v>
      </c>
      <c r="H333" s="22">
        <f>STOWA2015_2030_Z!$V22</f>
        <v>6.9024976034272129E-2</v>
      </c>
      <c r="I333" t="str">
        <f t="shared" si="26"/>
        <v>KL2030;zomer;216;105;6.90249760342721E-02;TRUE;6.90249760342721E-02</v>
      </c>
    </row>
    <row r="334" spans="1:9" x14ac:dyDescent="0.25">
      <c r="A334">
        <f t="shared" si="25"/>
        <v>20.291666666666664</v>
      </c>
      <c r="B334" t="s">
        <v>18</v>
      </c>
      <c r="C334" t="s">
        <v>11</v>
      </c>
      <c r="D334">
        <v>216</v>
      </c>
      <c r="E334">
        <f t="shared" si="24"/>
        <v>110</v>
      </c>
      <c r="F334" s="22">
        <f>STOWA2015_2030_Z!$V23</f>
        <v>5.3202570496737128E-2</v>
      </c>
      <c r="G334" s="22" t="s">
        <v>33</v>
      </c>
      <c r="H334" s="22">
        <f>STOWA2015_2030_Z!$V23</f>
        <v>5.3202570496737128E-2</v>
      </c>
      <c r="I334" t="str">
        <f t="shared" si="26"/>
        <v>KL2030;zomer;216;110;5.32025704967371E-02;TRUE;5.32025704967371E-02</v>
      </c>
    </row>
    <row r="335" spans="1:9" x14ac:dyDescent="0.25">
      <c r="A335">
        <f t="shared" si="25"/>
        <v>20.291666666666664</v>
      </c>
      <c r="B335" t="s">
        <v>18</v>
      </c>
      <c r="C335" t="s">
        <v>11</v>
      </c>
      <c r="D335">
        <v>216</v>
      </c>
      <c r="E335">
        <f t="shared" si="24"/>
        <v>115</v>
      </c>
      <c r="F335" s="22">
        <f>STOWA2015_2030_Z!$V24</f>
        <v>4.0817364160216627E-2</v>
      </c>
      <c r="G335" s="22" t="s">
        <v>33</v>
      </c>
      <c r="H335" s="22">
        <f>STOWA2015_2030_Z!$V24</f>
        <v>4.0817364160216627E-2</v>
      </c>
      <c r="I335" t="str">
        <f t="shared" si="26"/>
        <v>KL2030;zomer;216;115;4.08173641602166E-02;TRUE;4.08173641602166E-02</v>
      </c>
    </row>
    <row r="336" spans="1:9" x14ac:dyDescent="0.25">
      <c r="A336">
        <f t="shared" si="25"/>
        <v>20.291666666666664</v>
      </c>
      <c r="B336" t="s">
        <v>18</v>
      </c>
      <c r="C336" t="s">
        <v>11</v>
      </c>
      <c r="D336">
        <v>216</v>
      </c>
      <c r="E336">
        <f t="shared" si="24"/>
        <v>120</v>
      </c>
      <c r="F336" s="22">
        <f>STOWA2015_2030_Z!$V25</f>
        <v>3.1165224860548957E-2</v>
      </c>
      <c r="G336" s="22" t="s">
        <v>33</v>
      </c>
      <c r="H336" s="22">
        <f>STOWA2015_2030_Z!$V25</f>
        <v>3.1165224860548957E-2</v>
      </c>
      <c r="I336" t="str">
        <f t="shared" si="26"/>
        <v>KL2030;zomer;216;120;0.031165224860549;TRUE;0.031165224860549</v>
      </c>
    </row>
    <row r="337" spans="1:9" x14ac:dyDescent="0.25">
      <c r="A337">
        <f t="shared" si="25"/>
        <v>20.291666666666664</v>
      </c>
      <c r="B337" t="s">
        <v>18</v>
      </c>
      <c r="C337" t="s">
        <v>11</v>
      </c>
      <c r="D337">
        <v>216</v>
      </c>
      <c r="E337">
        <f t="shared" si="24"/>
        <v>125</v>
      </c>
      <c r="F337" s="22">
        <f>STOWA2015_2030_Z!$V26</f>
        <v>2.3677261909680933E-2</v>
      </c>
      <c r="G337" s="22" t="s">
        <v>33</v>
      </c>
      <c r="H337" s="22">
        <f>STOWA2015_2030_Z!$V26</f>
        <v>2.3677261909680933E-2</v>
      </c>
      <c r="I337" t="str">
        <f t="shared" si="26"/>
        <v>KL2030;zomer;216;125;2.36772619096809E-02;TRUE;2.36772619096809E-02</v>
      </c>
    </row>
    <row r="338" spans="1:9" x14ac:dyDescent="0.25">
      <c r="A338">
        <f t="shared" si="25"/>
        <v>20.291666666666664</v>
      </c>
      <c r="B338" t="s">
        <v>18</v>
      </c>
      <c r="C338" t="s">
        <v>11</v>
      </c>
      <c r="D338">
        <v>216</v>
      </c>
      <c r="E338">
        <f t="shared" si="24"/>
        <v>130</v>
      </c>
      <c r="F338" s="22">
        <f>STOWA2015_2030_Z!$V27</f>
        <v>1.7895637994469034E-2</v>
      </c>
      <c r="G338" s="22" t="s">
        <v>33</v>
      </c>
      <c r="H338" s="22">
        <f>STOWA2015_2030_Z!$V27</f>
        <v>1.7895637994469034E-2</v>
      </c>
      <c r="I338" t="str">
        <f t="shared" si="26"/>
        <v>KL2030;zomer;216;130;0.017895637994469;TRUE;0.017895637994469</v>
      </c>
    </row>
    <row r="339" spans="1:9" x14ac:dyDescent="0.25">
      <c r="A339">
        <f t="shared" si="25"/>
        <v>20.291666666666664</v>
      </c>
      <c r="B339" t="s">
        <v>18</v>
      </c>
      <c r="C339" t="s">
        <v>11</v>
      </c>
      <c r="D339">
        <v>216</v>
      </c>
      <c r="E339">
        <f t="shared" si="24"/>
        <v>135</v>
      </c>
      <c r="F339" s="22">
        <f>STOWA2015_2030_Z!$V28</f>
        <v>1.3453376533852382E-2</v>
      </c>
      <c r="G339" s="22" t="s">
        <v>33</v>
      </c>
      <c r="H339" s="22">
        <f>STOWA2015_2030_Z!$V28</f>
        <v>1.3453376533852382E-2</v>
      </c>
      <c r="I339" t="str">
        <f t="shared" si="26"/>
        <v>KL2030;zomer;216;135;1.34533765338524E-02;TRUE;1.34533765338524E-02</v>
      </c>
    </row>
    <row r="340" spans="1:9" x14ac:dyDescent="0.25">
      <c r="A340">
        <f t="shared" si="25"/>
        <v>20.291666666666664</v>
      </c>
      <c r="B340" t="s">
        <v>18</v>
      </c>
      <c r="C340" t="s">
        <v>11</v>
      </c>
      <c r="D340">
        <v>216</v>
      </c>
      <c r="E340">
        <f t="shared" si="24"/>
        <v>140</v>
      </c>
      <c r="F340" s="22">
        <f>STOWA2015_2030_Z!$V29</f>
        <v>1.0057561023279135E-2</v>
      </c>
      <c r="G340" s="22" t="s">
        <v>33</v>
      </c>
      <c r="H340" s="22">
        <f>STOWA2015_2030_Z!$V29</f>
        <v>1.0057561023279135E-2</v>
      </c>
      <c r="I340" t="str">
        <f t="shared" si="26"/>
        <v>KL2030;zomer;216;140;1.00575610232791E-02;TRUE;1.00575610232791E-02</v>
      </c>
    </row>
    <row r="341" spans="1:9" x14ac:dyDescent="0.25">
      <c r="A341">
        <f t="shared" si="25"/>
        <v>20.291666666666664</v>
      </c>
      <c r="B341" t="s">
        <v>18</v>
      </c>
      <c r="C341" t="s">
        <v>11</v>
      </c>
      <c r="D341">
        <v>216</v>
      </c>
      <c r="E341">
        <f t="shared" si="24"/>
        <v>145</v>
      </c>
      <c r="F341" s="22">
        <f>STOWA2015_2030_Z!$V30</f>
        <v>7.4754052057581129E-3</v>
      </c>
      <c r="G341" s="22" t="s">
        <v>33</v>
      </c>
      <c r="H341" s="22">
        <f>STOWA2015_2030_Z!$V30</f>
        <v>7.4754052057581129E-3</v>
      </c>
      <c r="I341" t="str">
        <f t="shared" si="26"/>
        <v>KL2030;zomer;216;145;7.47540520575811E-03;TRUE;7.47540520575811E-03</v>
      </c>
    </row>
    <row r="342" spans="1:9" x14ac:dyDescent="0.25">
      <c r="A342">
        <f t="shared" si="25"/>
        <v>20.291666666666664</v>
      </c>
      <c r="B342" t="s">
        <v>18</v>
      </c>
      <c r="C342" t="s">
        <v>11</v>
      </c>
      <c r="D342">
        <v>216</v>
      </c>
      <c r="E342">
        <f t="shared" si="24"/>
        <v>150</v>
      </c>
      <c r="F342" s="22">
        <f>STOWA2015_2030_Z!$V31</f>
        <v>5.5227452414614488E-3</v>
      </c>
      <c r="G342" s="22" t="s">
        <v>33</v>
      </c>
      <c r="H342" s="22">
        <f>STOWA2015_2030_Z!$V31</f>
        <v>5.5227452414614488E-3</v>
      </c>
      <c r="I342" t="str">
        <f t="shared" si="26"/>
        <v>KL2030;zomer;216;150;5.52274524146145E-03;TRUE;5.52274524146145E-03</v>
      </c>
    </row>
    <row r="343" spans="1:9" x14ac:dyDescent="0.25">
      <c r="A343">
        <f t="shared" si="25"/>
        <v>20.291666666666664</v>
      </c>
      <c r="B343" t="s">
        <v>18</v>
      </c>
      <c r="C343" t="s">
        <v>11</v>
      </c>
      <c r="D343">
        <v>216</v>
      </c>
      <c r="E343">
        <f t="shared" si="24"/>
        <v>155</v>
      </c>
      <c r="F343" s="22">
        <f>STOWA2015_2030_Z!$V32</f>
        <v>1.4299580735841517E-2</v>
      </c>
      <c r="G343" s="22" t="s">
        <v>33</v>
      </c>
      <c r="H343" s="22">
        <f>STOWA2015_2030_Z!$V32</f>
        <v>1.4299580735841517E-2</v>
      </c>
      <c r="I343" t="str">
        <f t="shared" si="26"/>
        <v>KL2030;zomer;216;155;1.42995807358415E-02;TRUE;1.42995807358415E-02</v>
      </c>
    </row>
    <row r="344" spans="1:9" x14ac:dyDescent="0.25">
      <c r="A344">
        <f t="shared" si="25"/>
        <v>182.625</v>
      </c>
      <c r="B344" t="s">
        <v>18</v>
      </c>
      <c r="C344" t="s">
        <v>7</v>
      </c>
      <c r="D344">
        <v>24</v>
      </c>
      <c r="E344">
        <v>15</v>
      </c>
      <c r="F344" s="22">
        <f>STOWA2015_2030_W!$F4</f>
        <v>360.89743121250029</v>
      </c>
      <c r="G344" s="22" t="s">
        <v>33</v>
      </c>
      <c r="H344" s="22">
        <f>STOWA2015_2030_W!$F4</f>
        <v>360.89743121250029</v>
      </c>
      <c r="I344" t="str">
        <f t="shared" si="26"/>
        <v>KL2030;winter;24;15;360.8974312125;TRUE;360.8974312125</v>
      </c>
    </row>
    <row r="345" spans="1:9" x14ac:dyDescent="0.25">
      <c r="A345">
        <f t="shared" si="25"/>
        <v>182.625</v>
      </c>
      <c r="B345" t="s">
        <v>18</v>
      </c>
      <c r="C345" t="s">
        <v>7</v>
      </c>
      <c r="D345">
        <v>24</v>
      </c>
      <c r="E345">
        <f>E344+5</f>
        <v>20</v>
      </c>
      <c r="F345" s="22">
        <f>STOWA2015_2030_W!$F5</f>
        <v>2.5686260573028648</v>
      </c>
      <c r="G345" s="22" t="s">
        <v>33</v>
      </c>
      <c r="H345" s="22">
        <f>STOWA2015_2030_W!$F5</f>
        <v>2.5686260573028648</v>
      </c>
      <c r="I345" t="str">
        <f t="shared" si="26"/>
        <v>KL2030;winter;24;20;2.56862605730286;TRUE;2.56862605730286</v>
      </c>
    </row>
    <row r="346" spans="1:9" x14ac:dyDescent="0.25">
      <c r="A346">
        <f t="shared" si="25"/>
        <v>182.625</v>
      </c>
      <c r="B346" t="s">
        <v>18</v>
      </c>
      <c r="C346" t="s">
        <v>7</v>
      </c>
      <c r="D346">
        <v>24</v>
      </c>
      <c r="E346">
        <f t="shared" ref="E346:E360" si="27">E345+5</f>
        <v>25</v>
      </c>
      <c r="F346" s="22">
        <f>STOWA2015_2030_W!$F6</f>
        <v>1.0117892190058004</v>
      </c>
      <c r="G346" s="22" t="s">
        <v>33</v>
      </c>
      <c r="H346" s="22">
        <f>STOWA2015_2030_W!$F6</f>
        <v>1.0117892190058004</v>
      </c>
      <c r="I346" t="str">
        <f t="shared" si="26"/>
        <v>KL2030;winter;24;25;1.0117892190058;TRUE;1.0117892190058</v>
      </c>
    </row>
    <row r="347" spans="1:9" x14ac:dyDescent="0.25">
      <c r="A347">
        <f t="shared" si="25"/>
        <v>182.625</v>
      </c>
      <c r="B347" t="s">
        <v>18</v>
      </c>
      <c r="C347" t="s">
        <v>7</v>
      </c>
      <c r="D347">
        <v>24</v>
      </c>
      <c r="E347">
        <f t="shared" si="27"/>
        <v>30</v>
      </c>
      <c r="F347" s="22">
        <f>STOWA2015_2030_W!$F7</f>
        <v>0.42141531371550794</v>
      </c>
      <c r="G347" s="22" t="s">
        <v>33</v>
      </c>
      <c r="H347" s="22">
        <f>STOWA2015_2030_W!$F7</f>
        <v>0.42141531371550794</v>
      </c>
      <c r="I347" t="str">
        <f t="shared" si="26"/>
        <v>KL2030;winter;24;30;0.421415313715508;TRUE;0.421415313715508</v>
      </c>
    </row>
    <row r="348" spans="1:9" x14ac:dyDescent="0.25">
      <c r="A348">
        <f t="shared" si="25"/>
        <v>182.625</v>
      </c>
      <c r="B348" t="s">
        <v>18</v>
      </c>
      <c r="C348" t="s">
        <v>7</v>
      </c>
      <c r="D348">
        <v>24</v>
      </c>
      <c r="E348">
        <f t="shared" si="27"/>
        <v>35</v>
      </c>
      <c r="F348" s="22">
        <f>STOWA2015_2030_W!$F8</f>
        <v>0.18442184498413081</v>
      </c>
      <c r="G348" s="22" t="s">
        <v>33</v>
      </c>
      <c r="H348" s="22">
        <f>STOWA2015_2030_W!$F8</f>
        <v>0.18442184498413081</v>
      </c>
      <c r="I348" t="str">
        <f t="shared" si="26"/>
        <v>KL2030;winter;24;35;0.184421844984131;TRUE;0.184421844984131</v>
      </c>
    </row>
    <row r="349" spans="1:9" x14ac:dyDescent="0.25">
      <c r="A349">
        <f t="shared" si="25"/>
        <v>182.625</v>
      </c>
      <c r="B349" t="s">
        <v>18</v>
      </c>
      <c r="C349" t="s">
        <v>7</v>
      </c>
      <c r="D349">
        <v>24</v>
      </c>
      <c r="E349">
        <f t="shared" si="27"/>
        <v>40</v>
      </c>
      <c r="F349" s="22">
        <f>STOWA2015_2030_W!$F9</f>
        <v>8.4351183224442017E-2</v>
      </c>
      <c r="G349" s="22" t="s">
        <v>33</v>
      </c>
      <c r="H349" s="22">
        <f>STOWA2015_2030_W!$F9</f>
        <v>8.4351183224442017E-2</v>
      </c>
      <c r="I349" t="str">
        <f t="shared" si="26"/>
        <v>KL2030;winter;24;40;0.084351183224442;TRUE;0.084351183224442</v>
      </c>
    </row>
    <row r="350" spans="1:9" x14ac:dyDescent="0.25">
      <c r="A350">
        <f t="shared" si="25"/>
        <v>182.625</v>
      </c>
      <c r="B350" t="s">
        <v>18</v>
      </c>
      <c r="C350" t="s">
        <v>7</v>
      </c>
      <c r="D350">
        <v>24</v>
      </c>
      <c r="E350">
        <f t="shared" si="27"/>
        <v>45</v>
      </c>
      <c r="F350" s="22">
        <f>STOWA2015_2030_W!$F10</f>
        <v>4.0141624905359698E-2</v>
      </c>
      <c r="G350" s="22" t="s">
        <v>33</v>
      </c>
      <c r="H350" s="22">
        <f>STOWA2015_2030_W!$F10</f>
        <v>4.0141624905359698E-2</v>
      </c>
      <c r="I350" t="str">
        <f t="shared" si="26"/>
        <v>KL2030;winter;24;45;4.01416249053597E-02;TRUE;4.01416249053597E-02</v>
      </c>
    </row>
    <row r="351" spans="1:9" x14ac:dyDescent="0.25">
      <c r="A351">
        <f t="shared" si="25"/>
        <v>182.625</v>
      </c>
      <c r="B351" t="s">
        <v>18</v>
      </c>
      <c r="C351" t="s">
        <v>7</v>
      </c>
      <c r="D351">
        <v>24</v>
      </c>
      <c r="E351">
        <f t="shared" si="27"/>
        <v>50</v>
      </c>
      <c r="F351" s="22">
        <f>STOWA2015_2030_W!$F11</f>
        <v>1.9799591085103183E-2</v>
      </c>
      <c r="G351" s="22" t="s">
        <v>33</v>
      </c>
      <c r="H351" s="22">
        <f>STOWA2015_2030_W!$F11</f>
        <v>1.9799591085103183E-2</v>
      </c>
      <c r="I351" t="str">
        <f t="shared" si="26"/>
        <v>KL2030;winter;24;50;1.97995910851032E-02;TRUE;1.97995910851032E-02</v>
      </c>
    </row>
    <row r="352" spans="1:9" x14ac:dyDescent="0.25">
      <c r="A352">
        <f t="shared" si="25"/>
        <v>182.625</v>
      </c>
      <c r="B352" t="s">
        <v>18</v>
      </c>
      <c r="C352" t="s">
        <v>7</v>
      </c>
      <c r="D352">
        <v>24</v>
      </c>
      <c r="E352">
        <f t="shared" si="27"/>
        <v>55</v>
      </c>
      <c r="F352" s="22">
        <f>STOWA2015_2030_W!$F12</f>
        <v>1.0088790429910982E-2</v>
      </c>
      <c r="G352" s="22" t="s">
        <v>33</v>
      </c>
      <c r="H352" s="22">
        <f>STOWA2015_2030_W!$F12</f>
        <v>1.0088790429910982E-2</v>
      </c>
      <c r="I352" t="str">
        <f t="shared" si="26"/>
        <v>KL2030;winter;24;55;0.010088790429911;TRUE;0.010088790429911</v>
      </c>
    </row>
    <row r="353" spans="1:9" x14ac:dyDescent="0.25">
      <c r="A353">
        <f t="shared" si="25"/>
        <v>182.625</v>
      </c>
      <c r="B353" t="s">
        <v>18</v>
      </c>
      <c r="C353" t="s">
        <v>7</v>
      </c>
      <c r="D353">
        <v>24</v>
      </c>
      <c r="E353">
        <f t="shared" si="27"/>
        <v>60</v>
      </c>
      <c r="F353" s="22">
        <f>STOWA2015_2030_W!$F13</f>
        <v>5.2953927354462511E-3</v>
      </c>
      <c r="G353" s="22" t="s">
        <v>33</v>
      </c>
      <c r="H353" s="22">
        <f>STOWA2015_2030_W!$F13</f>
        <v>5.2953927354462511E-3</v>
      </c>
      <c r="I353" t="str">
        <f t="shared" si="26"/>
        <v>KL2030;winter;24;60;5.29539273544625E-03;TRUE;5.29539273544625E-03</v>
      </c>
    </row>
    <row r="354" spans="1:9" x14ac:dyDescent="0.25">
      <c r="A354">
        <f t="shared" si="25"/>
        <v>182.625</v>
      </c>
      <c r="B354" t="s">
        <v>18</v>
      </c>
      <c r="C354" t="s">
        <v>7</v>
      </c>
      <c r="D354">
        <v>24</v>
      </c>
      <c r="E354">
        <f t="shared" si="27"/>
        <v>65</v>
      </c>
      <c r="F354" s="22">
        <f>STOWA2015_2030_W!$F14</f>
        <v>2.8559209484344868E-3</v>
      </c>
      <c r="G354" s="22" t="s">
        <v>33</v>
      </c>
      <c r="H354" s="22">
        <f>STOWA2015_2030_W!$F14</f>
        <v>2.8559209484344868E-3</v>
      </c>
      <c r="I354" t="str">
        <f t="shared" si="26"/>
        <v>KL2030;winter;24;65;2.85592094843449E-03;TRUE;2.85592094843449E-03</v>
      </c>
    </row>
    <row r="355" spans="1:9" x14ac:dyDescent="0.25">
      <c r="A355">
        <f t="shared" si="25"/>
        <v>182.625</v>
      </c>
      <c r="B355" t="s">
        <v>18</v>
      </c>
      <c r="C355" t="s">
        <v>7</v>
      </c>
      <c r="D355">
        <v>24</v>
      </c>
      <c r="E355">
        <f t="shared" si="27"/>
        <v>70</v>
      </c>
      <c r="F355" s="22">
        <f>STOWA2015_2030_W!$F15</f>
        <v>1.5791677542456614E-3</v>
      </c>
      <c r="G355" s="22" t="s">
        <v>33</v>
      </c>
      <c r="H355" s="22">
        <f>STOWA2015_2030_W!$F15</f>
        <v>1.5791677542456614E-3</v>
      </c>
      <c r="I355" t="str">
        <f t="shared" si="26"/>
        <v>KL2030;winter;24;70;1.57916775424566E-03;TRUE;1.57916775424566E-03</v>
      </c>
    </row>
    <row r="356" spans="1:9" x14ac:dyDescent="0.25">
      <c r="A356">
        <f t="shared" si="25"/>
        <v>182.625</v>
      </c>
      <c r="B356" t="s">
        <v>18</v>
      </c>
      <c r="C356" t="s">
        <v>7</v>
      </c>
      <c r="D356">
        <v>24</v>
      </c>
      <c r="E356">
        <f t="shared" si="27"/>
        <v>75</v>
      </c>
      <c r="F356" s="22">
        <f>STOWA2015_2030_W!$F16</f>
        <v>8.9351384689818707E-4</v>
      </c>
      <c r="G356" s="22" t="s">
        <v>33</v>
      </c>
      <c r="H356" s="22">
        <f>STOWA2015_2030_W!$F16</f>
        <v>8.9351384689818707E-4</v>
      </c>
      <c r="I356" t="str">
        <f t="shared" si="26"/>
        <v>KL2030;winter;24;75;8.93513846898187E-04;TRUE;8.93513846898187E-04</v>
      </c>
    </row>
    <row r="357" spans="1:9" x14ac:dyDescent="0.25">
      <c r="A357">
        <f t="shared" si="25"/>
        <v>182.625</v>
      </c>
      <c r="B357" t="s">
        <v>18</v>
      </c>
      <c r="C357" t="s">
        <v>7</v>
      </c>
      <c r="D357">
        <v>24</v>
      </c>
      <c r="E357">
        <f t="shared" si="27"/>
        <v>80</v>
      </c>
      <c r="F357" s="22">
        <f>STOWA2015_2030_W!$F17</f>
        <v>5.164365923106028E-4</v>
      </c>
      <c r="G357" s="22" t="s">
        <v>33</v>
      </c>
      <c r="H357" s="22">
        <f>STOWA2015_2030_W!$F17</f>
        <v>5.164365923106028E-4</v>
      </c>
      <c r="I357" t="str">
        <f t="shared" si="26"/>
        <v>KL2030;winter;24;80;5.16436592310603E-04;TRUE;5.16436592310603E-04</v>
      </c>
    </row>
    <row r="358" spans="1:9" x14ac:dyDescent="0.25">
      <c r="A358">
        <f t="shared" si="25"/>
        <v>182.625</v>
      </c>
      <c r="B358" t="s">
        <v>18</v>
      </c>
      <c r="C358" t="s">
        <v>7</v>
      </c>
      <c r="D358">
        <v>24</v>
      </c>
      <c r="E358">
        <f t="shared" si="27"/>
        <v>85</v>
      </c>
      <c r="F358" s="22">
        <f>STOWA2015_2030_W!$F18</f>
        <v>3.044446514202673E-4</v>
      </c>
      <c r="G358" s="22" t="s">
        <v>33</v>
      </c>
      <c r="H358" s="22">
        <f>STOWA2015_2030_W!$F18</f>
        <v>3.044446514202673E-4</v>
      </c>
      <c r="I358" t="str">
        <f t="shared" si="26"/>
        <v>KL2030;winter;24;85;3.04444651420267E-04;TRUE;3.04444651420267E-04</v>
      </c>
    </row>
    <row r="359" spans="1:9" x14ac:dyDescent="0.25">
      <c r="A359">
        <f t="shared" si="25"/>
        <v>182.625</v>
      </c>
      <c r="B359" t="s">
        <v>18</v>
      </c>
      <c r="C359" t="s">
        <v>7</v>
      </c>
      <c r="D359">
        <v>24</v>
      </c>
      <c r="E359">
        <f t="shared" si="27"/>
        <v>90</v>
      </c>
      <c r="F359" s="22">
        <f>STOWA2015_2030_W!$F19</f>
        <v>1.8280078147148073E-4</v>
      </c>
      <c r="G359" s="22" t="s">
        <v>33</v>
      </c>
      <c r="H359" s="22">
        <f>STOWA2015_2030_W!$F19</f>
        <v>1.8280078147148073E-4</v>
      </c>
      <c r="I359" t="str">
        <f t="shared" si="26"/>
        <v>KL2030;winter;24;90;1.82800781471481E-04;TRUE;1.82800781471481E-04</v>
      </c>
    </row>
    <row r="360" spans="1:9" x14ac:dyDescent="0.25">
      <c r="A360">
        <f t="shared" si="25"/>
        <v>182.625</v>
      </c>
      <c r="B360" t="s">
        <v>18</v>
      </c>
      <c r="C360" t="s">
        <v>7</v>
      </c>
      <c r="D360">
        <v>24</v>
      </c>
      <c r="E360">
        <f t="shared" si="27"/>
        <v>95</v>
      </c>
      <c r="F360" s="22">
        <f>STOWA2015_2030_W!$F20</f>
        <v>3.0748553635069284E-4</v>
      </c>
      <c r="G360" s="22" t="s">
        <v>33</v>
      </c>
      <c r="H360" s="22">
        <f>STOWA2015_2030_W!$F20</f>
        <v>3.0748553635069284E-4</v>
      </c>
      <c r="I360" t="str">
        <f t="shared" si="26"/>
        <v>KL2030;winter;24;95;3.07485536350693E-04;TRUE;3.07485536350693E-04</v>
      </c>
    </row>
    <row r="361" spans="1:9" x14ac:dyDescent="0.25">
      <c r="A361">
        <f t="shared" si="25"/>
        <v>91.3125</v>
      </c>
      <c r="B361" t="s">
        <v>18</v>
      </c>
      <c r="C361" t="s">
        <v>7</v>
      </c>
      <c r="D361">
        <v>48</v>
      </c>
      <c r="E361">
        <v>15</v>
      </c>
      <c r="F361" s="22">
        <f>STOWA2015_2030_W!$J4</f>
        <v>172.88168640545123</v>
      </c>
      <c r="G361" s="22" t="s">
        <v>33</v>
      </c>
      <c r="H361" s="22">
        <f>STOWA2015_2030_W!$J4</f>
        <v>172.88168640545123</v>
      </c>
      <c r="I361" t="str">
        <f t="shared" si="26"/>
        <v>KL2030;winter;48;15;172.881686405451;TRUE;172.881686405451</v>
      </c>
    </row>
    <row r="362" spans="1:9" x14ac:dyDescent="0.25">
      <c r="A362">
        <f t="shared" si="25"/>
        <v>91.3125</v>
      </c>
      <c r="B362" t="s">
        <v>18</v>
      </c>
      <c r="C362" t="s">
        <v>7</v>
      </c>
      <c r="D362">
        <v>48</v>
      </c>
      <c r="E362">
        <f>E361+5</f>
        <v>20</v>
      </c>
      <c r="F362" s="22">
        <f>STOWA2015_2030_W!$J5</f>
        <v>4.83621707114039</v>
      </c>
      <c r="G362" s="22" t="s">
        <v>33</v>
      </c>
      <c r="H362" s="22">
        <f>STOWA2015_2030_W!$J5</f>
        <v>4.83621707114039</v>
      </c>
      <c r="I362" t="str">
        <f t="shared" si="26"/>
        <v>KL2030;winter;48;20;4.83621707114039;TRUE;4.83621707114039</v>
      </c>
    </row>
    <row r="363" spans="1:9" x14ac:dyDescent="0.25">
      <c r="A363">
        <f t="shared" si="25"/>
        <v>91.3125</v>
      </c>
      <c r="B363" t="s">
        <v>18</v>
      </c>
      <c r="C363" t="s">
        <v>7</v>
      </c>
      <c r="D363">
        <v>48</v>
      </c>
      <c r="E363">
        <f t="shared" ref="E363:E379" si="28">E362+5</f>
        <v>25</v>
      </c>
      <c r="F363" s="22">
        <f>STOWA2015_2030_W!$J6</f>
        <v>2.3721879386700837</v>
      </c>
      <c r="G363" s="22" t="s">
        <v>33</v>
      </c>
      <c r="H363" s="22">
        <f>STOWA2015_2030_W!$J6</f>
        <v>2.3721879386700837</v>
      </c>
      <c r="I363" t="str">
        <f t="shared" si="26"/>
        <v>KL2030;winter;48;25;2.37218793867008;TRUE;2.37218793867008</v>
      </c>
    </row>
    <row r="364" spans="1:9" x14ac:dyDescent="0.25">
      <c r="A364">
        <f t="shared" si="25"/>
        <v>91.3125</v>
      </c>
      <c r="B364" t="s">
        <v>18</v>
      </c>
      <c r="C364" t="s">
        <v>7</v>
      </c>
      <c r="D364">
        <v>48</v>
      </c>
      <c r="E364">
        <f t="shared" si="28"/>
        <v>30</v>
      </c>
      <c r="F364" s="22">
        <f>STOWA2015_2030_W!$J7</f>
        <v>1.1942028676452865</v>
      </c>
      <c r="G364" s="22" t="s">
        <v>33</v>
      </c>
      <c r="H364" s="22">
        <f>STOWA2015_2030_W!$J7</f>
        <v>1.1942028676452865</v>
      </c>
      <c r="I364" t="str">
        <f t="shared" si="26"/>
        <v>KL2030;winter;48;30;1.19420286764529;TRUE;1.19420286764529</v>
      </c>
    </row>
    <row r="365" spans="1:9" x14ac:dyDescent="0.25">
      <c r="A365">
        <f t="shared" si="25"/>
        <v>91.3125</v>
      </c>
      <c r="B365" t="s">
        <v>18</v>
      </c>
      <c r="C365" t="s">
        <v>7</v>
      </c>
      <c r="D365">
        <v>48</v>
      </c>
      <c r="E365">
        <f t="shared" si="28"/>
        <v>35</v>
      </c>
      <c r="F365" s="22">
        <f>STOWA2015_2030_W!$J8</f>
        <v>0.61588094790342618</v>
      </c>
      <c r="G365" s="22" t="s">
        <v>33</v>
      </c>
      <c r="H365" s="22">
        <f>STOWA2015_2030_W!$J8</f>
        <v>0.61588094790342618</v>
      </c>
      <c r="I365" t="str">
        <f t="shared" si="26"/>
        <v>KL2030;winter;48;35;0.615880947903426;TRUE;0.615880947903426</v>
      </c>
    </row>
    <row r="366" spans="1:9" x14ac:dyDescent="0.25">
      <c r="A366">
        <f t="shared" si="25"/>
        <v>91.3125</v>
      </c>
      <c r="B366" t="s">
        <v>18</v>
      </c>
      <c r="C366" t="s">
        <v>7</v>
      </c>
      <c r="D366">
        <v>48</v>
      </c>
      <c r="E366">
        <f t="shared" si="28"/>
        <v>40</v>
      </c>
      <c r="F366" s="22">
        <f>STOWA2015_2030_W!$J9</f>
        <v>0.32485571819296766</v>
      </c>
      <c r="G366" s="22" t="s">
        <v>33</v>
      </c>
      <c r="H366" s="22">
        <f>STOWA2015_2030_W!$J9</f>
        <v>0.32485571819296766</v>
      </c>
      <c r="I366" t="str">
        <f t="shared" si="26"/>
        <v>KL2030;winter;48;40;0.324855718192968;TRUE;0.324855718192968</v>
      </c>
    </row>
    <row r="367" spans="1:9" x14ac:dyDescent="0.25">
      <c r="A367">
        <f t="shared" si="25"/>
        <v>91.3125</v>
      </c>
      <c r="B367" t="s">
        <v>18</v>
      </c>
      <c r="C367" t="s">
        <v>7</v>
      </c>
      <c r="D367">
        <v>48</v>
      </c>
      <c r="E367">
        <f t="shared" si="28"/>
        <v>45</v>
      </c>
      <c r="F367" s="22">
        <f>STOWA2015_2030_W!$J10</f>
        <v>0.17499092286982054</v>
      </c>
      <c r="G367" s="22" t="s">
        <v>33</v>
      </c>
      <c r="H367" s="22">
        <f>STOWA2015_2030_W!$J10</f>
        <v>0.17499092286982054</v>
      </c>
      <c r="I367" t="str">
        <f t="shared" si="26"/>
        <v>KL2030;winter;48;45;0.174990922869821;TRUE;0.174990922869821</v>
      </c>
    </row>
    <row r="368" spans="1:9" x14ac:dyDescent="0.25">
      <c r="A368">
        <f t="shared" si="25"/>
        <v>91.3125</v>
      </c>
      <c r="B368" t="s">
        <v>18</v>
      </c>
      <c r="C368" t="s">
        <v>7</v>
      </c>
      <c r="D368">
        <v>48</v>
      </c>
      <c r="E368">
        <f t="shared" si="28"/>
        <v>50</v>
      </c>
      <c r="F368" s="22">
        <f>STOWA2015_2030_W!$J11</f>
        <v>9.6136795030910382E-2</v>
      </c>
      <c r="G368" s="22" t="s">
        <v>33</v>
      </c>
      <c r="H368" s="22">
        <f>STOWA2015_2030_W!$J11</f>
        <v>9.6136795030910382E-2</v>
      </c>
      <c r="I368" t="str">
        <f t="shared" si="26"/>
        <v>KL2030;winter;48;50;9.61367950309104E-02;TRUE;9.61367950309104E-02</v>
      </c>
    </row>
    <row r="369" spans="1:9" x14ac:dyDescent="0.25">
      <c r="A369">
        <f t="shared" si="25"/>
        <v>91.3125</v>
      </c>
      <c r="B369" t="s">
        <v>18</v>
      </c>
      <c r="C369" t="s">
        <v>7</v>
      </c>
      <c r="D369">
        <v>48</v>
      </c>
      <c r="E369">
        <f t="shared" si="28"/>
        <v>55</v>
      </c>
      <c r="F369" s="22">
        <f>STOWA2015_2030_W!$J12</f>
        <v>5.3800307316619417E-2</v>
      </c>
      <c r="G369" s="22" t="s">
        <v>33</v>
      </c>
      <c r="H369" s="22">
        <f>STOWA2015_2030_W!$J12</f>
        <v>5.3800307316619417E-2</v>
      </c>
      <c r="I369" t="str">
        <f t="shared" si="26"/>
        <v>KL2030;winter;48;55;5.38003073166194E-02;TRUE;5.38003073166194E-02</v>
      </c>
    </row>
    <row r="370" spans="1:9" x14ac:dyDescent="0.25">
      <c r="A370">
        <f t="shared" si="25"/>
        <v>91.3125</v>
      </c>
      <c r="B370" t="s">
        <v>18</v>
      </c>
      <c r="C370" t="s">
        <v>7</v>
      </c>
      <c r="D370">
        <v>48</v>
      </c>
      <c r="E370">
        <f t="shared" si="28"/>
        <v>60</v>
      </c>
      <c r="F370" s="22">
        <f>STOWA2015_2030_W!$J13</f>
        <v>3.0635170105472023E-2</v>
      </c>
      <c r="G370" s="22" t="s">
        <v>33</v>
      </c>
      <c r="H370" s="22">
        <f>STOWA2015_2030_W!$J13</f>
        <v>3.0635170105472023E-2</v>
      </c>
      <c r="I370" t="str">
        <f t="shared" si="26"/>
        <v>KL2030;winter;48;60;0.030635170105472;TRUE;0.030635170105472</v>
      </c>
    </row>
    <row r="371" spans="1:9" x14ac:dyDescent="0.25">
      <c r="A371">
        <f t="shared" si="25"/>
        <v>91.3125</v>
      </c>
      <c r="B371" t="s">
        <v>18</v>
      </c>
      <c r="C371" t="s">
        <v>7</v>
      </c>
      <c r="D371">
        <v>48</v>
      </c>
      <c r="E371">
        <f t="shared" si="28"/>
        <v>65</v>
      </c>
      <c r="F371" s="22">
        <f>STOWA2015_2030_W!$J14</f>
        <v>1.7731998045559489E-2</v>
      </c>
      <c r="G371" s="22" t="s">
        <v>33</v>
      </c>
      <c r="H371" s="22">
        <f>STOWA2015_2030_W!$J14</f>
        <v>1.7731998045559489E-2</v>
      </c>
      <c r="I371" t="str">
        <f t="shared" si="26"/>
        <v>KL2030;winter;48;65;1.77319980455595E-02;TRUE;1.77319980455595E-02</v>
      </c>
    </row>
    <row r="372" spans="1:9" x14ac:dyDescent="0.25">
      <c r="A372">
        <f t="shared" si="25"/>
        <v>91.3125</v>
      </c>
      <c r="B372" t="s">
        <v>18</v>
      </c>
      <c r="C372" t="s">
        <v>7</v>
      </c>
      <c r="D372">
        <v>48</v>
      </c>
      <c r="E372">
        <f t="shared" si="28"/>
        <v>70</v>
      </c>
      <c r="F372" s="22">
        <f>STOWA2015_2030_W!$J15</f>
        <v>1.0423067255366434E-2</v>
      </c>
      <c r="G372" s="22" t="s">
        <v>33</v>
      </c>
      <c r="H372" s="22">
        <f>STOWA2015_2030_W!$J15</f>
        <v>1.0423067255366434E-2</v>
      </c>
      <c r="I372" t="str">
        <f t="shared" si="26"/>
        <v>KL2030;winter;48;70;1.04230672553664E-02;TRUE;1.04230672553664E-02</v>
      </c>
    </row>
    <row r="373" spans="1:9" x14ac:dyDescent="0.25">
      <c r="A373">
        <f t="shared" si="25"/>
        <v>91.3125</v>
      </c>
      <c r="B373" t="s">
        <v>18</v>
      </c>
      <c r="C373" t="s">
        <v>7</v>
      </c>
      <c r="D373">
        <v>48</v>
      </c>
      <c r="E373">
        <f t="shared" si="28"/>
        <v>75</v>
      </c>
      <c r="F373" s="22">
        <f>STOWA2015_2030_W!$J16</f>
        <v>6.2167824320490672E-3</v>
      </c>
      <c r="G373" s="22" t="s">
        <v>33</v>
      </c>
      <c r="H373" s="22">
        <f>STOWA2015_2030_W!$J16</f>
        <v>6.2167824320490672E-3</v>
      </c>
      <c r="I373" t="str">
        <f t="shared" si="26"/>
        <v>KL2030;winter;48;75;6.21678243204907E-03;TRUE;6.21678243204907E-03</v>
      </c>
    </row>
    <row r="374" spans="1:9" x14ac:dyDescent="0.25">
      <c r="A374">
        <f t="shared" si="25"/>
        <v>91.3125</v>
      </c>
      <c r="B374" t="s">
        <v>18</v>
      </c>
      <c r="C374" t="s">
        <v>7</v>
      </c>
      <c r="D374">
        <v>48</v>
      </c>
      <c r="E374">
        <f t="shared" si="28"/>
        <v>80</v>
      </c>
      <c r="F374" s="22">
        <f>STOWA2015_2030_W!$J17</f>
        <v>3.7594941505906332E-3</v>
      </c>
      <c r="G374" s="22" t="s">
        <v>33</v>
      </c>
      <c r="H374" s="22">
        <f>STOWA2015_2030_W!$J17</f>
        <v>3.7594941505906332E-3</v>
      </c>
      <c r="I374" t="str">
        <f t="shared" si="26"/>
        <v>KL2030;winter;48;80;3.75949415059063E-03;TRUE;3.75949415059063E-03</v>
      </c>
    </row>
    <row r="375" spans="1:9" x14ac:dyDescent="0.25">
      <c r="A375">
        <f t="shared" si="25"/>
        <v>91.3125</v>
      </c>
      <c r="B375" t="s">
        <v>18</v>
      </c>
      <c r="C375" t="s">
        <v>7</v>
      </c>
      <c r="D375">
        <v>48</v>
      </c>
      <c r="E375">
        <f t="shared" si="28"/>
        <v>85</v>
      </c>
      <c r="F375" s="22">
        <f>STOWA2015_2030_W!$J18</f>
        <v>2.3034278598734123E-3</v>
      </c>
      <c r="G375" s="22" t="s">
        <v>33</v>
      </c>
      <c r="H375" s="22">
        <f>STOWA2015_2030_W!$J18</f>
        <v>2.3034278598734123E-3</v>
      </c>
      <c r="I375" t="str">
        <f t="shared" si="26"/>
        <v>KL2030;winter;48;85;2.30342785987341E-03;TRUE;2.30342785987341E-03</v>
      </c>
    </row>
    <row r="376" spans="1:9" x14ac:dyDescent="0.25">
      <c r="A376">
        <f t="shared" si="25"/>
        <v>91.3125</v>
      </c>
      <c r="B376" t="s">
        <v>18</v>
      </c>
      <c r="C376" t="s">
        <v>7</v>
      </c>
      <c r="D376">
        <v>48</v>
      </c>
      <c r="E376">
        <f t="shared" si="28"/>
        <v>90</v>
      </c>
      <c r="F376" s="22">
        <f>STOWA2015_2030_W!$J19</f>
        <v>1.4289364293755165E-3</v>
      </c>
      <c r="G376" s="22" t="s">
        <v>33</v>
      </c>
      <c r="H376" s="22">
        <f>STOWA2015_2030_W!$J19</f>
        <v>1.4289364293755165E-3</v>
      </c>
      <c r="I376" t="str">
        <f t="shared" si="26"/>
        <v>KL2030;winter;48;90;1.42893642937552E-03;TRUE;1.42893642937552E-03</v>
      </c>
    </row>
    <row r="377" spans="1:9" x14ac:dyDescent="0.25">
      <c r="A377">
        <f t="shared" si="25"/>
        <v>91.3125</v>
      </c>
      <c r="B377" t="s">
        <v>18</v>
      </c>
      <c r="C377" t="s">
        <v>7</v>
      </c>
      <c r="D377">
        <v>48</v>
      </c>
      <c r="E377">
        <f t="shared" si="28"/>
        <v>95</v>
      </c>
      <c r="F377" s="22">
        <f>STOWA2015_2030_W!$J20</f>
        <v>8.9696884573908331E-4</v>
      </c>
      <c r="G377" s="22" t="s">
        <v>33</v>
      </c>
      <c r="H377" s="22">
        <f>STOWA2015_2030_W!$J20</f>
        <v>8.9696884573908331E-4</v>
      </c>
      <c r="I377" t="str">
        <f t="shared" si="26"/>
        <v>KL2030;winter;48;95;8.96968845739083E-04;TRUE;8.96968845739083E-04</v>
      </c>
    </row>
    <row r="378" spans="1:9" x14ac:dyDescent="0.25">
      <c r="A378">
        <f t="shared" si="25"/>
        <v>91.3125</v>
      </c>
      <c r="B378" t="s">
        <v>18</v>
      </c>
      <c r="C378" t="s">
        <v>7</v>
      </c>
      <c r="D378">
        <v>48</v>
      </c>
      <c r="E378">
        <f t="shared" si="28"/>
        <v>100</v>
      </c>
      <c r="F378" s="22">
        <f>STOWA2015_2030_W!$J21</f>
        <v>5.6940384069972469E-4</v>
      </c>
      <c r="G378" s="22" t="s">
        <v>33</v>
      </c>
      <c r="H378" s="22">
        <f>STOWA2015_2030_W!$J21</f>
        <v>5.6940384069972469E-4</v>
      </c>
      <c r="I378" t="str">
        <f t="shared" si="26"/>
        <v>KL2030;winter;48;100;5.69403840699725E-04;TRUE;5.69403840699725E-04</v>
      </c>
    </row>
    <row r="379" spans="1:9" x14ac:dyDescent="0.25">
      <c r="A379">
        <f t="shared" si="25"/>
        <v>91.3125</v>
      </c>
      <c r="B379" t="s">
        <v>18</v>
      </c>
      <c r="C379" t="s">
        <v>7</v>
      </c>
      <c r="D379">
        <v>48</v>
      </c>
      <c r="E379">
        <f t="shared" si="28"/>
        <v>105</v>
      </c>
      <c r="F379" s="22">
        <f>STOWA2015_2030_W!$J22</f>
        <v>1.0757768145312314E-3</v>
      </c>
      <c r="G379" s="22" t="s">
        <v>33</v>
      </c>
      <c r="H379" s="22">
        <f>STOWA2015_2030_W!$J22</f>
        <v>1.0757768145312314E-3</v>
      </c>
      <c r="I379" t="str">
        <f t="shared" si="26"/>
        <v>KL2030;winter;48;105;1.07577681453123E-03;TRUE;1.07577681453123E-03</v>
      </c>
    </row>
    <row r="380" spans="1:9" x14ac:dyDescent="0.25">
      <c r="A380">
        <f t="shared" si="25"/>
        <v>45.65625</v>
      </c>
      <c r="B380" t="s">
        <v>18</v>
      </c>
      <c r="C380" t="s">
        <v>7</v>
      </c>
      <c r="D380">
        <v>96</v>
      </c>
      <c r="E380">
        <v>20</v>
      </c>
      <c r="F380" s="22">
        <f>STOWA2015_2030_W!$N5</f>
        <v>81.054905550628348</v>
      </c>
      <c r="G380" s="22" t="s">
        <v>33</v>
      </c>
      <c r="H380" s="22">
        <f>STOWA2015_2030_W!$N5</f>
        <v>81.054905550628348</v>
      </c>
      <c r="I380" t="str">
        <f t="shared" si="26"/>
        <v>KL2030;winter;96;20;81.0549055506283;TRUE;81.0549055506283</v>
      </c>
    </row>
    <row r="381" spans="1:9" x14ac:dyDescent="0.25">
      <c r="A381">
        <f t="shared" si="25"/>
        <v>45.65625</v>
      </c>
      <c r="B381" t="s">
        <v>18</v>
      </c>
      <c r="C381" t="s">
        <v>7</v>
      </c>
      <c r="D381">
        <v>96</v>
      </c>
      <c r="E381">
        <f>E380+5</f>
        <v>25</v>
      </c>
      <c r="F381" s="22">
        <f>STOWA2015_2030_W!$N6</f>
        <v>3.8504464075267872</v>
      </c>
      <c r="G381" s="22" t="s">
        <v>33</v>
      </c>
      <c r="H381" s="22">
        <f>STOWA2015_2030_W!$N6</f>
        <v>3.8504464075267872</v>
      </c>
      <c r="I381" t="str">
        <f t="shared" si="26"/>
        <v>KL2030;winter;96;25;3.85044640752679;TRUE;3.85044640752679</v>
      </c>
    </row>
    <row r="382" spans="1:9" x14ac:dyDescent="0.25">
      <c r="A382">
        <f t="shared" si="25"/>
        <v>45.65625</v>
      </c>
      <c r="B382" t="s">
        <v>18</v>
      </c>
      <c r="C382" t="s">
        <v>7</v>
      </c>
      <c r="D382">
        <v>96</v>
      </c>
      <c r="E382">
        <f t="shared" ref="E382:E400" si="29">E381+5</f>
        <v>30</v>
      </c>
      <c r="F382" s="22">
        <f>STOWA2015_2030_W!$N7</f>
        <v>2.3857381526094494</v>
      </c>
      <c r="G382" s="22" t="s">
        <v>33</v>
      </c>
      <c r="H382" s="22">
        <f>STOWA2015_2030_W!$N7</f>
        <v>2.3857381526094494</v>
      </c>
      <c r="I382" t="str">
        <f t="shared" si="26"/>
        <v>KL2030;winter;96;30;2.38573815260945;TRUE;2.38573815260945</v>
      </c>
    </row>
    <row r="383" spans="1:9" x14ac:dyDescent="0.25">
      <c r="A383">
        <f t="shared" si="25"/>
        <v>45.65625</v>
      </c>
      <c r="B383" t="s">
        <v>18</v>
      </c>
      <c r="C383" t="s">
        <v>7</v>
      </c>
      <c r="D383">
        <v>96</v>
      </c>
      <c r="E383">
        <f t="shared" si="29"/>
        <v>35</v>
      </c>
      <c r="F383" s="22">
        <f>STOWA2015_2030_W!$N8</f>
        <v>1.4854417958162593</v>
      </c>
      <c r="G383" s="22" t="s">
        <v>33</v>
      </c>
      <c r="H383" s="22">
        <f>STOWA2015_2030_W!$N8</f>
        <v>1.4854417958162593</v>
      </c>
      <c r="I383" t="str">
        <f t="shared" si="26"/>
        <v>KL2030;winter;96;35;1.48544179581626;TRUE;1.48544179581626</v>
      </c>
    </row>
    <row r="384" spans="1:9" x14ac:dyDescent="0.25">
      <c r="A384">
        <f t="shared" si="25"/>
        <v>45.65625</v>
      </c>
      <c r="B384" t="s">
        <v>18</v>
      </c>
      <c r="C384" t="s">
        <v>7</v>
      </c>
      <c r="D384">
        <v>96</v>
      </c>
      <c r="E384">
        <f t="shared" si="29"/>
        <v>40</v>
      </c>
      <c r="F384" s="22">
        <f>STOWA2015_2030_W!$N9</f>
        <v>0.92932326076554328</v>
      </c>
      <c r="G384" s="22" t="s">
        <v>33</v>
      </c>
      <c r="H384" s="22">
        <f>STOWA2015_2030_W!$N9</f>
        <v>0.92932326076554328</v>
      </c>
      <c r="I384" t="str">
        <f t="shared" si="26"/>
        <v>KL2030;winter;96;40;0.929323260765543;TRUE;0.929323260765543</v>
      </c>
    </row>
    <row r="385" spans="1:9" x14ac:dyDescent="0.25">
      <c r="A385">
        <f t="shared" si="25"/>
        <v>45.65625</v>
      </c>
      <c r="B385" t="s">
        <v>18</v>
      </c>
      <c r="C385" t="s">
        <v>7</v>
      </c>
      <c r="D385">
        <v>96</v>
      </c>
      <c r="E385">
        <f t="shared" si="29"/>
        <v>45</v>
      </c>
      <c r="F385" s="22">
        <f>STOWA2015_2030_W!$N10</f>
        <v>0.5841369795463256</v>
      </c>
      <c r="G385" s="22" t="s">
        <v>33</v>
      </c>
      <c r="H385" s="22">
        <f>STOWA2015_2030_W!$N10</f>
        <v>0.5841369795463256</v>
      </c>
      <c r="I385" t="str">
        <f t="shared" si="26"/>
        <v>KL2030;winter;96;45;0.584136979546326;TRUE;0.584136979546326</v>
      </c>
    </row>
    <row r="386" spans="1:9" x14ac:dyDescent="0.25">
      <c r="A386">
        <f t="shared" ref="A386:A449" si="30">IF(C386="zomer",24/D386*365.25 * 6/12,24/D386*365.25 * 6/12)</f>
        <v>45.65625</v>
      </c>
      <c r="B386" t="s">
        <v>18</v>
      </c>
      <c r="C386" t="s">
        <v>7</v>
      </c>
      <c r="D386">
        <v>96</v>
      </c>
      <c r="E386">
        <f t="shared" si="29"/>
        <v>50</v>
      </c>
      <c r="F386" s="22">
        <f>STOWA2015_2030_W!$N11</f>
        <v>0.3688578030225711</v>
      </c>
      <c r="G386" s="22" t="s">
        <v>33</v>
      </c>
      <c r="H386" s="22">
        <f>STOWA2015_2030_W!$N11</f>
        <v>0.3688578030225711</v>
      </c>
      <c r="I386" t="str">
        <f t="shared" ref="I386:I449" si="31">CONCATENATEWITHDELIMITER(B386:H386,";")</f>
        <v>KL2030;winter;96;50;0.368857803022571;TRUE;0.368857803022571</v>
      </c>
    </row>
    <row r="387" spans="1:9" x14ac:dyDescent="0.25">
      <c r="A387">
        <f t="shared" si="30"/>
        <v>45.65625</v>
      </c>
      <c r="B387" t="s">
        <v>18</v>
      </c>
      <c r="C387" t="s">
        <v>7</v>
      </c>
      <c r="D387">
        <v>96</v>
      </c>
      <c r="E387">
        <f t="shared" si="29"/>
        <v>55</v>
      </c>
      <c r="F387" s="22">
        <f>STOWA2015_2030_W!$N12</f>
        <v>0.23397016155288397</v>
      </c>
      <c r="G387" s="22" t="s">
        <v>33</v>
      </c>
      <c r="H387" s="22">
        <f>STOWA2015_2030_W!$N12</f>
        <v>0.23397016155288397</v>
      </c>
      <c r="I387" t="str">
        <f t="shared" si="31"/>
        <v>KL2030;winter;96;55;0.233970161552884;TRUE;0.233970161552884</v>
      </c>
    </row>
    <row r="388" spans="1:9" x14ac:dyDescent="0.25">
      <c r="A388">
        <f t="shared" si="30"/>
        <v>45.65625</v>
      </c>
      <c r="B388" t="s">
        <v>18</v>
      </c>
      <c r="C388" t="s">
        <v>7</v>
      </c>
      <c r="D388">
        <v>96</v>
      </c>
      <c r="E388">
        <f t="shared" si="29"/>
        <v>60</v>
      </c>
      <c r="F388" s="22">
        <f>STOWA2015_2030_W!$N13</f>
        <v>0.14906688797382156</v>
      </c>
      <c r="G388" s="22" t="s">
        <v>33</v>
      </c>
      <c r="H388" s="22">
        <f>STOWA2015_2030_W!$N13</f>
        <v>0.14906688797382156</v>
      </c>
      <c r="I388" t="str">
        <f t="shared" si="31"/>
        <v>KL2030;winter;96;60;0.149066887973822;TRUE;0.149066887973822</v>
      </c>
    </row>
    <row r="389" spans="1:9" x14ac:dyDescent="0.25">
      <c r="A389">
        <f t="shared" si="30"/>
        <v>45.65625</v>
      </c>
      <c r="B389" t="s">
        <v>18</v>
      </c>
      <c r="C389" t="s">
        <v>7</v>
      </c>
      <c r="D389">
        <v>96</v>
      </c>
      <c r="E389">
        <f t="shared" si="29"/>
        <v>65</v>
      </c>
      <c r="F389" s="22">
        <f>STOWA2015_2030_W!$N14</f>
        <v>9.5385901247488358E-2</v>
      </c>
      <c r="G389" s="22" t="s">
        <v>33</v>
      </c>
      <c r="H389" s="22">
        <f>STOWA2015_2030_W!$N14</f>
        <v>9.5385901247488358E-2</v>
      </c>
      <c r="I389" t="str">
        <f t="shared" si="31"/>
        <v>KL2030;winter;96;65;9.53859012474884E-02;TRUE;9.53859012474884E-02</v>
      </c>
    </row>
    <row r="390" spans="1:9" x14ac:dyDescent="0.25">
      <c r="A390">
        <f t="shared" si="30"/>
        <v>45.65625</v>
      </c>
      <c r="B390" t="s">
        <v>18</v>
      </c>
      <c r="C390" t="s">
        <v>7</v>
      </c>
      <c r="D390">
        <v>96</v>
      </c>
      <c r="E390">
        <f t="shared" si="29"/>
        <v>70</v>
      </c>
      <c r="F390" s="22">
        <f>STOWA2015_2030_W!$N15</f>
        <v>6.1296209686921413E-2</v>
      </c>
      <c r="G390" s="22" t="s">
        <v>33</v>
      </c>
      <c r="H390" s="22">
        <f>STOWA2015_2030_W!$N15</f>
        <v>6.1296209686921413E-2</v>
      </c>
      <c r="I390" t="str">
        <f t="shared" si="31"/>
        <v>KL2030;winter;96;70;6.12962096869214E-02;TRUE;6.12962096869214E-02</v>
      </c>
    </row>
    <row r="391" spans="1:9" x14ac:dyDescent="0.25">
      <c r="A391">
        <f t="shared" si="30"/>
        <v>45.65625</v>
      </c>
      <c r="B391" t="s">
        <v>18</v>
      </c>
      <c r="C391" t="s">
        <v>7</v>
      </c>
      <c r="D391">
        <v>96</v>
      </c>
      <c r="E391">
        <f t="shared" si="29"/>
        <v>75</v>
      </c>
      <c r="F391" s="22">
        <f>STOWA2015_2030_W!$N16</f>
        <v>3.9554385035707421E-2</v>
      </c>
      <c r="G391" s="22" t="s">
        <v>33</v>
      </c>
      <c r="H391" s="22">
        <f>STOWA2015_2030_W!$N16</f>
        <v>3.9554385035707421E-2</v>
      </c>
      <c r="I391" t="str">
        <f t="shared" si="31"/>
        <v>KL2030;winter;96;75;3.95543850357074E-02;TRUE;3.95543850357074E-02</v>
      </c>
    </row>
    <row r="392" spans="1:9" x14ac:dyDescent="0.25">
      <c r="A392">
        <f t="shared" si="30"/>
        <v>45.65625</v>
      </c>
      <c r="B392" t="s">
        <v>18</v>
      </c>
      <c r="C392" t="s">
        <v>7</v>
      </c>
      <c r="D392">
        <v>96</v>
      </c>
      <c r="E392">
        <f t="shared" si="29"/>
        <v>80</v>
      </c>
      <c r="F392" s="22">
        <f>STOWA2015_2030_W!$N17</f>
        <v>2.5629100718731618E-2</v>
      </c>
      <c r="G392" s="22" t="s">
        <v>33</v>
      </c>
      <c r="H392" s="22">
        <f>STOWA2015_2030_W!$N17</f>
        <v>2.5629100718731618E-2</v>
      </c>
      <c r="I392" t="str">
        <f t="shared" si="31"/>
        <v>KL2030;winter;96;80;2.56291007187316E-02;TRUE;2.56291007187316E-02</v>
      </c>
    </row>
    <row r="393" spans="1:9" x14ac:dyDescent="0.25">
      <c r="A393">
        <f t="shared" si="30"/>
        <v>45.65625</v>
      </c>
      <c r="B393" t="s">
        <v>18</v>
      </c>
      <c r="C393" t="s">
        <v>7</v>
      </c>
      <c r="D393">
        <v>96</v>
      </c>
      <c r="E393">
        <f t="shared" si="29"/>
        <v>85</v>
      </c>
      <c r="F393" s="22">
        <f>STOWA2015_2030_W!$N18</f>
        <v>1.6673120371864726E-2</v>
      </c>
      <c r="G393" s="22" t="s">
        <v>33</v>
      </c>
      <c r="H393" s="22">
        <f>STOWA2015_2030_W!$N18</f>
        <v>1.6673120371864726E-2</v>
      </c>
      <c r="I393" t="str">
        <f t="shared" si="31"/>
        <v>KL2030;winter;96;85;1.66731203718647E-02;TRUE;1.66731203718647E-02</v>
      </c>
    </row>
    <row r="394" spans="1:9" x14ac:dyDescent="0.25">
      <c r="A394">
        <f t="shared" si="30"/>
        <v>45.65625</v>
      </c>
      <c r="B394" t="s">
        <v>18</v>
      </c>
      <c r="C394" t="s">
        <v>7</v>
      </c>
      <c r="D394">
        <v>96</v>
      </c>
      <c r="E394">
        <f t="shared" si="29"/>
        <v>90</v>
      </c>
      <c r="F394" s="22">
        <f>STOWA2015_2030_W!$N19</f>
        <v>1.0889631134760849E-2</v>
      </c>
      <c r="G394" s="22" t="s">
        <v>33</v>
      </c>
      <c r="H394" s="22">
        <f>STOWA2015_2030_W!$N19</f>
        <v>1.0889631134760849E-2</v>
      </c>
      <c r="I394" t="str">
        <f t="shared" si="31"/>
        <v>KL2030;winter;96;90;1.08896311347608E-02;TRUE;1.08896311347608E-02</v>
      </c>
    </row>
    <row r="395" spans="1:9" x14ac:dyDescent="0.25">
      <c r="A395">
        <f t="shared" si="30"/>
        <v>45.65625</v>
      </c>
      <c r="B395" t="s">
        <v>18</v>
      </c>
      <c r="C395" t="s">
        <v>7</v>
      </c>
      <c r="D395">
        <v>96</v>
      </c>
      <c r="E395">
        <f t="shared" si="29"/>
        <v>95</v>
      </c>
      <c r="F395" s="22">
        <f>STOWA2015_2030_W!$N20</f>
        <v>7.1398826061809147E-3</v>
      </c>
      <c r="G395" s="22" t="s">
        <v>33</v>
      </c>
      <c r="H395" s="22">
        <f>STOWA2015_2030_W!$N20</f>
        <v>7.1398826061809147E-3</v>
      </c>
      <c r="I395" t="str">
        <f t="shared" si="31"/>
        <v>KL2030;winter;96;95;7.13988260618091E-03;TRUE;7.13988260618091E-03</v>
      </c>
    </row>
    <row r="396" spans="1:9" x14ac:dyDescent="0.25">
      <c r="A396">
        <f t="shared" si="30"/>
        <v>45.65625</v>
      </c>
      <c r="B396" t="s">
        <v>18</v>
      </c>
      <c r="C396" t="s">
        <v>7</v>
      </c>
      <c r="D396">
        <v>96</v>
      </c>
      <c r="E396">
        <f t="shared" si="29"/>
        <v>100</v>
      </c>
      <c r="F396" s="22">
        <f>STOWA2015_2030_W!$N21</f>
        <v>4.699160587929286E-3</v>
      </c>
      <c r="G396" s="22" t="s">
        <v>33</v>
      </c>
      <c r="H396" s="22">
        <f>STOWA2015_2030_W!$N21</f>
        <v>4.699160587929286E-3</v>
      </c>
      <c r="I396" t="str">
        <f t="shared" si="31"/>
        <v>KL2030;winter;96;100;4.69916058792929E-03;TRUE;4.69916058792929E-03</v>
      </c>
    </row>
    <row r="397" spans="1:9" x14ac:dyDescent="0.25">
      <c r="A397">
        <f t="shared" si="30"/>
        <v>45.65625</v>
      </c>
      <c r="B397" t="s">
        <v>18</v>
      </c>
      <c r="C397" t="s">
        <v>7</v>
      </c>
      <c r="D397">
        <v>96</v>
      </c>
      <c r="E397">
        <f t="shared" si="29"/>
        <v>105</v>
      </c>
      <c r="F397" s="22">
        <f>STOWA2015_2030_W!$N22</f>
        <v>3.1043545968705271E-3</v>
      </c>
      <c r="G397" s="22" t="s">
        <v>33</v>
      </c>
      <c r="H397" s="22">
        <f>STOWA2015_2030_W!$N22</f>
        <v>3.1043545968705271E-3</v>
      </c>
      <c r="I397" t="str">
        <f t="shared" si="31"/>
        <v>KL2030;winter;96;105;3.10435459687053E-03;TRUE;3.10435459687053E-03</v>
      </c>
    </row>
    <row r="398" spans="1:9" x14ac:dyDescent="0.25">
      <c r="A398">
        <f t="shared" si="30"/>
        <v>45.65625</v>
      </c>
      <c r="B398" t="s">
        <v>18</v>
      </c>
      <c r="C398" t="s">
        <v>7</v>
      </c>
      <c r="D398">
        <v>96</v>
      </c>
      <c r="E398">
        <f t="shared" si="29"/>
        <v>110</v>
      </c>
      <c r="F398" s="22">
        <f>STOWA2015_2030_W!$N23</f>
        <v>2.0583322109305894E-3</v>
      </c>
      <c r="G398" s="22" t="s">
        <v>33</v>
      </c>
      <c r="H398" s="22">
        <f>STOWA2015_2030_W!$N23</f>
        <v>2.0583322109305894E-3</v>
      </c>
      <c r="I398" t="str">
        <f t="shared" si="31"/>
        <v>KL2030;winter;96;110;2.05833221093059E-03;TRUE;2.05833221093059E-03</v>
      </c>
    </row>
    <row r="399" spans="1:9" x14ac:dyDescent="0.25">
      <c r="A399">
        <f t="shared" si="30"/>
        <v>45.65625</v>
      </c>
      <c r="B399" t="s">
        <v>18</v>
      </c>
      <c r="C399" t="s">
        <v>7</v>
      </c>
      <c r="D399">
        <v>96</v>
      </c>
      <c r="E399">
        <f t="shared" si="29"/>
        <v>115</v>
      </c>
      <c r="F399" s="22">
        <f>STOWA2015_2030_W!$N24</f>
        <v>1.369697854103727E-3</v>
      </c>
      <c r="G399" s="22" t="s">
        <v>33</v>
      </c>
      <c r="H399" s="22">
        <f>STOWA2015_2030_W!$N24</f>
        <v>1.369697854103727E-3</v>
      </c>
      <c r="I399" t="str">
        <f t="shared" si="31"/>
        <v>KL2030;winter;96;115;1.36969785410373E-03;TRUE;1.36969785410373E-03</v>
      </c>
    </row>
    <row r="400" spans="1:9" x14ac:dyDescent="0.25">
      <c r="A400">
        <f t="shared" si="30"/>
        <v>45.65625</v>
      </c>
      <c r="B400" t="s">
        <v>18</v>
      </c>
      <c r="C400" t="s">
        <v>7</v>
      </c>
      <c r="D400">
        <v>96</v>
      </c>
      <c r="E400">
        <f t="shared" si="29"/>
        <v>120</v>
      </c>
      <c r="F400" s="22">
        <f>STOWA2015_2030_W!$N25</f>
        <v>2.8132245065192588E-3</v>
      </c>
      <c r="G400" s="22" t="s">
        <v>33</v>
      </c>
      <c r="H400" s="22">
        <f>STOWA2015_2030_W!$N25</f>
        <v>2.8132245065192588E-3</v>
      </c>
      <c r="I400" t="str">
        <f t="shared" si="31"/>
        <v>KL2030;winter;96;120;2.81322450651926E-03;TRUE;2.81322450651926E-03</v>
      </c>
    </row>
    <row r="401" spans="1:9" x14ac:dyDescent="0.25">
      <c r="A401">
        <f t="shared" si="30"/>
        <v>22.828125</v>
      </c>
      <c r="B401" t="s">
        <v>18</v>
      </c>
      <c r="C401" t="s">
        <v>7</v>
      </c>
      <c r="D401">
        <v>192</v>
      </c>
      <c r="E401">
        <v>25</v>
      </c>
      <c r="F401" s="22">
        <f>STOWA2015_2030_W!$R6</f>
        <v>34.765770516253312</v>
      </c>
      <c r="G401" s="22" t="s">
        <v>33</v>
      </c>
      <c r="H401" s="22">
        <f>STOWA2015_2030_W!$R6</f>
        <v>34.765770516253312</v>
      </c>
      <c r="I401" t="str">
        <f t="shared" si="31"/>
        <v>KL2030;winter;192;25;34.7657705162533;TRUE;34.7657705162533</v>
      </c>
    </row>
    <row r="402" spans="1:9" x14ac:dyDescent="0.25">
      <c r="A402">
        <f t="shared" si="30"/>
        <v>22.828125</v>
      </c>
      <c r="B402" t="s">
        <v>18</v>
      </c>
      <c r="C402" t="s">
        <v>7</v>
      </c>
      <c r="D402">
        <v>192</v>
      </c>
      <c r="E402">
        <f>E401+5</f>
        <v>30</v>
      </c>
      <c r="F402" s="22">
        <f>STOWA2015_2030_W!$R7</f>
        <v>2.7408724979440802</v>
      </c>
      <c r="G402" s="22" t="s">
        <v>33</v>
      </c>
      <c r="H402" s="22">
        <f>STOWA2015_2030_W!$R7</f>
        <v>2.7408724979440802</v>
      </c>
      <c r="I402" t="str">
        <f t="shared" si="31"/>
        <v>KL2030;winter;192;30;2.74087249794408;TRUE;2.74087249794408</v>
      </c>
    </row>
    <row r="403" spans="1:9" x14ac:dyDescent="0.25">
      <c r="A403">
        <f t="shared" si="30"/>
        <v>22.828125</v>
      </c>
      <c r="B403" t="s">
        <v>18</v>
      </c>
      <c r="C403" t="s">
        <v>7</v>
      </c>
      <c r="D403">
        <v>192</v>
      </c>
      <c r="E403">
        <f t="shared" ref="E403:E427" si="32">E402+5</f>
        <v>35</v>
      </c>
      <c r="F403" s="22">
        <f>STOWA2015_2030_W!$R8</f>
        <v>2.0749126407100018</v>
      </c>
      <c r="G403" s="22" t="s">
        <v>33</v>
      </c>
      <c r="H403" s="22">
        <f>STOWA2015_2030_W!$R8</f>
        <v>2.0749126407100018</v>
      </c>
      <c r="I403" t="str">
        <f t="shared" si="31"/>
        <v>KL2030;winter;192;35;2.07491264071;TRUE;2.07491264071</v>
      </c>
    </row>
    <row r="404" spans="1:9" x14ac:dyDescent="0.25">
      <c r="A404">
        <f t="shared" si="30"/>
        <v>22.828125</v>
      </c>
      <c r="B404" t="s">
        <v>18</v>
      </c>
      <c r="C404" t="s">
        <v>7</v>
      </c>
      <c r="D404">
        <v>192</v>
      </c>
      <c r="E404">
        <f t="shared" si="32"/>
        <v>40</v>
      </c>
      <c r="F404" s="22">
        <f>STOWA2015_2030_W!$R9</f>
        <v>1.5648281382616034</v>
      </c>
      <c r="G404" s="22" t="s">
        <v>33</v>
      </c>
      <c r="H404" s="22">
        <f>STOWA2015_2030_W!$R9</f>
        <v>1.5648281382616034</v>
      </c>
      <c r="I404" t="str">
        <f t="shared" si="31"/>
        <v>KL2030;winter;192;40;1.5648281382616;TRUE;1.5648281382616</v>
      </c>
    </row>
    <row r="405" spans="1:9" x14ac:dyDescent="0.25">
      <c r="A405">
        <f t="shared" si="30"/>
        <v>22.828125</v>
      </c>
      <c r="B405" t="s">
        <v>18</v>
      </c>
      <c r="C405" t="s">
        <v>7</v>
      </c>
      <c r="D405">
        <v>192</v>
      </c>
      <c r="E405">
        <f t="shared" si="32"/>
        <v>45</v>
      </c>
      <c r="F405" s="22">
        <f>STOWA2015_2030_W!$R10</f>
        <v>1.1755578295710536</v>
      </c>
      <c r="G405" s="22" t="s">
        <v>33</v>
      </c>
      <c r="H405" s="22">
        <f>STOWA2015_2030_W!$R10</f>
        <v>1.1755578295710536</v>
      </c>
      <c r="I405" t="str">
        <f t="shared" si="31"/>
        <v>KL2030;winter;192;45;1.17555782957105;TRUE;1.17555782957105</v>
      </c>
    </row>
    <row r="406" spans="1:9" x14ac:dyDescent="0.25">
      <c r="A406">
        <f t="shared" si="30"/>
        <v>22.828125</v>
      </c>
      <c r="B406" t="s">
        <v>18</v>
      </c>
      <c r="C406" t="s">
        <v>7</v>
      </c>
      <c r="D406">
        <v>192</v>
      </c>
      <c r="E406">
        <f t="shared" si="32"/>
        <v>50</v>
      </c>
      <c r="F406" s="22">
        <f>STOWA2015_2030_W!$R11</f>
        <v>0.87959883432472363</v>
      </c>
      <c r="G406" s="22" t="s">
        <v>33</v>
      </c>
      <c r="H406" s="22">
        <f>STOWA2015_2030_W!$R11</f>
        <v>0.87959883432472363</v>
      </c>
      <c r="I406" t="str">
        <f t="shared" si="31"/>
        <v>KL2030;winter;192;50;0.879598834324724;TRUE;0.879598834324724</v>
      </c>
    </row>
    <row r="407" spans="1:9" x14ac:dyDescent="0.25">
      <c r="A407">
        <f t="shared" si="30"/>
        <v>22.828125</v>
      </c>
      <c r="B407" t="s">
        <v>18</v>
      </c>
      <c r="C407" t="s">
        <v>7</v>
      </c>
      <c r="D407">
        <v>192</v>
      </c>
      <c r="E407">
        <f t="shared" si="32"/>
        <v>55</v>
      </c>
      <c r="F407" s="22">
        <f>STOWA2015_2030_W!$R12</f>
        <v>0.6554496769724425</v>
      </c>
      <c r="G407" s="22" t="s">
        <v>33</v>
      </c>
      <c r="H407" s="22">
        <f>STOWA2015_2030_W!$R12</f>
        <v>0.6554496769724425</v>
      </c>
      <c r="I407" t="str">
        <f t="shared" si="31"/>
        <v>KL2030;winter;192;55;0.655449676972442;TRUE;0.655449676972442</v>
      </c>
    </row>
    <row r="408" spans="1:9" x14ac:dyDescent="0.25">
      <c r="A408">
        <f t="shared" si="30"/>
        <v>22.828125</v>
      </c>
      <c r="B408" t="s">
        <v>18</v>
      </c>
      <c r="C408" t="s">
        <v>7</v>
      </c>
      <c r="D408">
        <v>192</v>
      </c>
      <c r="E408">
        <f t="shared" si="32"/>
        <v>60</v>
      </c>
      <c r="F408" s="22">
        <f>STOWA2015_2030_W!$R13</f>
        <v>0.48635878829150236</v>
      </c>
      <c r="G408" s="22" t="s">
        <v>33</v>
      </c>
      <c r="H408" s="22">
        <f>STOWA2015_2030_W!$R13</f>
        <v>0.48635878829150236</v>
      </c>
      <c r="I408" t="str">
        <f t="shared" si="31"/>
        <v>KL2030;winter;192;60;0.486358788291502;TRUE;0.486358788291502</v>
      </c>
    </row>
    <row r="409" spans="1:9" x14ac:dyDescent="0.25">
      <c r="A409">
        <f t="shared" si="30"/>
        <v>22.828125</v>
      </c>
      <c r="B409" t="s">
        <v>18</v>
      </c>
      <c r="C409" t="s">
        <v>7</v>
      </c>
      <c r="D409">
        <v>192</v>
      </c>
      <c r="E409">
        <f t="shared" si="32"/>
        <v>65</v>
      </c>
      <c r="F409" s="22">
        <f>STOWA2015_2030_W!$R14</f>
        <v>0.35932156621942735</v>
      </c>
      <c r="G409" s="22" t="s">
        <v>33</v>
      </c>
      <c r="H409" s="22">
        <f>STOWA2015_2030_W!$R14</f>
        <v>0.35932156621942735</v>
      </c>
      <c r="I409" t="str">
        <f t="shared" si="31"/>
        <v>KL2030;winter;192;65;0.359321566219427;TRUE;0.359321566219427</v>
      </c>
    </row>
    <row r="410" spans="1:9" x14ac:dyDescent="0.25">
      <c r="A410">
        <f t="shared" si="30"/>
        <v>22.828125</v>
      </c>
      <c r="B410" t="s">
        <v>18</v>
      </c>
      <c r="C410" t="s">
        <v>7</v>
      </c>
      <c r="D410">
        <v>192</v>
      </c>
      <c r="E410">
        <f t="shared" si="32"/>
        <v>70</v>
      </c>
      <c r="F410" s="22">
        <f>STOWA2015_2030_W!$R15</f>
        <v>0.26427916107246274</v>
      </c>
      <c r="G410" s="22" t="s">
        <v>33</v>
      </c>
      <c r="H410" s="22">
        <f>STOWA2015_2030_W!$R15</f>
        <v>0.26427916107246274</v>
      </c>
      <c r="I410" t="str">
        <f t="shared" si="31"/>
        <v>KL2030;winter;192;70;0.264279161072463;TRUE;0.264279161072463</v>
      </c>
    </row>
    <row r="411" spans="1:9" x14ac:dyDescent="0.25">
      <c r="A411">
        <f t="shared" si="30"/>
        <v>22.828125</v>
      </c>
      <c r="B411" t="s">
        <v>18</v>
      </c>
      <c r="C411" t="s">
        <v>7</v>
      </c>
      <c r="D411">
        <v>192</v>
      </c>
      <c r="E411">
        <f t="shared" si="32"/>
        <v>75</v>
      </c>
      <c r="F411" s="22">
        <f>STOWA2015_2030_W!$R16</f>
        <v>0.19348048556810432</v>
      </c>
      <c r="G411" s="22" t="s">
        <v>33</v>
      </c>
      <c r="H411" s="22">
        <f>STOWA2015_2030_W!$R16</f>
        <v>0.19348048556810432</v>
      </c>
      <c r="I411" t="str">
        <f t="shared" si="31"/>
        <v>KL2030;winter;192;75;0.193480485568104;TRUE;0.193480485568104</v>
      </c>
    </row>
    <row r="412" spans="1:9" x14ac:dyDescent="0.25">
      <c r="A412">
        <f t="shared" si="30"/>
        <v>22.828125</v>
      </c>
      <c r="B412" t="s">
        <v>18</v>
      </c>
      <c r="C412" t="s">
        <v>7</v>
      </c>
      <c r="D412">
        <v>192</v>
      </c>
      <c r="E412">
        <f t="shared" si="32"/>
        <v>80</v>
      </c>
      <c r="F412" s="22">
        <f>STOWA2015_2030_W!$R17</f>
        <v>0.14097589138962729</v>
      </c>
      <c r="G412" s="22" t="s">
        <v>33</v>
      </c>
      <c r="H412" s="22">
        <f>STOWA2015_2030_W!$R17</f>
        <v>0.14097589138962729</v>
      </c>
      <c r="I412" t="str">
        <f t="shared" si="31"/>
        <v>KL2030;winter;192;80;0.140975891389627;TRUE;0.140975891389627</v>
      </c>
    </row>
    <row r="413" spans="1:9" x14ac:dyDescent="0.25">
      <c r="A413">
        <f t="shared" si="30"/>
        <v>22.828125</v>
      </c>
      <c r="B413" t="s">
        <v>18</v>
      </c>
      <c r="C413" t="s">
        <v>7</v>
      </c>
      <c r="D413">
        <v>192</v>
      </c>
      <c r="E413">
        <f t="shared" si="32"/>
        <v>85</v>
      </c>
      <c r="F413" s="22">
        <f>STOWA2015_2030_W!$R18</f>
        <v>0.10221671912555724</v>
      </c>
      <c r="G413" s="22" t="s">
        <v>33</v>
      </c>
      <c r="H413" s="22">
        <f>STOWA2015_2030_W!$R18</f>
        <v>0.10221671912555724</v>
      </c>
      <c r="I413" t="str">
        <f t="shared" si="31"/>
        <v>KL2030;winter;192;85;0.102216719125557;TRUE;0.102216719125557</v>
      </c>
    </row>
    <row r="414" spans="1:9" x14ac:dyDescent="0.25">
      <c r="A414">
        <f t="shared" si="30"/>
        <v>22.828125</v>
      </c>
      <c r="B414" t="s">
        <v>18</v>
      </c>
      <c r="C414" t="s">
        <v>7</v>
      </c>
      <c r="D414">
        <v>192</v>
      </c>
      <c r="E414">
        <f t="shared" si="32"/>
        <v>90</v>
      </c>
      <c r="F414" s="22">
        <f>STOWA2015_2030_W!$R19</f>
        <v>7.3739703495980691E-2</v>
      </c>
      <c r="G414" s="22" t="s">
        <v>33</v>
      </c>
      <c r="H414" s="22">
        <f>STOWA2015_2030_W!$R19</f>
        <v>7.3739703495980691E-2</v>
      </c>
      <c r="I414" t="str">
        <f t="shared" si="31"/>
        <v>KL2030;winter;192;90;7.37397034959807E-02;TRUE;7.37397034959807E-02</v>
      </c>
    </row>
    <row r="415" spans="1:9" x14ac:dyDescent="0.25">
      <c r="A415">
        <f t="shared" si="30"/>
        <v>22.828125</v>
      </c>
      <c r="B415" t="s">
        <v>18</v>
      </c>
      <c r="C415" t="s">
        <v>7</v>
      </c>
      <c r="D415">
        <v>192</v>
      </c>
      <c r="E415">
        <f t="shared" si="32"/>
        <v>95</v>
      </c>
      <c r="F415" s="22">
        <f>STOWA2015_2030_W!$R20</f>
        <v>5.2919159702790569E-2</v>
      </c>
      <c r="G415" s="22" t="s">
        <v>33</v>
      </c>
      <c r="H415" s="22">
        <f>STOWA2015_2030_W!$R20</f>
        <v>5.2919159702790569E-2</v>
      </c>
      <c r="I415" t="str">
        <f t="shared" si="31"/>
        <v>KL2030;winter;192;95;5.29191597027906E-02;TRUE;5.29191597027906E-02</v>
      </c>
    </row>
    <row r="416" spans="1:9" x14ac:dyDescent="0.25">
      <c r="A416">
        <f t="shared" si="30"/>
        <v>22.828125</v>
      </c>
      <c r="B416" t="s">
        <v>18</v>
      </c>
      <c r="C416" t="s">
        <v>7</v>
      </c>
      <c r="D416">
        <v>192</v>
      </c>
      <c r="E416">
        <f t="shared" si="32"/>
        <v>100</v>
      </c>
      <c r="F416" s="22">
        <f>STOWA2015_2030_W!$R21</f>
        <v>3.7773124722933663E-2</v>
      </c>
      <c r="G416" s="22" t="s">
        <v>33</v>
      </c>
      <c r="H416" s="22">
        <f>STOWA2015_2030_W!$R21</f>
        <v>3.7773124722933663E-2</v>
      </c>
      <c r="I416" t="str">
        <f t="shared" si="31"/>
        <v>KL2030;winter;192;100;3.77731247229337E-02;TRUE;3.77731247229337E-02</v>
      </c>
    </row>
    <row r="417" spans="1:9" x14ac:dyDescent="0.25">
      <c r="A417">
        <f t="shared" si="30"/>
        <v>22.828125</v>
      </c>
      <c r="B417" t="s">
        <v>18</v>
      </c>
      <c r="C417" t="s">
        <v>7</v>
      </c>
      <c r="D417">
        <v>192</v>
      </c>
      <c r="E417">
        <f t="shared" si="32"/>
        <v>105</v>
      </c>
      <c r="F417" s="22">
        <f>STOWA2015_2030_W!$R22</f>
        <v>2.6812294200479828E-2</v>
      </c>
      <c r="G417" s="22" t="s">
        <v>33</v>
      </c>
      <c r="H417" s="22">
        <f>STOWA2015_2030_W!$R22</f>
        <v>2.6812294200479828E-2</v>
      </c>
      <c r="I417" t="str">
        <f t="shared" si="31"/>
        <v>KL2030;winter;192;105;2.68122942004798E-02;TRUE;2.68122942004798E-02</v>
      </c>
    </row>
    <row r="418" spans="1:9" x14ac:dyDescent="0.25">
      <c r="A418">
        <f t="shared" si="30"/>
        <v>22.828125</v>
      </c>
      <c r="B418" t="s">
        <v>18</v>
      </c>
      <c r="C418" t="s">
        <v>7</v>
      </c>
      <c r="D418">
        <v>192</v>
      </c>
      <c r="E418">
        <f t="shared" si="32"/>
        <v>110</v>
      </c>
      <c r="F418" s="22">
        <f>STOWA2015_2030_W!$R23</f>
        <v>1.8922778506046685E-2</v>
      </c>
      <c r="G418" s="22" t="s">
        <v>33</v>
      </c>
      <c r="H418" s="22">
        <f>STOWA2015_2030_W!$R23</f>
        <v>1.8922778506046685E-2</v>
      </c>
      <c r="I418" t="str">
        <f t="shared" si="31"/>
        <v>KL2030;winter;192;110;1.89227785060467E-02;TRUE;1.89227785060467E-02</v>
      </c>
    </row>
    <row r="419" spans="1:9" x14ac:dyDescent="0.25">
      <c r="A419">
        <f t="shared" si="30"/>
        <v>22.828125</v>
      </c>
      <c r="B419" t="s">
        <v>18</v>
      </c>
      <c r="C419" t="s">
        <v>7</v>
      </c>
      <c r="D419">
        <v>192</v>
      </c>
      <c r="E419">
        <f t="shared" si="32"/>
        <v>115</v>
      </c>
      <c r="F419" s="22">
        <f>STOWA2015_2030_W!$R24</f>
        <v>1.327548264207987E-2</v>
      </c>
      <c r="G419" s="22" t="s">
        <v>33</v>
      </c>
      <c r="H419" s="22">
        <f>STOWA2015_2030_W!$R24</f>
        <v>1.327548264207987E-2</v>
      </c>
      <c r="I419" t="str">
        <f t="shared" si="31"/>
        <v>KL2030;winter;192;115;1.32754826420799E-02;TRUE;1.32754826420799E-02</v>
      </c>
    </row>
    <row r="420" spans="1:9" x14ac:dyDescent="0.25">
      <c r="A420">
        <f t="shared" si="30"/>
        <v>22.828125</v>
      </c>
      <c r="B420" t="s">
        <v>18</v>
      </c>
      <c r="C420" t="s">
        <v>7</v>
      </c>
      <c r="D420">
        <v>192</v>
      </c>
      <c r="E420">
        <f t="shared" si="32"/>
        <v>120</v>
      </c>
      <c r="F420" s="22">
        <f>STOWA2015_2030_W!$R25</f>
        <v>9.2563631599655027E-3</v>
      </c>
      <c r="G420" s="22" t="s">
        <v>33</v>
      </c>
      <c r="H420" s="22">
        <f>STOWA2015_2030_W!$R25</f>
        <v>9.2563631599655027E-3</v>
      </c>
      <c r="I420" t="str">
        <f t="shared" si="31"/>
        <v>KL2030;winter;192;120;9.2563631599655E-03;TRUE;9.2563631599655E-03</v>
      </c>
    </row>
    <row r="421" spans="1:9" x14ac:dyDescent="0.25">
      <c r="A421">
        <f t="shared" si="30"/>
        <v>22.828125</v>
      </c>
      <c r="B421" t="s">
        <v>18</v>
      </c>
      <c r="C421" t="s">
        <v>7</v>
      </c>
      <c r="D421">
        <v>192</v>
      </c>
      <c r="E421">
        <f t="shared" si="32"/>
        <v>125</v>
      </c>
      <c r="F421" s="22">
        <f>STOWA2015_2030_W!$R26</f>
        <v>6.4129892369758912E-3</v>
      </c>
      <c r="G421" s="22" t="s">
        <v>33</v>
      </c>
      <c r="H421" s="22">
        <f>STOWA2015_2030_W!$R26</f>
        <v>6.4129892369758912E-3</v>
      </c>
      <c r="I421" t="str">
        <f t="shared" si="31"/>
        <v>KL2030;winter;192;125;6.41298923697589E-03;TRUE;6.41298923697589E-03</v>
      </c>
    </row>
    <row r="422" spans="1:9" x14ac:dyDescent="0.25">
      <c r="A422">
        <f t="shared" si="30"/>
        <v>22.828125</v>
      </c>
      <c r="B422" t="s">
        <v>18</v>
      </c>
      <c r="C422" t="s">
        <v>7</v>
      </c>
      <c r="D422">
        <v>192</v>
      </c>
      <c r="E422">
        <f t="shared" si="32"/>
        <v>130</v>
      </c>
      <c r="F422" s="22">
        <f>STOWA2015_2030_W!$R27</f>
        <v>4.4137832207976988E-3</v>
      </c>
      <c r="G422" s="22" t="s">
        <v>33</v>
      </c>
      <c r="H422" s="22">
        <f>STOWA2015_2030_W!$R27</f>
        <v>4.4137832207976988E-3</v>
      </c>
      <c r="I422" t="str">
        <f t="shared" si="31"/>
        <v>KL2030;winter;192;130;4.4137832207977E-03;TRUE;4.4137832207977E-03</v>
      </c>
    </row>
    <row r="423" spans="1:9" x14ac:dyDescent="0.25">
      <c r="A423">
        <f t="shared" si="30"/>
        <v>22.828125</v>
      </c>
      <c r="B423" t="s">
        <v>18</v>
      </c>
      <c r="C423" t="s">
        <v>7</v>
      </c>
      <c r="D423">
        <v>192</v>
      </c>
      <c r="E423">
        <f t="shared" si="32"/>
        <v>135</v>
      </c>
      <c r="F423" s="22">
        <f>STOWA2015_2030_W!$R28</f>
        <v>3.0170789469498019E-3</v>
      </c>
      <c r="G423" s="22" t="s">
        <v>33</v>
      </c>
      <c r="H423" s="22">
        <f>STOWA2015_2030_W!$R28</f>
        <v>3.0170789469498019E-3</v>
      </c>
      <c r="I423" t="str">
        <f t="shared" si="31"/>
        <v>KL2030;winter;192;135;3.0170789469498E-03;TRUE;3.0170789469498E-03</v>
      </c>
    </row>
    <row r="424" spans="1:9" x14ac:dyDescent="0.25">
      <c r="A424">
        <f t="shared" si="30"/>
        <v>22.828125</v>
      </c>
      <c r="B424" t="s">
        <v>18</v>
      </c>
      <c r="C424" t="s">
        <v>7</v>
      </c>
      <c r="D424">
        <v>192</v>
      </c>
      <c r="E424">
        <f t="shared" si="32"/>
        <v>140</v>
      </c>
      <c r="F424" s="22">
        <f>STOWA2015_2030_W!$R29</f>
        <v>2.0477478250365E-3</v>
      </c>
      <c r="G424" s="22" t="s">
        <v>33</v>
      </c>
      <c r="H424" s="22">
        <f>STOWA2015_2030_W!$R29</f>
        <v>2.0477478250365E-3</v>
      </c>
      <c r="I424" t="str">
        <f t="shared" si="31"/>
        <v>KL2030;winter;192;140;2.0477478250365E-03;TRUE;2.0477478250365E-03</v>
      </c>
    </row>
    <row r="425" spans="1:9" x14ac:dyDescent="0.25">
      <c r="A425">
        <f t="shared" si="30"/>
        <v>22.828125</v>
      </c>
      <c r="B425" t="s">
        <v>18</v>
      </c>
      <c r="C425" t="s">
        <v>7</v>
      </c>
      <c r="D425">
        <v>192</v>
      </c>
      <c r="E425">
        <f t="shared" si="32"/>
        <v>145</v>
      </c>
      <c r="F425" s="22">
        <f>STOWA2015_2030_W!$R30</f>
        <v>1.3796311736559647E-3</v>
      </c>
      <c r="G425" s="22" t="s">
        <v>33</v>
      </c>
      <c r="H425" s="22">
        <f>STOWA2015_2030_W!$R30</f>
        <v>1.3796311736559647E-3</v>
      </c>
      <c r="I425" t="str">
        <f t="shared" si="31"/>
        <v>KL2030;winter;192;145;1.37963117365596E-03;TRUE;1.37963117365596E-03</v>
      </c>
    </row>
    <row r="426" spans="1:9" x14ac:dyDescent="0.25">
      <c r="A426">
        <f t="shared" si="30"/>
        <v>22.828125</v>
      </c>
      <c r="B426" t="s">
        <v>18</v>
      </c>
      <c r="C426" t="s">
        <v>7</v>
      </c>
      <c r="D426">
        <v>192</v>
      </c>
      <c r="E426">
        <f t="shared" si="32"/>
        <v>150</v>
      </c>
      <c r="F426" s="22">
        <f>STOWA2015_2030_W!$R31</f>
        <v>9.2240580782484483E-4</v>
      </c>
      <c r="G426" s="22" t="s">
        <v>33</v>
      </c>
      <c r="H426" s="22">
        <f>STOWA2015_2030_W!$R31</f>
        <v>9.2240580782484483E-4</v>
      </c>
      <c r="I426" t="str">
        <f t="shared" si="31"/>
        <v>KL2030;winter;192;150;9.22405807824845E-04;TRUE;9.22405807824845E-04</v>
      </c>
    </row>
    <row r="427" spans="1:9" x14ac:dyDescent="0.25">
      <c r="A427">
        <f t="shared" si="30"/>
        <v>22.828125</v>
      </c>
      <c r="B427" t="s">
        <v>18</v>
      </c>
      <c r="C427" t="s">
        <v>7</v>
      </c>
      <c r="D427">
        <v>192</v>
      </c>
      <c r="E427">
        <f t="shared" si="32"/>
        <v>155</v>
      </c>
      <c r="F427" s="22">
        <f>STOWA2015_2030_W!$R32</f>
        <v>1.734711654582381E-3</v>
      </c>
      <c r="G427" s="22" t="s">
        <v>33</v>
      </c>
      <c r="H427" s="22">
        <f>STOWA2015_2030_W!$R32</f>
        <v>1.734711654582381E-3</v>
      </c>
      <c r="I427" t="str">
        <f t="shared" si="31"/>
        <v>KL2030;winter;192;155;1.73471165458238E-03;TRUE;1.73471165458238E-03</v>
      </c>
    </row>
    <row r="428" spans="1:9" x14ac:dyDescent="0.25">
      <c r="A428">
        <f t="shared" si="30"/>
        <v>20.291666666666664</v>
      </c>
      <c r="B428" t="s">
        <v>18</v>
      </c>
      <c r="C428" t="s">
        <v>7</v>
      </c>
      <c r="D428">
        <v>216</v>
      </c>
      <c r="E428">
        <v>25</v>
      </c>
      <c r="F428" s="22">
        <f>STOWA2015_2030_W!$V6</f>
        <v>29.226947510866534</v>
      </c>
      <c r="G428" s="22" t="s">
        <v>33</v>
      </c>
      <c r="H428" s="22">
        <f>STOWA2015_2030_W!$V6</f>
        <v>29.226947510866534</v>
      </c>
      <c r="I428" t="str">
        <f t="shared" si="31"/>
        <v>KL2030;winter;216;25;29.2269475108665;TRUE;29.2269475108665</v>
      </c>
    </row>
    <row r="429" spans="1:9" x14ac:dyDescent="0.25">
      <c r="A429">
        <f t="shared" si="30"/>
        <v>20.291666666666664</v>
      </c>
      <c r="B429" t="s">
        <v>18</v>
      </c>
      <c r="C429" t="s">
        <v>7</v>
      </c>
      <c r="D429">
        <v>216</v>
      </c>
      <c r="E429">
        <f>E428+5</f>
        <v>30</v>
      </c>
      <c r="F429" s="22">
        <f>STOWA2015_2030_W!$V7</f>
        <v>2.6184274084171495</v>
      </c>
      <c r="G429" s="22" t="s">
        <v>33</v>
      </c>
      <c r="H429" s="22">
        <f>STOWA2015_2030_W!$V7</f>
        <v>2.6184274084171495</v>
      </c>
      <c r="I429" t="str">
        <f t="shared" si="31"/>
        <v>KL2030;winter;216;30;2.61842740841715;TRUE;2.61842740841715</v>
      </c>
    </row>
    <row r="430" spans="1:9" x14ac:dyDescent="0.25">
      <c r="A430">
        <f t="shared" si="30"/>
        <v>20.291666666666664</v>
      </c>
      <c r="B430" t="s">
        <v>18</v>
      </c>
      <c r="C430" t="s">
        <v>7</v>
      </c>
      <c r="D430">
        <v>216</v>
      </c>
      <c r="E430">
        <f t="shared" ref="E430:E455" si="33">E429+5</f>
        <v>35</v>
      </c>
      <c r="F430" s="22">
        <f>STOWA2015_2030_W!$V8</f>
        <v>2.0442223995991533</v>
      </c>
      <c r="G430" s="22" t="s">
        <v>33</v>
      </c>
      <c r="H430" s="22">
        <f>STOWA2015_2030_W!$V8</f>
        <v>2.0442223995991533</v>
      </c>
      <c r="I430" t="str">
        <f t="shared" si="31"/>
        <v>KL2030;winter;216;35;2.04422239959915;TRUE;2.04422239959915</v>
      </c>
    </row>
    <row r="431" spans="1:9" x14ac:dyDescent="0.25">
      <c r="A431">
        <f t="shared" si="30"/>
        <v>20.291666666666664</v>
      </c>
      <c r="B431" t="s">
        <v>18</v>
      </c>
      <c r="C431" t="s">
        <v>7</v>
      </c>
      <c r="D431">
        <v>216</v>
      </c>
      <c r="E431">
        <f t="shared" si="33"/>
        <v>40</v>
      </c>
      <c r="F431" s="22">
        <f>STOWA2015_2030_W!$V9</f>
        <v>1.5892656871835751</v>
      </c>
      <c r="G431" s="22" t="s">
        <v>33</v>
      </c>
      <c r="H431" s="22">
        <f>STOWA2015_2030_W!$V9</f>
        <v>1.5892656871835751</v>
      </c>
      <c r="I431" t="str">
        <f t="shared" si="31"/>
        <v>KL2030;winter;216;40;1.58926568718358;TRUE;1.58926568718358</v>
      </c>
    </row>
    <row r="432" spans="1:9" x14ac:dyDescent="0.25">
      <c r="A432">
        <f t="shared" si="30"/>
        <v>20.291666666666664</v>
      </c>
      <c r="B432" t="s">
        <v>18</v>
      </c>
      <c r="C432" t="s">
        <v>7</v>
      </c>
      <c r="D432">
        <v>216</v>
      </c>
      <c r="E432">
        <f t="shared" si="33"/>
        <v>45</v>
      </c>
      <c r="F432" s="22">
        <f>STOWA2015_2030_W!$V10</f>
        <v>1.2302206803248583</v>
      </c>
      <c r="G432" s="22" t="s">
        <v>33</v>
      </c>
      <c r="H432" s="22">
        <f>STOWA2015_2030_W!$V10</f>
        <v>1.2302206803248583</v>
      </c>
      <c r="I432" t="str">
        <f t="shared" si="31"/>
        <v>KL2030;winter;216;45;1.23022068032486;TRUE;1.23022068032486</v>
      </c>
    </row>
    <row r="433" spans="1:9" x14ac:dyDescent="0.25">
      <c r="A433">
        <f t="shared" si="30"/>
        <v>20.291666666666664</v>
      </c>
      <c r="B433" t="s">
        <v>18</v>
      </c>
      <c r="C433" t="s">
        <v>7</v>
      </c>
      <c r="D433">
        <v>216</v>
      </c>
      <c r="E433">
        <f t="shared" si="33"/>
        <v>50</v>
      </c>
      <c r="F433" s="22">
        <f>STOWA2015_2030_W!$V11</f>
        <v>0.94802938148684968</v>
      </c>
      <c r="G433" s="22" t="s">
        <v>33</v>
      </c>
      <c r="H433" s="22">
        <f>STOWA2015_2030_W!$V11</f>
        <v>0.94802938148684968</v>
      </c>
      <c r="I433" t="str">
        <f t="shared" si="31"/>
        <v>KL2030;winter;216;50;0.94802938148685;TRUE;0.94802938148685</v>
      </c>
    </row>
    <row r="434" spans="1:9" x14ac:dyDescent="0.25">
      <c r="A434">
        <f t="shared" si="30"/>
        <v>20.291666666666664</v>
      </c>
      <c r="B434" t="s">
        <v>18</v>
      </c>
      <c r="C434" t="s">
        <v>7</v>
      </c>
      <c r="D434">
        <v>216</v>
      </c>
      <c r="E434">
        <f t="shared" si="33"/>
        <v>55</v>
      </c>
      <c r="F434" s="22">
        <f>STOWA2015_2030_W!$V12</f>
        <v>0.72718248917084161</v>
      </c>
      <c r="G434" s="22" t="s">
        <v>33</v>
      </c>
      <c r="H434" s="22">
        <f>STOWA2015_2030_W!$V12</f>
        <v>0.72718248917084161</v>
      </c>
      <c r="I434" t="str">
        <f t="shared" si="31"/>
        <v>KL2030;winter;216;55;0.727182489170842;TRUE;0.727182489170842</v>
      </c>
    </row>
    <row r="435" spans="1:9" x14ac:dyDescent="0.25">
      <c r="A435">
        <f t="shared" si="30"/>
        <v>20.291666666666664</v>
      </c>
      <c r="B435" t="s">
        <v>18</v>
      </c>
      <c r="C435" t="s">
        <v>7</v>
      </c>
      <c r="D435">
        <v>216</v>
      </c>
      <c r="E435">
        <f t="shared" si="33"/>
        <v>60</v>
      </c>
      <c r="F435" s="22">
        <f>STOWA2015_2030_W!$V13</f>
        <v>0.55510440716619858</v>
      </c>
      <c r="G435" s="22" t="s">
        <v>33</v>
      </c>
      <c r="H435" s="22">
        <f>STOWA2015_2030_W!$V13</f>
        <v>0.55510440716619858</v>
      </c>
      <c r="I435" t="str">
        <f t="shared" si="31"/>
        <v>KL2030;winter;216;60;0.555104407166199;TRUE;0.555104407166199</v>
      </c>
    </row>
    <row r="436" spans="1:9" x14ac:dyDescent="0.25">
      <c r="A436">
        <f t="shared" si="30"/>
        <v>20.291666666666664</v>
      </c>
      <c r="B436" t="s">
        <v>18</v>
      </c>
      <c r="C436" t="s">
        <v>7</v>
      </c>
      <c r="D436">
        <v>216</v>
      </c>
      <c r="E436">
        <f t="shared" si="33"/>
        <v>65</v>
      </c>
      <c r="F436" s="22">
        <f>STOWA2015_2030_W!$V14</f>
        <v>0.4216366334942474</v>
      </c>
      <c r="G436" s="22" t="s">
        <v>33</v>
      </c>
      <c r="H436" s="22">
        <f>STOWA2015_2030_W!$V14</f>
        <v>0.4216366334942474</v>
      </c>
      <c r="I436" t="str">
        <f t="shared" si="31"/>
        <v>KL2030;winter;216;65;0.421636633494247;TRUE;0.421636633494247</v>
      </c>
    </row>
    <row r="437" spans="1:9" x14ac:dyDescent="0.25">
      <c r="A437">
        <f t="shared" si="30"/>
        <v>20.291666666666664</v>
      </c>
      <c r="B437" t="s">
        <v>18</v>
      </c>
      <c r="C437" t="s">
        <v>7</v>
      </c>
      <c r="D437">
        <v>216</v>
      </c>
      <c r="E437">
        <f t="shared" si="33"/>
        <v>70</v>
      </c>
      <c r="F437" s="22">
        <f>STOWA2015_2030_W!$V15</f>
        <v>0.31860514691724895</v>
      </c>
      <c r="G437" s="22" t="s">
        <v>33</v>
      </c>
      <c r="H437" s="22">
        <f>STOWA2015_2030_W!$V15</f>
        <v>0.31860514691724895</v>
      </c>
      <c r="I437" t="str">
        <f t="shared" si="31"/>
        <v>KL2030;winter;216;70;0.318605146917249;TRUE;0.318605146917249</v>
      </c>
    </row>
    <row r="438" spans="1:9" x14ac:dyDescent="0.25">
      <c r="A438">
        <f t="shared" si="30"/>
        <v>20.291666666666664</v>
      </c>
      <c r="B438" t="s">
        <v>18</v>
      </c>
      <c r="C438" t="s">
        <v>7</v>
      </c>
      <c r="D438">
        <v>216</v>
      </c>
      <c r="E438">
        <f t="shared" si="33"/>
        <v>75</v>
      </c>
      <c r="F438" s="22">
        <f>STOWA2015_2030_W!$V16</f>
        <v>0.23945930644869295</v>
      </c>
      <c r="G438" s="22" t="s">
        <v>33</v>
      </c>
      <c r="H438" s="22">
        <f>STOWA2015_2030_W!$V16</f>
        <v>0.23945930644869295</v>
      </c>
      <c r="I438" t="str">
        <f t="shared" si="31"/>
        <v>KL2030;winter;216;75;0.239459306448693;TRUE;0.239459306448693</v>
      </c>
    </row>
    <row r="439" spans="1:9" x14ac:dyDescent="0.25">
      <c r="A439">
        <f t="shared" si="30"/>
        <v>20.291666666666664</v>
      </c>
      <c r="B439" t="s">
        <v>18</v>
      </c>
      <c r="C439" t="s">
        <v>7</v>
      </c>
      <c r="D439">
        <v>216</v>
      </c>
      <c r="E439">
        <f t="shared" si="33"/>
        <v>80</v>
      </c>
      <c r="F439" s="22">
        <f>STOWA2015_2030_W!$V17</f>
        <v>0.17897145448719798</v>
      </c>
      <c r="G439" s="22" t="s">
        <v>33</v>
      </c>
      <c r="H439" s="22">
        <f>STOWA2015_2030_W!$V17</f>
        <v>0.17897145448719798</v>
      </c>
      <c r="I439" t="str">
        <f t="shared" si="31"/>
        <v>KL2030;winter;216;80;0.178971454487198;TRUE;0.178971454487198</v>
      </c>
    </row>
    <row r="440" spans="1:9" x14ac:dyDescent="0.25">
      <c r="A440">
        <f t="shared" si="30"/>
        <v>20.291666666666664</v>
      </c>
      <c r="B440" t="s">
        <v>18</v>
      </c>
      <c r="C440" t="s">
        <v>7</v>
      </c>
      <c r="D440">
        <v>216</v>
      </c>
      <c r="E440">
        <f t="shared" si="33"/>
        <v>85</v>
      </c>
      <c r="F440" s="22">
        <f>STOWA2015_2030_W!$V18</f>
        <v>0.1329878896680442</v>
      </c>
      <c r="G440" s="22" t="s">
        <v>33</v>
      </c>
      <c r="H440" s="22">
        <f>STOWA2015_2030_W!$V18</f>
        <v>0.1329878896680442</v>
      </c>
      <c r="I440" t="str">
        <f t="shared" si="31"/>
        <v>KL2030;winter;216;85;0.132987889668044;TRUE;0.132987889668044</v>
      </c>
    </row>
    <row r="441" spans="1:9" x14ac:dyDescent="0.25">
      <c r="A441">
        <f t="shared" si="30"/>
        <v>20.291666666666664</v>
      </c>
      <c r="B441" t="s">
        <v>18</v>
      </c>
      <c r="C441" t="s">
        <v>7</v>
      </c>
      <c r="D441">
        <v>216</v>
      </c>
      <c r="E441">
        <f t="shared" si="33"/>
        <v>90</v>
      </c>
      <c r="F441" s="22">
        <f>STOWA2015_2030_W!$V19</f>
        <v>9.8223171998982173E-2</v>
      </c>
      <c r="G441" s="22" t="s">
        <v>33</v>
      </c>
      <c r="H441" s="22">
        <f>STOWA2015_2030_W!$V19</f>
        <v>9.8223171998982173E-2</v>
      </c>
      <c r="I441" t="str">
        <f t="shared" si="31"/>
        <v>KL2030;winter;216;90;9.82231719989822E-02;TRUE;9.82231719989822E-02</v>
      </c>
    </row>
    <row r="442" spans="1:9" x14ac:dyDescent="0.25">
      <c r="A442">
        <f t="shared" si="30"/>
        <v>20.291666666666664</v>
      </c>
      <c r="B442" t="s">
        <v>18</v>
      </c>
      <c r="C442" t="s">
        <v>7</v>
      </c>
      <c r="D442">
        <v>216</v>
      </c>
      <c r="E442">
        <f t="shared" si="33"/>
        <v>95</v>
      </c>
      <c r="F442" s="22">
        <f>STOWA2015_2030_W!$V20</f>
        <v>7.2090859217299269E-2</v>
      </c>
      <c r="G442" s="22" t="s">
        <v>33</v>
      </c>
      <c r="H442" s="22">
        <f>STOWA2015_2030_W!$V20</f>
        <v>7.2090859217299269E-2</v>
      </c>
      <c r="I442" t="str">
        <f t="shared" si="31"/>
        <v>KL2030;winter;216;95;7.20908592172993E-02;TRUE;7.20908592172993E-02</v>
      </c>
    </row>
    <row r="443" spans="1:9" x14ac:dyDescent="0.25">
      <c r="A443">
        <f t="shared" si="30"/>
        <v>20.291666666666664</v>
      </c>
      <c r="B443" t="s">
        <v>18</v>
      </c>
      <c r="C443" t="s">
        <v>7</v>
      </c>
      <c r="D443">
        <v>216</v>
      </c>
      <c r="E443">
        <f t="shared" si="33"/>
        <v>100</v>
      </c>
      <c r="F443" s="22">
        <f>STOWA2015_2030_W!$V21</f>
        <v>5.2564766785604788E-2</v>
      </c>
      <c r="G443" s="22" t="s">
        <v>33</v>
      </c>
      <c r="H443" s="22">
        <f>STOWA2015_2030_W!$V21</f>
        <v>5.2564766785604788E-2</v>
      </c>
      <c r="I443" t="str">
        <f t="shared" si="31"/>
        <v>KL2030;winter;216;100;5.25647667856048E-02;TRUE;5.25647667856048E-02</v>
      </c>
    </row>
    <row r="444" spans="1:9" x14ac:dyDescent="0.25">
      <c r="A444">
        <f t="shared" si="30"/>
        <v>20.291666666666664</v>
      </c>
      <c r="B444" t="s">
        <v>18</v>
      </c>
      <c r="C444" t="s">
        <v>7</v>
      </c>
      <c r="D444">
        <v>216</v>
      </c>
      <c r="E444">
        <f t="shared" si="33"/>
        <v>105</v>
      </c>
      <c r="F444" s="22">
        <f>STOWA2015_2030_W!$V22</f>
        <v>3.8065710180863951E-2</v>
      </c>
      <c r="G444" s="22" t="s">
        <v>33</v>
      </c>
      <c r="H444" s="22">
        <f>STOWA2015_2030_W!$V22</f>
        <v>3.8065710180863951E-2</v>
      </c>
      <c r="I444" t="str">
        <f t="shared" si="31"/>
        <v>KL2030;winter;216;105;0.038065710180864;TRUE;0.038065710180864</v>
      </c>
    </row>
    <row r="445" spans="1:9" x14ac:dyDescent="0.25">
      <c r="A445">
        <f t="shared" si="30"/>
        <v>20.291666666666664</v>
      </c>
      <c r="B445" t="s">
        <v>18</v>
      </c>
      <c r="C445" t="s">
        <v>7</v>
      </c>
      <c r="D445">
        <v>216</v>
      </c>
      <c r="E445">
        <f t="shared" si="33"/>
        <v>110</v>
      </c>
      <c r="F445" s="22">
        <f>STOWA2015_2030_W!$V23</f>
        <v>2.7369441322686774E-2</v>
      </c>
      <c r="G445" s="22" t="s">
        <v>33</v>
      </c>
      <c r="H445" s="22">
        <f>STOWA2015_2030_W!$V23</f>
        <v>2.7369441322686774E-2</v>
      </c>
      <c r="I445" t="str">
        <f t="shared" si="31"/>
        <v>KL2030;winter;216;110;2.73694413226868E-02;TRUE;2.73694413226868E-02</v>
      </c>
    </row>
    <row r="446" spans="1:9" x14ac:dyDescent="0.25">
      <c r="A446">
        <f t="shared" si="30"/>
        <v>20.291666666666664</v>
      </c>
      <c r="B446" t="s">
        <v>18</v>
      </c>
      <c r="C446" t="s">
        <v>7</v>
      </c>
      <c r="D446">
        <v>216</v>
      </c>
      <c r="E446">
        <f t="shared" si="33"/>
        <v>115</v>
      </c>
      <c r="F446" s="22">
        <f>STOWA2015_2030_W!$V24</f>
        <v>1.953214398954238E-2</v>
      </c>
      <c r="G446" s="22" t="s">
        <v>33</v>
      </c>
      <c r="H446" s="22">
        <f>STOWA2015_2030_W!$V24</f>
        <v>1.953214398954238E-2</v>
      </c>
      <c r="I446" t="str">
        <f t="shared" si="31"/>
        <v>KL2030;winter;216;115;1.95321439895424E-02;TRUE;1.95321439895424E-02</v>
      </c>
    </row>
    <row r="447" spans="1:9" x14ac:dyDescent="0.25">
      <c r="A447">
        <f t="shared" si="30"/>
        <v>20.291666666666664</v>
      </c>
      <c r="B447" t="s">
        <v>18</v>
      </c>
      <c r="C447" t="s">
        <v>7</v>
      </c>
      <c r="D447">
        <v>216</v>
      </c>
      <c r="E447">
        <f t="shared" si="33"/>
        <v>120</v>
      </c>
      <c r="F447" s="22">
        <f>STOWA2015_2030_W!$V25</f>
        <v>1.3830417504654517E-2</v>
      </c>
      <c r="G447" s="22" t="s">
        <v>33</v>
      </c>
      <c r="H447" s="22">
        <f>STOWA2015_2030_W!$V25</f>
        <v>1.3830417504654517E-2</v>
      </c>
      <c r="I447" t="str">
        <f t="shared" si="31"/>
        <v>KL2030;winter;216;120;1.38304175046545E-02;TRUE;1.38304175046545E-02</v>
      </c>
    </row>
    <row r="448" spans="1:9" x14ac:dyDescent="0.25">
      <c r="A448">
        <f t="shared" si="30"/>
        <v>20.291666666666664</v>
      </c>
      <c r="B448" t="s">
        <v>18</v>
      </c>
      <c r="C448" t="s">
        <v>7</v>
      </c>
      <c r="D448">
        <v>216</v>
      </c>
      <c r="E448">
        <f t="shared" si="33"/>
        <v>125</v>
      </c>
      <c r="F448" s="22">
        <f>STOWA2015_2030_W!$V26</f>
        <v>9.7131643145328093E-3</v>
      </c>
      <c r="G448" s="22" t="s">
        <v>33</v>
      </c>
      <c r="H448" s="22">
        <f>STOWA2015_2030_W!$V26</f>
        <v>9.7131643145328093E-3</v>
      </c>
      <c r="I448" t="str">
        <f t="shared" si="31"/>
        <v>KL2030;winter;216;125;9.71316431453281E-03;TRUE;9.71316431453281E-03</v>
      </c>
    </row>
    <row r="449" spans="1:9" x14ac:dyDescent="0.25">
      <c r="A449">
        <f t="shared" si="30"/>
        <v>20.291666666666664</v>
      </c>
      <c r="B449" t="s">
        <v>18</v>
      </c>
      <c r="C449" t="s">
        <v>7</v>
      </c>
      <c r="D449">
        <v>216</v>
      </c>
      <c r="E449">
        <f t="shared" si="33"/>
        <v>130</v>
      </c>
      <c r="F449" s="22">
        <f>STOWA2015_2030_W!$V27</f>
        <v>6.7632147601033032E-3</v>
      </c>
      <c r="G449" s="22" t="s">
        <v>33</v>
      </c>
      <c r="H449" s="22">
        <f>STOWA2015_2030_W!$V27</f>
        <v>6.7632147601033032E-3</v>
      </c>
      <c r="I449" t="str">
        <f t="shared" si="31"/>
        <v>KL2030;winter;216;130;6.7632147601033E-03;TRUE;6.7632147601033E-03</v>
      </c>
    </row>
    <row r="450" spans="1:9" x14ac:dyDescent="0.25">
      <c r="A450">
        <f t="shared" ref="A450:A513" si="34">IF(C450="zomer",24/D450*365.25 * 6/12,24/D450*365.25 * 6/12)</f>
        <v>20.291666666666664</v>
      </c>
      <c r="B450" t="s">
        <v>18</v>
      </c>
      <c r="C450" t="s">
        <v>7</v>
      </c>
      <c r="D450">
        <v>216</v>
      </c>
      <c r="E450">
        <f t="shared" si="33"/>
        <v>135</v>
      </c>
      <c r="F450" s="22">
        <f>STOWA2015_2030_W!$V28</f>
        <v>4.666879816017936E-3</v>
      </c>
      <c r="G450" s="22" t="s">
        <v>33</v>
      </c>
      <c r="H450" s="22">
        <f>STOWA2015_2030_W!$V28</f>
        <v>4.666879816017936E-3</v>
      </c>
      <c r="I450" t="str">
        <f t="shared" ref="I450:I513" si="35">CONCATENATEWITHDELIMITER(B450:H450,";")</f>
        <v>KL2030;winter;216;135;4.66687981601794E-03;TRUE;4.66687981601794E-03</v>
      </c>
    </row>
    <row r="451" spans="1:9" x14ac:dyDescent="0.25">
      <c r="A451">
        <f t="shared" si="34"/>
        <v>20.291666666666664</v>
      </c>
      <c r="B451" t="s">
        <v>18</v>
      </c>
      <c r="C451" t="s">
        <v>7</v>
      </c>
      <c r="D451">
        <v>216</v>
      </c>
      <c r="E451">
        <f t="shared" si="33"/>
        <v>140</v>
      </c>
      <c r="F451" s="22">
        <f>STOWA2015_2030_W!$V29</f>
        <v>3.189927426203761E-3</v>
      </c>
      <c r="G451" s="22" t="s">
        <v>33</v>
      </c>
      <c r="H451" s="22">
        <f>STOWA2015_2030_W!$V29</f>
        <v>3.189927426203761E-3</v>
      </c>
      <c r="I451" t="str">
        <f t="shared" si="35"/>
        <v>KL2030;winter;216;140;3.18992742620376E-03;TRUE;3.18992742620376E-03</v>
      </c>
    </row>
    <row r="452" spans="1:9" x14ac:dyDescent="0.25">
      <c r="A452">
        <f t="shared" si="34"/>
        <v>20.291666666666664</v>
      </c>
      <c r="B452" t="s">
        <v>18</v>
      </c>
      <c r="C452" t="s">
        <v>7</v>
      </c>
      <c r="D452">
        <v>216</v>
      </c>
      <c r="E452">
        <f t="shared" si="33"/>
        <v>145</v>
      </c>
      <c r="F452" s="22">
        <f>STOWA2015_2030_W!$V30</f>
        <v>2.1587370619415803E-3</v>
      </c>
      <c r="G452" s="22" t="s">
        <v>33</v>
      </c>
      <c r="H452" s="22">
        <f>STOWA2015_2030_W!$V30</f>
        <v>2.1587370619415803E-3</v>
      </c>
      <c r="I452" t="str">
        <f t="shared" si="35"/>
        <v>KL2030;winter;216;145;2.15873706194158E-03;TRUE;2.15873706194158E-03</v>
      </c>
    </row>
    <row r="453" spans="1:9" x14ac:dyDescent="0.25">
      <c r="A453">
        <f t="shared" si="34"/>
        <v>20.291666666666664</v>
      </c>
      <c r="B453" t="s">
        <v>18</v>
      </c>
      <c r="C453" t="s">
        <v>7</v>
      </c>
      <c r="D453">
        <v>216</v>
      </c>
      <c r="E453">
        <f t="shared" si="33"/>
        <v>150</v>
      </c>
      <c r="F453" s="22">
        <f>STOWA2015_2030_W!$V31</f>
        <v>1.4456063024466202E-3</v>
      </c>
      <c r="G453" s="22" t="s">
        <v>33</v>
      </c>
      <c r="H453" s="22">
        <f>STOWA2015_2030_W!$V31</f>
        <v>1.4456063024466202E-3</v>
      </c>
      <c r="I453" t="str">
        <f t="shared" si="35"/>
        <v>KL2030;winter;216;150;1.44560630244662E-03;TRUE;1.44560630244662E-03</v>
      </c>
    </row>
    <row r="454" spans="1:9" x14ac:dyDescent="0.25">
      <c r="A454">
        <f t="shared" si="34"/>
        <v>20.291666666666664</v>
      </c>
      <c r="B454" t="s">
        <v>18</v>
      </c>
      <c r="C454" t="s">
        <v>7</v>
      </c>
      <c r="D454">
        <v>216</v>
      </c>
      <c r="E454">
        <f t="shared" si="33"/>
        <v>155</v>
      </c>
      <c r="F454" s="22">
        <f>STOWA2015_2030_W!$V32</f>
        <v>9.5736794336806963E-4</v>
      </c>
      <c r="G454" s="22" t="s">
        <v>33</v>
      </c>
      <c r="H454" s="22">
        <f>STOWA2015_2030_W!$V32</f>
        <v>9.5736794336806963E-4</v>
      </c>
      <c r="I454" t="str">
        <f t="shared" si="35"/>
        <v>KL2030;winter;216;155;9.5736794336807E-04;TRUE;9.5736794336807E-04</v>
      </c>
    </row>
    <row r="455" spans="1:9" x14ac:dyDescent="0.25">
      <c r="A455">
        <f t="shared" si="34"/>
        <v>20.291666666666664</v>
      </c>
      <c r="B455" t="s">
        <v>18</v>
      </c>
      <c r="C455" t="s">
        <v>7</v>
      </c>
      <c r="D455">
        <v>216</v>
      </c>
      <c r="E455">
        <f t="shared" si="33"/>
        <v>160</v>
      </c>
      <c r="F455" s="22">
        <f>STOWA2015_2030_W!$V33</f>
        <v>1.7015294784891431E-3</v>
      </c>
      <c r="G455" s="22" t="s">
        <v>33</v>
      </c>
      <c r="H455" s="22">
        <f>STOWA2015_2030_W!$V33</f>
        <v>1.7015294784891431E-3</v>
      </c>
      <c r="I455" t="str">
        <f t="shared" si="35"/>
        <v>KL2030;winter;216;160;1.70152947848914E-03;TRUE;1.70152947848914E-03</v>
      </c>
    </row>
    <row r="456" spans="1:9" x14ac:dyDescent="0.25">
      <c r="A456">
        <f t="shared" si="34"/>
        <v>182.625</v>
      </c>
      <c r="B456" t="s">
        <v>19</v>
      </c>
      <c r="C456" t="s">
        <v>11</v>
      </c>
      <c r="D456">
        <v>24</v>
      </c>
      <c r="E456">
        <v>15</v>
      </c>
      <c r="F456" s="22">
        <f>STOWA2015_2050GL_Z!$F4</f>
        <v>356.56369583699706</v>
      </c>
      <c r="G456" s="22" t="s">
        <v>33</v>
      </c>
      <c r="H456" s="22">
        <f>STOWA2015_2050GL_Z!$F4</f>
        <v>356.56369583699706</v>
      </c>
      <c r="I456" t="str">
        <f t="shared" si="35"/>
        <v>GL2050;zomer;24;15;356.563695836997;TRUE;356.563695836997</v>
      </c>
    </row>
    <row r="457" spans="1:9" x14ac:dyDescent="0.25">
      <c r="A457">
        <f t="shared" si="34"/>
        <v>182.625</v>
      </c>
      <c r="B457" t="s">
        <v>19</v>
      </c>
      <c r="C457" t="s">
        <v>11</v>
      </c>
      <c r="D457">
        <v>24</v>
      </c>
      <c r="E457">
        <f>E456+5</f>
        <v>20</v>
      </c>
      <c r="F457" s="22">
        <f>STOWA2015_2050GL_Z!$F5</f>
        <v>3.9807794451925647</v>
      </c>
      <c r="G457" s="22" t="s">
        <v>33</v>
      </c>
      <c r="H457" s="22">
        <f>STOWA2015_2050GL_Z!$F5</f>
        <v>3.9807794451925647</v>
      </c>
      <c r="I457" t="str">
        <f t="shared" si="35"/>
        <v>GL2050;zomer;24;20;3.98077944519256;TRUE;3.98077944519256</v>
      </c>
    </row>
    <row r="458" spans="1:9" x14ac:dyDescent="0.25">
      <c r="A458">
        <f t="shared" si="34"/>
        <v>182.625</v>
      </c>
      <c r="B458" t="s">
        <v>19</v>
      </c>
      <c r="C458" t="s">
        <v>11</v>
      </c>
      <c r="D458">
        <v>24</v>
      </c>
      <c r="E458">
        <f t="shared" ref="E458:E474" si="36">E457+5</f>
        <v>25</v>
      </c>
      <c r="F458" s="22">
        <f>STOWA2015_2050GL_Z!$F6</f>
        <v>2.0886307590458268</v>
      </c>
      <c r="G458" s="22" t="s">
        <v>33</v>
      </c>
      <c r="H458" s="22">
        <f>STOWA2015_2050GL_Z!$F6</f>
        <v>2.0886307590458268</v>
      </c>
      <c r="I458" t="str">
        <f t="shared" si="35"/>
        <v>GL2050;zomer;24;25;2.08863075904583;TRUE;2.08863075904583</v>
      </c>
    </row>
    <row r="459" spans="1:9" x14ac:dyDescent="0.25">
      <c r="A459">
        <f t="shared" si="34"/>
        <v>182.625</v>
      </c>
      <c r="B459" t="s">
        <v>19</v>
      </c>
      <c r="C459" t="s">
        <v>11</v>
      </c>
      <c r="D459">
        <v>24</v>
      </c>
      <c r="E459">
        <f t="shared" si="36"/>
        <v>30</v>
      </c>
      <c r="F459" s="22">
        <f>STOWA2015_2050GL_Z!$F7</f>
        <v>1.1260504234558821</v>
      </c>
      <c r="G459" s="22" t="s">
        <v>33</v>
      </c>
      <c r="H459" s="22">
        <f>STOWA2015_2050GL_Z!$F7</f>
        <v>1.1260504234558821</v>
      </c>
      <c r="I459" t="str">
        <f t="shared" si="35"/>
        <v>GL2050;zomer;24;30;1.12605042345588;TRUE;1.12605042345588</v>
      </c>
    </row>
    <row r="460" spans="1:9" x14ac:dyDescent="0.25">
      <c r="A460">
        <f t="shared" si="34"/>
        <v>182.625</v>
      </c>
      <c r="B460" t="s">
        <v>19</v>
      </c>
      <c r="C460" t="s">
        <v>11</v>
      </c>
      <c r="D460">
        <v>24</v>
      </c>
      <c r="E460">
        <f t="shared" si="36"/>
        <v>35</v>
      </c>
      <c r="F460" s="22">
        <f>STOWA2015_2050GL_Z!$F8</f>
        <v>0.62244378696341829</v>
      </c>
      <c r="G460" s="22" t="s">
        <v>33</v>
      </c>
      <c r="H460" s="22">
        <f>STOWA2015_2050GL_Z!$F8</f>
        <v>0.62244378696341829</v>
      </c>
      <c r="I460" t="str">
        <f t="shared" si="35"/>
        <v>GL2050;zomer;24;35;0.622443786963418;TRUE;0.622443786963418</v>
      </c>
    </row>
    <row r="461" spans="1:9" x14ac:dyDescent="0.25">
      <c r="A461">
        <f t="shared" si="34"/>
        <v>182.625</v>
      </c>
      <c r="B461" t="s">
        <v>19</v>
      </c>
      <c r="C461" t="s">
        <v>11</v>
      </c>
      <c r="D461">
        <v>24</v>
      </c>
      <c r="E461">
        <f t="shared" si="36"/>
        <v>40</v>
      </c>
      <c r="F461" s="22">
        <f>STOWA2015_2050GL_Z!$F9</f>
        <v>0.35208217417889087</v>
      </c>
      <c r="G461" s="22" t="s">
        <v>33</v>
      </c>
      <c r="H461" s="22">
        <f>STOWA2015_2050GL_Z!$F9</f>
        <v>0.35208217417889087</v>
      </c>
      <c r="I461" t="str">
        <f t="shared" si="35"/>
        <v>GL2050;zomer;24;40;0.352082174178891;TRUE;0.352082174178891</v>
      </c>
    </row>
    <row r="462" spans="1:9" x14ac:dyDescent="0.25">
      <c r="A462">
        <f t="shared" si="34"/>
        <v>182.625</v>
      </c>
      <c r="B462" t="s">
        <v>19</v>
      </c>
      <c r="C462" t="s">
        <v>11</v>
      </c>
      <c r="D462">
        <v>24</v>
      </c>
      <c r="E462">
        <f t="shared" si="36"/>
        <v>45</v>
      </c>
      <c r="F462" s="22">
        <f>STOWA2015_2050GL_Z!$F10</f>
        <v>0.20344177128123986</v>
      </c>
      <c r="G462" s="22" t="s">
        <v>33</v>
      </c>
      <c r="H462" s="22">
        <f>STOWA2015_2050GL_Z!$F10</f>
        <v>0.20344177128123986</v>
      </c>
      <c r="I462" t="str">
        <f t="shared" si="35"/>
        <v>GL2050;zomer;24;45;0.20344177128124;TRUE;0.20344177128124</v>
      </c>
    </row>
    <row r="463" spans="1:9" x14ac:dyDescent="0.25">
      <c r="A463">
        <f t="shared" si="34"/>
        <v>182.625</v>
      </c>
      <c r="B463" t="s">
        <v>19</v>
      </c>
      <c r="C463" t="s">
        <v>11</v>
      </c>
      <c r="D463">
        <v>24</v>
      </c>
      <c r="E463">
        <f t="shared" si="36"/>
        <v>50</v>
      </c>
      <c r="F463" s="22">
        <f>STOWA2015_2050GL_Z!$F11</f>
        <v>0.11990031417360902</v>
      </c>
      <c r="G463" s="22" t="s">
        <v>33</v>
      </c>
      <c r="H463" s="22">
        <f>STOWA2015_2050GL_Z!$F11</f>
        <v>0.11990031417360902</v>
      </c>
      <c r="I463" t="str">
        <f t="shared" si="35"/>
        <v>GL2050;zomer;24;50;0.119900314173609;TRUE;0.119900314173609</v>
      </c>
    </row>
    <row r="464" spans="1:9" x14ac:dyDescent="0.25">
      <c r="A464">
        <f t="shared" si="34"/>
        <v>182.625</v>
      </c>
      <c r="B464" t="s">
        <v>19</v>
      </c>
      <c r="C464" t="s">
        <v>11</v>
      </c>
      <c r="D464">
        <v>24</v>
      </c>
      <c r="E464">
        <f t="shared" si="36"/>
        <v>55</v>
      </c>
      <c r="F464" s="22">
        <f>STOWA2015_2050GL_Z!$F12</f>
        <v>7.1975796364637121E-2</v>
      </c>
      <c r="G464" s="22" t="s">
        <v>33</v>
      </c>
      <c r="H464" s="22">
        <f>STOWA2015_2050GL_Z!$F12</f>
        <v>7.1975796364637121E-2</v>
      </c>
      <c r="I464" t="str">
        <f t="shared" si="35"/>
        <v>GL2050;zomer;24;55;7.19757963646371E-02;TRUE;7.19757963646371E-02</v>
      </c>
    </row>
    <row r="465" spans="1:9" x14ac:dyDescent="0.25">
      <c r="A465">
        <f t="shared" si="34"/>
        <v>182.625</v>
      </c>
      <c r="B465" t="s">
        <v>19</v>
      </c>
      <c r="C465" t="s">
        <v>11</v>
      </c>
      <c r="D465">
        <v>24</v>
      </c>
      <c r="E465">
        <f t="shared" si="36"/>
        <v>60</v>
      </c>
      <c r="F465" s="22">
        <f>STOWA2015_2050GL_Z!$F13</f>
        <v>4.3954259357837977E-2</v>
      </c>
      <c r="G465" s="22" t="s">
        <v>33</v>
      </c>
      <c r="H465" s="22">
        <f>STOWA2015_2050GL_Z!$F13</f>
        <v>4.3954259357837977E-2</v>
      </c>
      <c r="I465" t="str">
        <f t="shared" si="35"/>
        <v>GL2050;zomer;24;60;0.043954259357838;TRUE;0.043954259357838</v>
      </c>
    </row>
    <row r="466" spans="1:9" x14ac:dyDescent="0.25">
      <c r="A466">
        <f t="shared" si="34"/>
        <v>182.625</v>
      </c>
      <c r="B466" t="s">
        <v>19</v>
      </c>
      <c r="C466" t="s">
        <v>11</v>
      </c>
      <c r="D466">
        <v>24</v>
      </c>
      <c r="E466">
        <f t="shared" si="36"/>
        <v>65</v>
      </c>
      <c r="F466" s="22">
        <f>STOWA2015_2050GL_Z!$F14</f>
        <v>2.7275878469069481E-2</v>
      </c>
      <c r="G466" s="22" t="s">
        <v>33</v>
      </c>
      <c r="H466" s="22">
        <f>STOWA2015_2050GL_Z!$F14</f>
        <v>2.7275878469069481E-2</v>
      </c>
      <c r="I466" t="str">
        <f t="shared" si="35"/>
        <v>GL2050;zomer;24;65;2.72758784690695E-02;TRUE;2.72758784690695E-02</v>
      </c>
    </row>
    <row r="467" spans="1:9" x14ac:dyDescent="0.25">
      <c r="A467">
        <f t="shared" si="34"/>
        <v>182.625</v>
      </c>
      <c r="B467" t="s">
        <v>19</v>
      </c>
      <c r="C467" t="s">
        <v>11</v>
      </c>
      <c r="D467">
        <v>24</v>
      </c>
      <c r="E467">
        <f t="shared" si="36"/>
        <v>70</v>
      </c>
      <c r="F467" s="22">
        <f>STOWA2015_2050GL_Z!$F15</f>
        <v>1.7182277426250357E-2</v>
      </c>
      <c r="G467" s="22" t="s">
        <v>33</v>
      </c>
      <c r="H467" s="22">
        <f>STOWA2015_2050GL_Z!$F15</f>
        <v>1.7182277426250357E-2</v>
      </c>
      <c r="I467" t="str">
        <f t="shared" si="35"/>
        <v>GL2050;zomer;24;70;1.71822774262504E-02;TRUE;1.71822774262504E-02</v>
      </c>
    </row>
    <row r="468" spans="1:9" x14ac:dyDescent="0.25">
      <c r="A468">
        <f t="shared" si="34"/>
        <v>182.625</v>
      </c>
      <c r="B468" t="s">
        <v>19</v>
      </c>
      <c r="C468" t="s">
        <v>11</v>
      </c>
      <c r="D468">
        <v>24</v>
      </c>
      <c r="E468">
        <f t="shared" si="36"/>
        <v>75</v>
      </c>
      <c r="F468" s="22">
        <f>STOWA2015_2050GL_Z!$F16</f>
        <v>1.0977618332355069E-2</v>
      </c>
      <c r="G468" s="22" t="s">
        <v>33</v>
      </c>
      <c r="H468" s="22">
        <f>STOWA2015_2050GL_Z!$F16</f>
        <v>1.0977618332355069E-2</v>
      </c>
      <c r="I468" t="str">
        <f t="shared" si="35"/>
        <v>GL2050;zomer;24;75;1.09776183323551E-02;TRUE;1.09776183323551E-02</v>
      </c>
    </row>
    <row r="469" spans="1:9" x14ac:dyDescent="0.25">
      <c r="A469">
        <f t="shared" si="34"/>
        <v>182.625</v>
      </c>
      <c r="B469" t="s">
        <v>19</v>
      </c>
      <c r="C469" t="s">
        <v>11</v>
      </c>
      <c r="D469">
        <v>24</v>
      </c>
      <c r="E469">
        <f t="shared" si="36"/>
        <v>80</v>
      </c>
      <c r="F469" s="22">
        <f>STOWA2015_2050GL_Z!$F17</f>
        <v>7.1071860945441066E-3</v>
      </c>
      <c r="G469" s="22" t="s">
        <v>33</v>
      </c>
      <c r="H469" s="22">
        <f>STOWA2015_2050GL_Z!$F17</f>
        <v>7.1071860945441066E-3</v>
      </c>
      <c r="I469" t="str">
        <f t="shared" si="35"/>
        <v>GL2050;zomer;24;80;7.10718609454411E-03;TRUE;7.10718609454411E-03</v>
      </c>
    </row>
    <row r="470" spans="1:9" x14ac:dyDescent="0.25">
      <c r="A470">
        <f t="shared" si="34"/>
        <v>182.625</v>
      </c>
      <c r="B470" t="s">
        <v>19</v>
      </c>
      <c r="C470" t="s">
        <v>11</v>
      </c>
      <c r="D470">
        <v>24</v>
      </c>
      <c r="E470">
        <f t="shared" si="36"/>
        <v>85</v>
      </c>
      <c r="F470" s="22">
        <f>STOWA2015_2050GL_Z!$F18</f>
        <v>4.6592666323555711E-3</v>
      </c>
      <c r="G470" s="22" t="s">
        <v>33</v>
      </c>
      <c r="H470" s="22">
        <f>STOWA2015_2050GL_Z!$F18</f>
        <v>4.6592666323555711E-3</v>
      </c>
      <c r="I470" t="str">
        <f t="shared" si="35"/>
        <v>GL2050;zomer;24;85;4.65926663235557E-03;TRUE;4.65926663235557E-03</v>
      </c>
    </row>
    <row r="471" spans="1:9" x14ac:dyDescent="0.25">
      <c r="A471">
        <f t="shared" si="34"/>
        <v>182.625</v>
      </c>
      <c r="B471" t="s">
        <v>19</v>
      </c>
      <c r="C471" t="s">
        <v>11</v>
      </c>
      <c r="D471">
        <v>24</v>
      </c>
      <c r="E471">
        <f t="shared" si="36"/>
        <v>90</v>
      </c>
      <c r="F471" s="22">
        <f>STOWA2015_2050GL_Z!$F19</f>
        <v>3.0907495088998184E-3</v>
      </c>
      <c r="G471" s="22" t="s">
        <v>33</v>
      </c>
      <c r="H471" s="22">
        <f>STOWA2015_2050GL_Z!$F19</f>
        <v>3.0907495088998184E-3</v>
      </c>
      <c r="I471" t="str">
        <f t="shared" si="35"/>
        <v>GL2050;zomer;24;90;3.09074950889982E-03;TRUE;3.09074950889982E-03</v>
      </c>
    </row>
    <row r="472" spans="1:9" x14ac:dyDescent="0.25">
      <c r="A472">
        <f t="shared" si="34"/>
        <v>182.625</v>
      </c>
      <c r="B472" t="s">
        <v>19</v>
      </c>
      <c r="C472" t="s">
        <v>11</v>
      </c>
      <c r="D472">
        <v>24</v>
      </c>
      <c r="E472">
        <f t="shared" si="36"/>
        <v>95</v>
      </c>
      <c r="F472" s="22">
        <f>STOWA2015_2050GL_Z!$F20</f>
        <v>2.0732769575826735E-3</v>
      </c>
      <c r="G472" s="22" t="s">
        <v>33</v>
      </c>
      <c r="H472" s="22">
        <f>STOWA2015_2050GL_Z!$F20</f>
        <v>2.0732769575826735E-3</v>
      </c>
      <c r="I472" t="str">
        <f t="shared" si="35"/>
        <v>GL2050;zomer;24;95;2.07327695758267E-03;TRUE;2.07327695758267E-03</v>
      </c>
    </row>
    <row r="473" spans="1:9" x14ac:dyDescent="0.25">
      <c r="A473">
        <f t="shared" si="34"/>
        <v>182.625</v>
      </c>
      <c r="B473" t="s">
        <v>19</v>
      </c>
      <c r="C473" t="s">
        <v>11</v>
      </c>
      <c r="D473">
        <v>24</v>
      </c>
      <c r="E473">
        <f t="shared" si="36"/>
        <v>100</v>
      </c>
      <c r="F473" s="22">
        <f>STOWA2015_2050GL_Z!$F21</f>
        <v>1.4055335282887804E-3</v>
      </c>
      <c r="G473" s="22" t="s">
        <v>33</v>
      </c>
      <c r="H473" s="22">
        <f>STOWA2015_2050GL_Z!$F21</f>
        <v>1.4055335282887804E-3</v>
      </c>
      <c r="I473" t="str">
        <f t="shared" si="35"/>
        <v>GL2050;zomer;24;100;1.40553352828878E-03;TRUE;1.40553352828878E-03</v>
      </c>
    </row>
    <row r="474" spans="1:9" x14ac:dyDescent="0.25">
      <c r="A474">
        <f t="shared" si="34"/>
        <v>182.625</v>
      </c>
      <c r="B474" t="s">
        <v>19</v>
      </c>
      <c r="C474" t="s">
        <v>11</v>
      </c>
      <c r="D474">
        <v>24</v>
      </c>
      <c r="E474">
        <f t="shared" si="36"/>
        <v>105</v>
      </c>
      <c r="F474" s="22">
        <f>STOWA2015_2050GL_Z!$F22</f>
        <v>3.2736460396987502E-3</v>
      </c>
      <c r="G474" s="22" t="s">
        <v>33</v>
      </c>
      <c r="H474" s="22">
        <f>STOWA2015_2050GL_Z!$F22</f>
        <v>3.2736460396987502E-3</v>
      </c>
      <c r="I474" t="str">
        <f t="shared" si="35"/>
        <v>GL2050;zomer;24;105;3.27364603969875E-03;TRUE;3.27364603969875E-03</v>
      </c>
    </row>
    <row r="475" spans="1:9" x14ac:dyDescent="0.25">
      <c r="A475">
        <f t="shared" si="34"/>
        <v>91.3125</v>
      </c>
      <c r="B475" t="s">
        <v>19</v>
      </c>
      <c r="C475" t="s">
        <v>11</v>
      </c>
      <c r="D475">
        <v>48</v>
      </c>
      <c r="E475">
        <v>15</v>
      </c>
      <c r="F475" s="22">
        <f>STOWA2015_2050GL_Z!$J4</f>
        <v>168.37300346891578</v>
      </c>
      <c r="G475" s="22" t="s">
        <v>33</v>
      </c>
      <c r="H475" s="22">
        <f>STOWA2015_2050GL_Z!$J4</f>
        <v>168.37300346891578</v>
      </c>
      <c r="I475" t="str">
        <f t="shared" si="35"/>
        <v>GL2050;zomer;48;15;168.373003468916;TRUE;168.373003468916</v>
      </c>
    </row>
    <row r="476" spans="1:9" x14ac:dyDescent="0.25">
      <c r="A476">
        <f t="shared" si="34"/>
        <v>91.3125</v>
      </c>
      <c r="B476" t="s">
        <v>19</v>
      </c>
      <c r="C476" t="s">
        <v>11</v>
      </c>
      <c r="D476">
        <v>48</v>
      </c>
      <c r="E476">
        <f>E475+5</f>
        <v>20</v>
      </c>
      <c r="F476" s="22">
        <f>STOWA2015_2050GL_Z!$J5</f>
        <v>5.723255496557881</v>
      </c>
      <c r="G476" s="22" t="s">
        <v>33</v>
      </c>
      <c r="H476" s="22">
        <f>STOWA2015_2050GL_Z!$J5</f>
        <v>5.723255496557881</v>
      </c>
      <c r="I476" t="str">
        <f t="shared" si="35"/>
        <v>GL2050;zomer;48;20;5.72325549655788;TRUE;5.72325549655788</v>
      </c>
    </row>
    <row r="477" spans="1:9" x14ac:dyDescent="0.25">
      <c r="A477">
        <f t="shared" si="34"/>
        <v>91.3125</v>
      </c>
      <c r="B477" t="s">
        <v>19</v>
      </c>
      <c r="C477" t="s">
        <v>11</v>
      </c>
      <c r="D477">
        <v>48</v>
      </c>
      <c r="E477">
        <f t="shared" ref="E477:E494" si="37">E476+5</f>
        <v>25</v>
      </c>
      <c r="F477" s="22">
        <f>STOWA2015_2050GL_Z!$J6</f>
        <v>3.3511575589560119</v>
      </c>
      <c r="G477" s="22" t="s">
        <v>33</v>
      </c>
      <c r="H477" s="22">
        <f>STOWA2015_2050GL_Z!$J6</f>
        <v>3.3511575589560119</v>
      </c>
      <c r="I477" t="str">
        <f t="shared" si="35"/>
        <v>GL2050;zomer;48;25;3.35115755895601;TRUE;3.35115755895601</v>
      </c>
    </row>
    <row r="478" spans="1:9" x14ac:dyDescent="0.25">
      <c r="A478">
        <f t="shared" si="34"/>
        <v>91.3125</v>
      </c>
      <c r="B478" t="s">
        <v>19</v>
      </c>
      <c r="C478" t="s">
        <v>11</v>
      </c>
      <c r="D478">
        <v>48</v>
      </c>
      <c r="E478">
        <f t="shared" si="37"/>
        <v>30</v>
      </c>
      <c r="F478" s="22">
        <f>STOWA2015_2050GL_Z!$J7</f>
        <v>1.991455147759964</v>
      </c>
      <c r="G478" s="22" t="s">
        <v>33</v>
      </c>
      <c r="H478" s="22">
        <f>STOWA2015_2050GL_Z!$J7</f>
        <v>1.991455147759964</v>
      </c>
      <c r="I478" t="str">
        <f t="shared" si="35"/>
        <v>GL2050;zomer;48;30;1.99145514775996;TRUE;1.99145514775996</v>
      </c>
    </row>
    <row r="479" spans="1:9" x14ac:dyDescent="0.25">
      <c r="A479">
        <f t="shared" si="34"/>
        <v>91.3125</v>
      </c>
      <c r="B479" t="s">
        <v>19</v>
      </c>
      <c r="C479" t="s">
        <v>11</v>
      </c>
      <c r="D479">
        <v>48</v>
      </c>
      <c r="E479">
        <f t="shared" si="37"/>
        <v>35</v>
      </c>
      <c r="F479" s="22">
        <f>STOWA2015_2050GL_Z!$J8</f>
        <v>1.2001188092161936</v>
      </c>
      <c r="G479" s="22" t="s">
        <v>33</v>
      </c>
      <c r="H479" s="22">
        <f>STOWA2015_2050GL_Z!$J8</f>
        <v>1.2001188092161936</v>
      </c>
      <c r="I479" t="str">
        <f t="shared" si="35"/>
        <v>GL2050;zomer;48;35;1.20011880921619;TRUE;1.20011880921619</v>
      </c>
    </row>
    <row r="480" spans="1:9" x14ac:dyDescent="0.25">
      <c r="A480">
        <f t="shared" si="34"/>
        <v>91.3125</v>
      </c>
      <c r="B480" t="s">
        <v>19</v>
      </c>
      <c r="C480" t="s">
        <v>11</v>
      </c>
      <c r="D480">
        <v>48</v>
      </c>
      <c r="E480">
        <f t="shared" si="37"/>
        <v>40</v>
      </c>
      <c r="F480" s="22">
        <f>STOWA2015_2050GL_Z!$J9</f>
        <v>0.73288745730058413</v>
      </c>
      <c r="G480" s="22" t="s">
        <v>33</v>
      </c>
      <c r="H480" s="22">
        <f>STOWA2015_2050GL_Z!$J9</f>
        <v>0.73288745730058413</v>
      </c>
      <c r="I480" t="str">
        <f t="shared" si="35"/>
        <v>GL2050;zomer;48;40;0.732887457300584;TRUE;0.732887457300584</v>
      </c>
    </row>
    <row r="481" spans="1:9" x14ac:dyDescent="0.25">
      <c r="A481">
        <f t="shared" si="34"/>
        <v>91.3125</v>
      </c>
      <c r="B481" t="s">
        <v>19</v>
      </c>
      <c r="C481" t="s">
        <v>11</v>
      </c>
      <c r="D481">
        <v>48</v>
      </c>
      <c r="E481">
        <f t="shared" si="37"/>
        <v>45</v>
      </c>
      <c r="F481" s="22">
        <f>STOWA2015_2050GL_Z!$J10</f>
        <v>0.45322663571764066</v>
      </c>
      <c r="G481" s="22" t="s">
        <v>33</v>
      </c>
      <c r="H481" s="22">
        <f>STOWA2015_2050GL_Z!$J10</f>
        <v>0.45322663571764066</v>
      </c>
      <c r="I481" t="str">
        <f t="shared" si="35"/>
        <v>GL2050;zomer;48;45;0.453226635717641;TRUE;0.453226635717641</v>
      </c>
    </row>
    <row r="482" spans="1:9" x14ac:dyDescent="0.25">
      <c r="A482">
        <f t="shared" si="34"/>
        <v>91.3125</v>
      </c>
      <c r="B482" t="s">
        <v>19</v>
      </c>
      <c r="C482" t="s">
        <v>11</v>
      </c>
      <c r="D482">
        <v>48</v>
      </c>
      <c r="E482">
        <f t="shared" si="37"/>
        <v>50</v>
      </c>
      <c r="F482" s="22">
        <f>STOWA2015_2050GL_Z!$J11</f>
        <v>0.28365236921007642</v>
      </c>
      <c r="G482" s="22" t="s">
        <v>33</v>
      </c>
      <c r="H482" s="22">
        <f>STOWA2015_2050GL_Z!$J11</f>
        <v>0.28365236921007642</v>
      </c>
      <c r="I482" t="str">
        <f t="shared" si="35"/>
        <v>GL2050;zomer;48;50;0.283652369210076;TRUE;0.283652369210076</v>
      </c>
    </row>
    <row r="483" spans="1:9" x14ac:dyDescent="0.25">
      <c r="A483">
        <f t="shared" si="34"/>
        <v>91.3125</v>
      </c>
      <c r="B483" t="s">
        <v>19</v>
      </c>
      <c r="C483" t="s">
        <v>11</v>
      </c>
      <c r="D483">
        <v>48</v>
      </c>
      <c r="E483">
        <f t="shared" si="37"/>
        <v>55</v>
      </c>
      <c r="F483" s="22">
        <f>STOWA2015_2050GL_Z!$J12</f>
        <v>0.17955516077308348</v>
      </c>
      <c r="G483" s="22" t="s">
        <v>33</v>
      </c>
      <c r="H483" s="22">
        <f>STOWA2015_2050GL_Z!$J12</f>
        <v>0.17955516077308348</v>
      </c>
      <c r="I483" t="str">
        <f t="shared" si="35"/>
        <v>GL2050;zomer;48;55;0.179555160773083;TRUE;0.179555160773083</v>
      </c>
    </row>
    <row r="484" spans="1:9" x14ac:dyDescent="0.25">
      <c r="A484">
        <f t="shared" si="34"/>
        <v>91.3125</v>
      </c>
      <c r="B484" t="s">
        <v>19</v>
      </c>
      <c r="C484" t="s">
        <v>11</v>
      </c>
      <c r="D484">
        <v>48</v>
      </c>
      <c r="E484">
        <f t="shared" si="37"/>
        <v>60</v>
      </c>
      <c r="F484" s="22">
        <f>STOWA2015_2050GL_Z!$J13</f>
        <v>0.11489879257349145</v>
      </c>
      <c r="G484" s="22" t="s">
        <v>33</v>
      </c>
      <c r="H484" s="22">
        <f>STOWA2015_2050GL_Z!$J13</f>
        <v>0.11489879257349145</v>
      </c>
      <c r="I484" t="str">
        <f t="shared" si="35"/>
        <v>GL2050;zomer;48;60;0.114898792573491;TRUE;0.114898792573491</v>
      </c>
    </row>
    <row r="485" spans="1:9" x14ac:dyDescent="0.25">
      <c r="A485">
        <f t="shared" si="34"/>
        <v>91.3125</v>
      </c>
      <c r="B485" t="s">
        <v>19</v>
      </c>
      <c r="C485" t="s">
        <v>11</v>
      </c>
      <c r="D485">
        <v>48</v>
      </c>
      <c r="E485">
        <f t="shared" si="37"/>
        <v>65</v>
      </c>
      <c r="F485" s="22">
        <f>STOWA2015_2050GL_Z!$J14</f>
        <v>7.4288407982597976E-2</v>
      </c>
      <c r="G485" s="22" t="s">
        <v>33</v>
      </c>
      <c r="H485" s="22">
        <f>STOWA2015_2050GL_Z!$J14</f>
        <v>7.4288407982597976E-2</v>
      </c>
      <c r="I485" t="str">
        <f t="shared" si="35"/>
        <v>GL2050;zomer;48;65;0.074288407982598;TRUE;0.074288407982598</v>
      </c>
    </row>
    <row r="486" spans="1:9" x14ac:dyDescent="0.25">
      <c r="A486">
        <f t="shared" si="34"/>
        <v>91.3125</v>
      </c>
      <c r="B486" t="s">
        <v>19</v>
      </c>
      <c r="C486" t="s">
        <v>11</v>
      </c>
      <c r="D486">
        <v>48</v>
      </c>
      <c r="E486">
        <f t="shared" si="37"/>
        <v>70</v>
      </c>
      <c r="F486" s="22">
        <f>STOWA2015_2050GL_Z!$J15</f>
        <v>4.8507779856246144E-2</v>
      </c>
      <c r="G486" s="22" t="s">
        <v>33</v>
      </c>
      <c r="H486" s="22">
        <f>STOWA2015_2050GL_Z!$J15</f>
        <v>4.8507779856246144E-2</v>
      </c>
      <c r="I486" t="str">
        <f t="shared" si="35"/>
        <v>GL2050;zomer;48;70;4.85077798562461E-02;TRUE;4.85077798562461E-02</v>
      </c>
    </row>
    <row r="487" spans="1:9" x14ac:dyDescent="0.25">
      <c r="A487">
        <f t="shared" si="34"/>
        <v>91.3125</v>
      </c>
      <c r="B487" t="s">
        <v>19</v>
      </c>
      <c r="C487" t="s">
        <v>11</v>
      </c>
      <c r="D487">
        <v>48</v>
      </c>
      <c r="E487">
        <f t="shared" si="37"/>
        <v>75</v>
      </c>
      <c r="F487" s="22">
        <f>STOWA2015_2050GL_Z!$J16</f>
        <v>3.1973984745131953E-2</v>
      </c>
      <c r="G487" s="22" t="s">
        <v>33</v>
      </c>
      <c r="H487" s="22">
        <f>STOWA2015_2050GL_Z!$J16</f>
        <v>3.1973984745131953E-2</v>
      </c>
      <c r="I487" t="str">
        <f t="shared" si="35"/>
        <v>GL2050;zomer;48;75;0.031973984745132;TRUE;0.031973984745132</v>
      </c>
    </row>
    <row r="488" spans="1:9" x14ac:dyDescent="0.25">
      <c r="A488">
        <f t="shared" si="34"/>
        <v>91.3125</v>
      </c>
      <c r="B488" t="s">
        <v>19</v>
      </c>
      <c r="C488" t="s">
        <v>11</v>
      </c>
      <c r="D488">
        <v>48</v>
      </c>
      <c r="E488">
        <f t="shared" si="37"/>
        <v>80</v>
      </c>
      <c r="F488" s="22">
        <f>STOWA2015_2050GL_Z!$J17</f>
        <v>2.1266682479352733E-2</v>
      </c>
      <c r="G488" s="22" t="s">
        <v>33</v>
      </c>
      <c r="H488" s="22">
        <f>STOWA2015_2050GL_Z!$J17</f>
        <v>2.1266682479352733E-2</v>
      </c>
      <c r="I488" t="str">
        <f t="shared" si="35"/>
        <v>GL2050;zomer;48;80;2.12666824793527E-02;TRUE;2.12666824793527E-02</v>
      </c>
    </row>
    <row r="489" spans="1:9" x14ac:dyDescent="0.25">
      <c r="A489">
        <f t="shared" si="34"/>
        <v>91.3125</v>
      </c>
      <c r="B489" t="s">
        <v>19</v>
      </c>
      <c r="C489" t="s">
        <v>11</v>
      </c>
      <c r="D489">
        <v>48</v>
      </c>
      <c r="E489">
        <f t="shared" si="37"/>
        <v>85</v>
      </c>
      <c r="F489" s="22">
        <f>STOWA2015_2050GL_Z!$J18</f>
        <v>1.4267708880634229E-2</v>
      </c>
      <c r="G489" s="22" t="s">
        <v>33</v>
      </c>
      <c r="H489" s="22">
        <f>STOWA2015_2050GL_Z!$J18</f>
        <v>1.4267708880634229E-2</v>
      </c>
      <c r="I489" t="str">
        <f t="shared" si="35"/>
        <v>GL2050;zomer;48;85;1.42677088806342E-02;TRUE;1.42677088806342E-02</v>
      </c>
    </row>
    <row r="490" spans="1:9" x14ac:dyDescent="0.25">
      <c r="A490">
        <f t="shared" si="34"/>
        <v>91.3125</v>
      </c>
      <c r="B490" t="s">
        <v>19</v>
      </c>
      <c r="C490" t="s">
        <v>11</v>
      </c>
      <c r="D490">
        <v>48</v>
      </c>
      <c r="E490">
        <f t="shared" si="37"/>
        <v>90</v>
      </c>
      <c r="F490" s="22">
        <f>STOWA2015_2050GL_Z!$J19</f>
        <v>9.6517148932377533E-3</v>
      </c>
      <c r="G490" s="22" t="s">
        <v>33</v>
      </c>
      <c r="H490" s="22">
        <f>STOWA2015_2050GL_Z!$J19</f>
        <v>9.6517148932377533E-3</v>
      </c>
      <c r="I490" t="str">
        <f t="shared" si="35"/>
        <v>GL2050;zomer;48;90;9.65171489323775E-03;TRUE;9.65171489323775E-03</v>
      </c>
    </row>
    <row r="491" spans="1:9" x14ac:dyDescent="0.25">
      <c r="A491">
        <f t="shared" si="34"/>
        <v>91.3125</v>
      </c>
      <c r="B491" t="s">
        <v>19</v>
      </c>
      <c r="C491" t="s">
        <v>11</v>
      </c>
      <c r="D491">
        <v>48</v>
      </c>
      <c r="E491">
        <f t="shared" si="37"/>
        <v>95</v>
      </c>
      <c r="F491" s="22">
        <f>STOWA2015_2050GL_Z!$J20</f>
        <v>6.5811870695156576E-3</v>
      </c>
      <c r="G491" s="22" t="s">
        <v>33</v>
      </c>
      <c r="H491" s="22">
        <f>STOWA2015_2050GL_Z!$J20</f>
        <v>6.5811870695156576E-3</v>
      </c>
      <c r="I491" t="str">
        <f t="shared" si="35"/>
        <v>GL2050;zomer;48;95;6.58118706951566E-03;TRUE;6.58118706951566E-03</v>
      </c>
    </row>
    <row r="492" spans="1:9" x14ac:dyDescent="0.25">
      <c r="A492">
        <f t="shared" si="34"/>
        <v>91.3125</v>
      </c>
      <c r="B492" t="s">
        <v>19</v>
      </c>
      <c r="C492" t="s">
        <v>11</v>
      </c>
      <c r="D492">
        <v>48</v>
      </c>
      <c r="E492">
        <f t="shared" si="37"/>
        <v>100</v>
      </c>
      <c r="F492" s="22">
        <f>STOWA2015_2050GL_Z!$J21</f>
        <v>4.5218483821676571E-3</v>
      </c>
      <c r="G492" s="22" t="s">
        <v>33</v>
      </c>
      <c r="H492" s="22">
        <f>STOWA2015_2050GL_Z!$J21</f>
        <v>4.5218483821676571E-3</v>
      </c>
      <c r="I492" t="str">
        <f t="shared" si="35"/>
        <v>GL2050;zomer;48;100;4.52184838216766E-03;TRUE;4.52184838216766E-03</v>
      </c>
    </row>
    <row r="493" spans="1:9" x14ac:dyDescent="0.25">
      <c r="A493">
        <f t="shared" si="34"/>
        <v>91.3125</v>
      </c>
      <c r="B493" t="s">
        <v>19</v>
      </c>
      <c r="C493" t="s">
        <v>11</v>
      </c>
      <c r="D493">
        <v>48</v>
      </c>
      <c r="E493">
        <f t="shared" si="37"/>
        <v>105</v>
      </c>
      <c r="F493" s="22">
        <f>STOWA2015_2050GL_Z!$J22</f>
        <v>3.1297549518430508E-3</v>
      </c>
      <c r="G493" s="22" t="s">
        <v>33</v>
      </c>
      <c r="H493" s="22">
        <f>STOWA2015_2050GL_Z!$J22</f>
        <v>3.1297549518430508E-3</v>
      </c>
      <c r="I493" t="str">
        <f t="shared" si="35"/>
        <v>GL2050;zomer;48;105;3.12975495184305E-03;TRUE;3.12975495184305E-03</v>
      </c>
    </row>
    <row r="494" spans="1:9" x14ac:dyDescent="0.25">
      <c r="A494">
        <f t="shared" si="34"/>
        <v>91.3125</v>
      </c>
      <c r="B494" t="s">
        <v>19</v>
      </c>
      <c r="C494" t="s">
        <v>11</v>
      </c>
      <c r="D494">
        <v>48</v>
      </c>
      <c r="E494">
        <f t="shared" si="37"/>
        <v>110</v>
      </c>
      <c r="F494" s="22">
        <f>STOWA2015_2050GL_Z!$J23</f>
        <v>7.600033778575337E-3</v>
      </c>
      <c r="G494" s="22" t="s">
        <v>33</v>
      </c>
      <c r="H494" s="22">
        <f>STOWA2015_2050GL_Z!$J23</f>
        <v>7.600033778575337E-3</v>
      </c>
      <c r="I494" t="str">
        <f t="shared" si="35"/>
        <v>GL2050;zomer;48;110;7.60003377857534E-03;TRUE;7.60003377857534E-03</v>
      </c>
    </row>
    <row r="495" spans="1:9" x14ac:dyDescent="0.25">
      <c r="A495">
        <f t="shared" si="34"/>
        <v>45.65625</v>
      </c>
      <c r="B495" t="s">
        <v>19</v>
      </c>
      <c r="C495" t="s">
        <v>11</v>
      </c>
      <c r="D495">
        <v>96</v>
      </c>
      <c r="E495">
        <v>20</v>
      </c>
      <c r="F495" s="22">
        <f>STOWA2015_2050GL_Z!$N5</f>
        <v>78.369439852862357</v>
      </c>
      <c r="G495" s="22" t="s">
        <v>33</v>
      </c>
      <c r="H495" s="22">
        <f>STOWA2015_2050GL_Z!$N5</f>
        <v>78.369439852862357</v>
      </c>
      <c r="I495" t="str">
        <f t="shared" si="35"/>
        <v>GL2050;zomer;96;20;78.3694398528624;TRUE;78.3694398528624</v>
      </c>
    </row>
    <row r="496" spans="1:9" x14ac:dyDescent="0.25">
      <c r="A496">
        <f t="shared" si="34"/>
        <v>45.65625</v>
      </c>
      <c r="B496" t="s">
        <v>19</v>
      </c>
      <c r="C496" t="s">
        <v>11</v>
      </c>
      <c r="D496">
        <v>96</v>
      </c>
      <c r="E496">
        <f>E495+5</f>
        <v>25</v>
      </c>
      <c r="F496" s="22">
        <f>STOWA2015_2050GL_Z!$N6</f>
        <v>4.0439151403619675</v>
      </c>
      <c r="G496" s="22" t="s">
        <v>33</v>
      </c>
      <c r="H496" s="22">
        <f>STOWA2015_2050GL_Z!$N6</f>
        <v>4.0439151403619675</v>
      </c>
      <c r="I496" t="str">
        <f t="shared" si="35"/>
        <v>GL2050;zomer;96;25;4.04391514036197;TRUE;4.04391514036197</v>
      </c>
    </row>
    <row r="497" spans="1:9" x14ac:dyDescent="0.25">
      <c r="A497">
        <f t="shared" si="34"/>
        <v>45.65625</v>
      </c>
      <c r="B497" t="s">
        <v>19</v>
      </c>
      <c r="C497" t="s">
        <v>11</v>
      </c>
      <c r="D497">
        <v>96</v>
      </c>
      <c r="E497">
        <f t="shared" ref="E497:E515" si="38">E496+5</f>
        <v>30</v>
      </c>
      <c r="F497" s="22">
        <f>STOWA2015_2050GL_Z!$N7</f>
        <v>2.7616745898736816</v>
      </c>
      <c r="G497" s="22" t="s">
        <v>33</v>
      </c>
      <c r="H497" s="22">
        <f>STOWA2015_2050GL_Z!$N7</f>
        <v>2.7616745898736816</v>
      </c>
      <c r="I497" t="str">
        <f t="shared" si="35"/>
        <v>GL2050;zomer;96;30;2.76167458987368;TRUE;2.76167458987368</v>
      </c>
    </row>
    <row r="498" spans="1:9" x14ac:dyDescent="0.25">
      <c r="A498">
        <f t="shared" si="34"/>
        <v>45.65625</v>
      </c>
      <c r="B498" t="s">
        <v>19</v>
      </c>
      <c r="C498" t="s">
        <v>11</v>
      </c>
      <c r="D498">
        <v>96</v>
      </c>
      <c r="E498">
        <f t="shared" si="38"/>
        <v>35</v>
      </c>
      <c r="F498" s="22">
        <f>STOWA2015_2050GL_Z!$N8</f>
        <v>1.8918731905965203</v>
      </c>
      <c r="G498" s="22" t="s">
        <v>33</v>
      </c>
      <c r="H498" s="22">
        <f>STOWA2015_2050GL_Z!$N8</f>
        <v>1.8918731905965203</v>
      </c>
      <c r="I498" t="str">
        <f t="shared" si="35"/>
        <v>GL2050;zomer;96;35;1.89187319059652;TRUE;1.89187319059652</v>
      </c>
    </row>
    <row r="499" spans="1:9" x14ac:dyDescent="0.25">
      <c r="A499">
        <f t="shared" si="34"/>
        <v>45.65625</v>
      </c>
      <c r="B499" t="s">
        <v>19</v>
      </c>
      <c r="C499" t="s">
        <v>11</v>
      </c>
      <c r="D499">
        <v>96</v>
      </c>
      <c r="E499">
        <f t="shared" si="38"/>
        <v>40</v>
      </c>
      <c r="F499" s="22">
        <f>STOWA2015_2050GL_Z!$N9</f>
        <v>1.2999863322335745</v>
      </c>
      <c r="G499" s="22" t="s">
        <v>33</v>
      </c>
      <c r="H499" s="22">
        <f>STOWA2015_2050GL_Z!$N9</f>
        <v>1.2999863322335745</v>
      </c>
      <c r="I499" t="str">
        <f t="shared" si="35"/>
        <v>GL2050;zomer;96;40;1.29998633223357;TRUE;1.29998633223357</v>
      </c>
    </row>
    <row r="500" spans="1:9" x14ac:dyDescent="0.25">
      <c r="A500">
        <f t="shared" si="34"/>
        <v>45.65625</v>
      </c>
      <c r="B500" t="s">
        <v>19</v>
      </c>
      <c r="C500" t="s">
        <v>11</v>
      </c>
      <c r="D500">
        <v>96</v>
      </c>
      <c r="E500">
        <f t="shared" si="38"/>
        <v>45</v>
      </c>
      <c r="F500" s="22">
        <f>STOWA2015_2050GL_Z!$N10</f>
        <v>0.89596596908906934</v>
      </c>
      <c r="G500" s="22" t="s">
        <v>33</v>
      </c>
      <c r="H500" s="22">
        <f>STOWA2015_2050GL_Z!$N10</f>
        <v>0.89596596908906934</v>
      </c>
      <c r="I500" t="str">
        <f t="shared" si="35"/>
        <v>GL2050;zomer;96;45;0.895965969089069;TRUE;0.895965969089069</v>
      </c>
    </row>
    <row r="501" spans="1:9" x14ac:dyDescent="0.25">
      <c r="A501">
        <f t="shared" si="34"/>
        <v>45.65625</v>
      </c>
      <c r="B501" t="s">
        <v>19</v>
      </c>
      <c r="C501" t="s">
        <v>11</v>
      </c>
      <c r="D501">
        <v>96</v>
      </c>
      <c r="E501">
        <f t="shared" si="38"/>
        <v>50</v>
      </c>
      <c r="F501" s="22">
        <f>STOWA2015_2050GL_Z!$N11</f>
        <v>0.61934043638830882</v>
      </c>
      <c r="G501" s="22" t="s">
        <v>33</v>
      </c>
      <c r="H501" s="22">
        <f>STOWA2015_2050GL_Z!$N11</f>
        <v>0.61934043638830882</v>
      </c>
      <c r="I501" t="str">
        <f t="shared" si="35"/>
        <v>GL2050;zomer;96;50;0.619340436388309;TRUE;0.619340436388309</v>
      </c>
    </row>
    <row r="502" spans="1:9" x14ac:dyDescent="0.25">
      <c r="A502">
        <f t="shared" si="34"/>
        <v>45.65625</v>
      </c>
      <c r="B502" t="s">
        <v>19</v>
      </c>
      <c r="C502" t="s">
        <v>11</v>
      </c>
      <c r="D502">
        <v>96</v>
      </c>
      <c r="E502">
        <f t="shared" si="38"/>
        <v>55</v>
      </c>
      <c r="F502" s="22">
        <f>STOWA2015_2050GL_Z!$N12</f>
        <v>0.42937056673628637</v>
      </c>
      <c r="G502" s="22" t="s">
        <v>33</v>
      </c>
      <c r="H502" s="22">
        <f>STOWA2015_2050GL_Z!$N12</f>
        <v>0.42937056673628637</v>
      </c>
      <c r="I502" t="str">
        <f t="shared" si="35"/>
        <v>GL2050;zomer;96;55;0.429370566736286;TRUE;0.429370566736286</v>
      </c>
    </row>
    <row r="503" spans="1:9" x14ac:dyDescent="0.25">
      <c r="A503">
        <f t="shared" si="34"/>
        <v>45.65625</v>
      </c>
      <c r="B503" t="s">
        <v>19</v>
      </c>
      <c r="C503" t="s">
        <v>11</v>
      </c>
      <c r="D503">
        <v>96</v>
      </c>
      <c r="E503">
        <f t="shared" si="38"/>
        <v>60</v>
      </c>
      <c r="F503" s="22">
        <f>STOWA2015_2050GL_Z!$N13</f>
        <v>0.29852466146604983</v>
      </c>
      <c r="G503" s="22" t="s">
        <v>33</v>
      </c>
      <c r="H503" s="22">
        <f>STOWA2015_2050GL_Z!$N13</f>
        <v>0.29852466146604983</v>
      </c>
      <c r="I503" t="str">
        <f t="shared" si="35"/>
        <v>GL2050;zomer;96;60;0.29852466146605;TRUE;0.29852466146605</v>
      </c>
    </row>
    <row r="504" spans="1:9" x14ac:dyDescent="0.25">
      <c r="A504">
        <f t="shared" si="34"/>
        <v>45.65625</v>
      </c>
      <c r="B504" t="s">
        <v>19</v>
      </c>
      <c r="C504" t="s">
        <v>11</v>
      </c>
      <c r="D504">
        <v>96</v>
      </c>
      <c r="E504">
        <f t="shared" si="38"/>
        <v>65</v>
      </c>
      <c r="F504" s="22">
        <f>STOWA2015_2050GL_Z!$N14</f>
        <v>0.20813922174357569</v>
      </c>
      <c r="G504" s="22" t="s">
        <v>33</v>
      </c>
      <c r="H504" s="22">
        <f>STOWA2015_2050GL_Z!$N14</f>
        <v>0.20813922174357569</v>
      </c>
      <c r="I504" t="str">
        <f t="shared" si="35"/>
        <v>GL2050;zomer;96;65;0.208139221743576;TRUE;0.208139221743576</v>
      </c>
    </row>
    <row r="505" spans="1:9" x14ac:dyDescent="0.25">
      <c r="A505">
        <f t="shared" si="34"/>
        <v>45.65625</v>
      </c>
      <c r="B505" t="s">
        <v>19</v>
      </c>
      <c r="C505" t="s">
        <v>11</v>
      </c>
      <c r="D505">
        <v>96</v>
      </c>
      <c r="E505">
        <f t="shared" si="38"/>
        <v>70</v>
      </c>
      <c r="F505" s="22">
        <f>STOWA2015_2050GL_Z!$N15</f>
        <v>0.14552396231946169</v>
      </c>
      <c r="G505" s="22" t="s">
        <v>33</v>
      </c>
      <c r="H505" s="22">
        <f>STOWA2015_2050GL_Z!$N15</f>
        <v>0.14552396231946169</v>
      </c>
      <c r="I505" t="str">
        <f t="shared" si="35"/>
        <v>GL2050;zomer;96;70;0.145523962319462;TRUE;0.145523962319462</v>
      </c>
    </row>
    <row r="506" spans="1:9" x14ac:dyDescent="0.25">
      <c r="A506">
        <f t="shared" si="34"/>
        <v>45.65625</v>
      </c>
      <c r="B506" t="s">
        <v>19</v>
      </c>
      <c r="C506" t="s">
        <v>11</v>
      </c>
      <c r="D506">
        <v>96</v>
      </c>
      <c r="E506">
        <f t="shared" si="38"/>
        <v>75</v>
      </c>
      <c r="F506" s="22">
        <f>STOWA2015_2050GL_Z!$N16</f>
        <v>0.10202427279912091</v>
      </c>
      <c r="G506" s="22" t="s">
        <v>33</v>
      </c>
      <c r="H506" s="22">
        <f>STOWA2015_2050GL_Z!$N16</f>
        <v>0.10202427279912091</v>
      </c>
      <c r="I506" t="str">
        <f t="shared" si="35"/>
        <v>GL2050;zomer;96;75;0.102024272799121;TRUE;0.102024272799121</v>
      </c>
    </row>
    <row r="507" spans="1:9" x14ac:dyDescent="0.25">
      <c r="A507">
        <f t="shared" si="34"/>
        <v>45.65625</v>
      </c>
      <c r="B507" t="s">
        <v>19</v>
      </c>
      <c r="C507" t="s">
        <v>11</v>
      </c>
      <c r="D507">
        <v>96</v>
      </c>
      <c r="E507">
        <f t="shared" si="38"/>
        <v>80</v>
      </c>
      <c r="F507" s="22">
        <f>STOWA2015_2050GL_Z!$N17</f>
        <v>7.1720428572095207E-2</v>
      </c>
      <c r="G507" s="22" t="s">
        <v>33</v>
      </c>
      <c r="H507" s="22">
        <f>STOWA2015_2050GL_Z!$N17</f>
        <v>7.1720428572095207E-2</v>
      </c>
      <c r="I507" t="str">
        <f t="shared" si="35"/>
        <v>GL2050;zomer;96;80;7.17204285720952E-02;TRUE;7.17204285720952E-02</v>
      </c>
    </row>
    <row r="508" spans="1:9" x14ac:dyDescent="0.25">
      <c r="A508">
        <f t="shared" si="34"/>
        <v>45.65625</v>
      </c>
      <c r="B508" t="s">
        <v>19</v>
      </c>
      <c r="C508" t="s">
        <v>11</v>
      </c>
      <c r="D508">
        <v>96</v>
      </c>
      <c r="E508">
        <f t="shared" si="38"/>
        <v>85</v>
      </c>
      <c r="F508" s="22">
        <f>STOWA2015_2050GL_Z!$N18</f>
        <v>5.0551608949629345E-2</v>
      </c>
      <c r="G508" s="22" t="s">
        <v>33</v>
      </c>
      <c r="H508" s="22">
        <f>STOWA2015_2050GL_Z!$N18</f>
        <v>5.0551608949629345E-2</v>
      </c>
      <c r="I508" t="str">
        <f t="shared" si="35"/>
        <v>GL2050;zomer;96;85;5.05516089496293E-02;TRUE;5.05516089496293E-02</v>
      </c>
    </row>
    <row r="509" spans="1:9" x14ac:dyDescent="0.25">
      <c r="A509">
        <f t="shared" si="34"/>
        <v>45.65625</v>
      </c>
      <c r="B509" t="s">
        <v>19</v>
      </c>
      <c r="C509" t="s">
        <v>11</v>
      </c>
      <c r="D509">
        <v>96</v>
      </c>
      <c r="E509">
        <f t="shared" si="38"/>
        <v>90</v>
      </c>
      <c r="F509" s="22">
        <f>STOWA2015_2050GL_Z!$N19</f>
        <v>3.5724206490693966E-2</v>
      </c>
      <c r="G509" s="22" t="s">
        <v>33</v>
      </c>
      <c r="H509" s="22">
        <f>STOWA2015_2050GL_Z!$N19</f>
        <v>3.5724206490693966E-2</v>
      </c>
      <c r="I509" t="str">
        <f t="shared" si="35"/>
        <v>GL2050;zomer;96;90;0.035724206490694;TRUE;0.035724206490694</v>
      </c>
    </row>
    <row r="510" spans="1:9" x14ac:dyDescent="0.25">
      <c r="A510">
        <f t="shared" si="34"/>
        <v>45.65625</v>
      </c>
      <c r="B510" t="s">
        <v>19</v>
      </c>
      <c r="C510" t="s">
        <v>11</v>
      </c>
      <c r="D510">
        <v>96</v>
      </c>
      <c r="E510">
        <f t="shared" si="38"/>
        <v>95</v>
      </c>
      <c r="F510" s="22">
        <f>STOWA2015_2050GL_Z!$N20</f>
        <v>2.5310973389409269E-2</v>
      </c>
      <c r="G510" s="22" t="s">
        <v>33</v>
      </c>
      <c r="H510" s="22">
        <f>STOWA2015_2050GL_Z!$N20</f>
        <v>2.5310973389409269E-2</v>
      </c>
      <c r="I510" t="str">
        <f t="shared" si="35"/>
        <v>GL2050;zomer;96;95;2.53109733894093E-02;TRUE;2.53109733894093E-02</v>
      </c>
    </row>
    <row r="511" spans="1:9" x14ac:dyDescent="0.25">
      <c r="A511">
        <f t="shared" si="34"/>
        <v>45.65625</v>
      </c>
      <c r="B511" t="s">
        <v>19</v>
      </c>
      <c r="C511" t="s">
        <v>11</v>
      </c>
      <c r="D511">
        <v>96</v>
      </c>
      <c r="E511">
        <f t="shared" si="38"/>
        <v>100</v>
      </c>
      <c r="F511" s="22">
        <f>STOWA2015_2050GL_Z!$N21</f>
        <v>1.79786579853949E-2</v>
      </c>
      <c r="G511" s="22" t="s">
        <v>33</v>
      </c>
      <c r="H511" s="22">
        <f>STOWA2015_2050GL_Z!$N21</f>
        <v>1.79786579853949E-2</v>
      </c>
      <c r="I511" t="str">
        <f t="shared" si="35"/>
        <v>GL2050;zomer;96;100;1.79786579853949E-02;TRUE;1.79786579853949E-02</v>
      </c>
    </row>
    <row r="512" spans="1:9" x14ac:dyDescent="0.25">
      <c r="A512">
        <f t="shared" si="34"/>
        <v>45.65625</v>
      </c>
      <c r="B512" t="s">
        <v>19</v>
      </c>
      <c r="C512" t="s">
        <v>11</v>
      </c>
      <c r="D512">
        <v>96</v>
      </c>
      <c r="E512">
        <f t="shared" si="38"/>
        <v>105</v>
      </c>
      <c r="F512" s="22">
        <f>STOWA2015_2050GL_Z!$N22</f>
        <v>1.2802410320974358E-2</v>
      </c>
      <c r="G512" s="22" t="s">
        <v>33</v>
      </c>
      <c r="H512" s="22">
        <f>STOWA2015_2050GL_Z!$N22</f>
        <v>1.2802410320974358E-2</v>
      </c>
      <c r="I512" t="str">
        <f t="shared" si="35"/>
        <v>GL2050;zomer;96;105;1.28024103209744E-02;TRUE;1.28024103209744E-02</v>
      </c>
    </row>
    <row r="513" spans="1:9" x14ac:dyDescent="0.25">
      <c r="A513">
        <f t="shared" si="34"/>
        <v>45.65625</v>
      </c>
      <c r="B513" t="s">
        <v>19</v>
      </c>
      <c r="C513" t="s">
        <v>11</v>
      </c>
      <c r="D513">
        <v>96</v>
      </c>
      <c r="E513">
        <f t="shared" si="38"/>
        <v>110</v>
      </c>
      <c r="F513" s="22">
        <f>STOWA2015_2050GL_Z!$N23</f>
        <v>9.1389540546578628E-3</v>
      </c>
      <c r="G513" s="22" t="s">
        <v>33</v>
      </c>
      <c r="H513" s="22">
        <f>STOWA2015_2050GL_Z!$N23</f>
        <v>9.1389540546578628E-3</v>
      </c>
      <c r="I513" t="str">
        <f t="shared" si="35"/>
        <v>GL2050;zomer;96;110;9.13895405465786E-03;TRUE;9.13895405465786E-03</v>
      </c>
    </row>
    <row r="514" spans="1:9" x14ac:dyDescent="0.25">
      <c r="A514">
        <f t="shared" ref="A514:A577" si="39">IF(C514="zomer",24/D514*365.25 * 6/12,24/D514*365.25 * 6/12)</f>
        <v>45.65625</v>
      </c>
      <c r="B514" t="s">
        <v>19</v>
      </c>
      <c r="C514" t="s">
        <v>11</v>
      </c>
      <c r="D514">
        <v>96</v>
      </c>
      <c r="E514">
        <f t="shared" si="38"/>
        <v>115</v>
      </c>
      <c r="F514" s="22">
        <f>STOWA2015_2050GL_Z!$N24</f>
        <v>6.539673985328804E-3</v>
      </c>
      <c r="G514" s="22" t="s">
        <v>33</v>
      </c>
      <c r="H514" s="22">
        <f>STOWA2015_2050GL_Z!$N24</f>
        <v>6.539673985328804E-3</v>
      </c>
      <c r="I514" t="str">
        <f t="shared" ref="I514:I577" si="40">CONCATENATEWITHDELIMITER(B514:H514,";")</f>
        <v>GL2050;zomer;96;115;6.5396739853288E-03;TRUE;6.5396739853288E-03</v>
      </c>
    </row>
    <row r="515" spans="1:9" x14ac:dyDescent="0.25">
      <c r="A515">
        <f t="shared" si="39"/>
        <v>45.65625</v>
      </c>
      <c r="B515" t="s">
        <v>19</v>
      </c>
      <c r="C515" t="s">
        <v>11</v>
      </c>
      <c r="D515">
        <v>96</v>
      </c>
      <c r="E515">
        <f t="shared" si="38"/>
        <v>120</v>
      </c>
      <c r="F515" s="22">
        <f>STOWA2015_2050GL_Z!$N25</f>
        <v>1.6954889781841329E-2</v>
      </c>
      <c r="G515" s="22" t="s">
        <v>33</v>
      </c>
      <c r="H515" s="22">
        <f>STOWA2015_2050GL_Z!$N25</f>
        <v>1.6954889781841329E-2</v>
      </c>
      <c r="I515" t="str">
        <f t="shared" si="40"/>
        <v>GL2050;zomer;96;120;1.69548897818413E-02;TRUE;1.69548897818413E-02</v>
      </c>
    </row>
    <row r="516" spans="1:9" x14ac:dyDescent="0.25">
      <c r="A516">
        <f t="shared" si="39"/>
        <v>22.828125</v>
      </c>
      <c r="B516" t="s">
        <v>19</v>
      </c>
      <c r="C516" t="s">
        <v>11</v>
      </c>
      <c r="D516">
        <v>192</v>
      </c>
      <c r="E516">
        <v>20</v>
      </c>
      <c r="F516" s="22">
        <f>STOWA2015_2050GL_Z!$R5</f>
        <v>31.37911013381574</v>
      </c>
      <c r="G516" s="22" t="s">
        <v>33</v>
      </c>
      <c r="H516" s="22">
        <f>STOWA2015_2050GL_Z!$R5</f>
        <v>31.37911013381574</v>
      </c>
      <c r="I516" t="str">
        <f t="shared" si="40"/>
        <v>GL2050;zomer;192;20;31.3791101338157;TRUE;31.3791101338157</v>
      </c>
    </row>
    <row r="517" spans="1:9" x14ac:dyDescent="0.25">
      <c r="A517">
        <f t="shared" si="39"/>
        <v>22.828125</v>
      </c>
      <c r="B517" t="s">
        <v>19</v>
      </c>
      <c r="C517" t="s">
        <v>11</v>
      </c>
      <c r="D517">
        <v>192</v>
      </c>
      <c r="E517">
        <f>E516+5</f>
        <v>25</v>
      </c>
      <c r="F517" s="22">
        <f>STOWA2015_2050GL_Z!$R6</f>
        <v>2.9855806585084572</v>
      </c>
      <c r="G517" s="22" t="s">
        <v>33</v>
      </c>
      <c r="H517" s="22">
        <f>STOWA2015_2050GL_Z!$R6</f>
        <v>2.9855806585084572</v>
      </c>
      <c r="I517" t="str">
        <f t="shared" si="40"/>
        <v>GL2050;zomer;192;25;2.98558065850846;TRUE;2.98558065850846</v>
      </c>
    </row>
    <row r="518" spans="1:9" x14ac:dyDescent="0.25">
      <c r="A518">
        <f t="shared" si="39"/>
        <v>22.828125</v>
      </c>
      <c r="B518" t="s">
        <v>19</v>
      </c>
      <c r="C518" t="s">
        <v>11</v>
      </c>
      <c r="D518">
        <v>192</v>
      </c>
      <c r="E518">
        <f t="shared" ref="E518:E542" si="41">E517+5</f>
        <v>30</v>
      </c>
      <c r="F518" s="22">
        <f>STOWA2015_2050GL_Z!$R7</f>
        <v>2.3840749184972641</v>
      </c>
      <c r="G518" s="22" t="s">
        <v>33</v>
      </c>
      <c r="H518" s="22">
        <f>STOWA2015_2050GL_Z!$R7</f>
        <v>2.3840749184972641</v>
      </c>
      <c r="I518" t="str">
        <f t="shared" si="40"/>
        <v>GL2050;zomer;192;30;2.38407491849726;TRUE;2.38407491849726</v>
      </c>
    </row>
    <row r="519" spans="1:9" x14ac:dyDescent="0.25">
      <c r="A519">
        <f t="shared" si="39"/>
        <v>22.828125</v>
      </c>
      <c r="B519" t="s">
        <v>19</v>
      </c>
      <c r="C519" t="s">
        <v>11</v>
      </c>
      <c r="D519">
        <v>192</v>
      </c>
      <c r="E519">
        <f t="shared" si="41"/>
        <v>35</v>
      </c>
      <c r="F519" s="22">
        <f>STOWA2015_2050GL_Z!$R8</f>
        <v>1.8990639741359745</v>
      </c>
      <c r="G519" s="22" t="s">
        <v>33</v>
      </c>
      <c r="H519" s="22">
        <f>STOWA2015_2050GL_Z!$R8</f>
        <v>1.8990639741359745</v>
      </c>
      <c r="I519" t="str">
        <f t="shared" si="40"/>
        <v>GL2050;zomer;192;35;1.89906397413597;TRUE;1.89906397413597</v>
      </c>
    </row>
    <row r="520" spans="1:9" x14ac:dyDescent="0.25">
      <c r="A520">
        <f t="shared" si="39"/>
        <v>22.828125</v>
      </c>
      <c r="B520" t="s">
        <v>19</v>
      </c>
      <c r="C520" t="s">
        <v>11</v>
      </c>
      <c r="D520">
        <v>192</v>
      </c>
      <c r="E520">
        <f t="shared" si="41"/>
        <v>40</v>
      </c>
      <c r="F520" s="22">
        <f>STOWA2015_2050GL_Z!$R9</f>
        <v>1.5089128105623981</v>
      </c>
      <c r="G520" s="22" t="s">
        <v>33</v>
      </c>
      <c r="H520" s="22">
        <f>STOWA2015_2050GL_Z!$R9</f>
        <v>1.5089128105623981</v>
      </c>
      <c r="I520" t="str">
        <f t="shared" si="40"/>
        <v>GL2050;zomer;192;40;1.5089128105624;TRUE;1.5089128105624</v>
      </c>
    </row>
    <row r="521" spans="1:9" x14ac:dyDescent="0.25">
      <c r="A521">
        <f t="shared" si="39"/>
        <v>22.828125</v>
      </c>
      <c r="B521" t="s">
        <v>19</v>
      </c>
      <c r="C521" t="s">
        <v>11</v>
      </c>
      <c r="D521">
        <v>192</v>
      </c>
      <c r="E521">
        <f t="shared" si="41"/>
        <v>45</v>
      </c>
      <c r="F521" s="22">
        <f>STOWA2015_2050GL_Z!$R10</f>
        <v>1.195828775956632</v>
      </c>
      <c r="G521" s="22" t="s">
        <v>33</v>
      </c>
      <c r="H521" s="22">
        <f>STOWA2015_2050GL_Z!$R10</f>
        <v>1.195828775956632</v>
      </c>
      <c r="I521" t="str">
        <f t="shared" si="40"/>
        <v>GL2050;zomer;192;45;1.19582877595663;TRUE;1.19582877595663</v>
      </c>
    </row>
    <row r="522" spans="1:9" x14ac:dyDescent="0.25">
      <c r="A522">
        <f t="shared" si="39"/>
        <v>22.828125</v>
      </c>
      <c r="B522" t="s">
        <v>19</v>
      </c>
      <c r="C522" t="s">
        <v>11</v>
      </c>
      <c r="D522">
        <v>192</v>
      </c>
      <c r="E522">
        <f t="shared" si="41"/>
        <v>50</v>
      </c>
      <c r="F522" s="22">
        <f>STOWA2015_2050GL_Z!$R11</f>
        <v>0.94521101180732314</v>
      </c>
      <c r="G522" s="22" t="s">
        <v>33</v>
      </c>
      <c r="H522" s="22">
        <f>STOWA2015_2050GL_Z!$R11</f>
        <v>0.94521101180732314</v>
      </c>
      <c r="I522" t="str">
        <f t="shared" si="40"/>
        <v>GL2050;zomer;192;50;0.945211011807323;TRUE;0.945211011807323</v>
      </c>
    </row>
    <row r="523" spans="1:9" x14ac:dyDescent="0.25">
      <c r="A523">
        <f t="shared" si="39"/>
        <v>22.828125</v>
      </c>
      <c r="B523" t="s">
        <v>19</v>
      </c>
      <c r="C523" t="s">
        <v>11</v>
      </c>
      <c r="D523">
        <v>192</v>
      </c>
      <c r="E523">
        <f t="shared" si="41"/>
        <v>55</v>
      </c>
      <c r="F523" s="22">
        <f>STOWA2015_2050GL_Z!$R12</f>
        <v>0.74510453283445033</v>
      </c>
      <c r="G523" s="22" t="s">
        <v>33</v>
      </c>
      <c r="H523" s="22">
        <f>STOWA2015_2050GL_Z!$R12</f>
        <v>0.74510453283445033</v>
      </c>
      <c r="I523" t="str">
        <f t="shared" si="40"/>
        <v>GL2050;zomer;192;55;0.74510453283445;TRUE;0.74510453283445</v>
      </c>
    </row>
    <row r="524" spans="1:9" x14ac:dyDescent="0.25">
      <c r="A524">
        <f t="shared" si="39"/>
        <v>22.828125</v>
      </c>
      <c r="B524" t="s">
        <v>19</v>
      </c>
      <c r="C524" t="s">
        <v>11</v>
      </c>
      <c r="D524">
        <v>192</v>
      </c>
      <c r="E524">
        <f t="shared" si="41"/>
        <v>60</v>
      </c>
      <c r="F524" s="22">
        <f>STOWA2015_2050GL_Z!$R13</f>
        <v>0.58574302638017084</v>
      </c>
      <c r="G524" s="22" t="s">
        <v>33</v>
      </c>
      <c r="H524" s="22">
        <f>STOWA2015_2050GL_Z!$R13</f>
        <v>0.58574302638017084</v>
      </c>
      <c r="I524" t="str">
        <f t="shared" si="40"/>
        <v>GL2050;zomer;192;60;0.585743026380171;TRUE;0.585743026380171</v>
      </c>
    </row>
    <row r="525" spans="1:9" x14ac:dyDescent="0.25">
      <c r="A525">
        <f t="shared" si="39"/>
        <v>22.828125</v>
      </c>
      <c r="B525" t="s">
        <v>19</v>
      </c>
      <c r="C525" t="s">
        <v>11</v>
      </c>
      <c r="D525">
        <v>192</v>
      </c>
      <c r="E525">
        <f t="shared" si="41"/>
        <v>65</v>
      </c>
      <c r="F525" s="22">
        <f>STOWA2015_2050GL_Z!$R14</f>
        <v>0.45916672553819438</v>
      </c>
      <c r="G525" s="22" t="s">
        <v>33</v>
      </c>
      <c r="H525" s="22">
        <f>STOWA2015_2050GL_Z!$R14</f>
        <v>0.45916672553819438</v>
      </c>
      <c r="I525" t="str">
        <f t="shared" si="40"/>
        <v>GL2050;zomer;192;65;0.459166725538194;TRUE;0.459166725538194</v>
      </c>
    </row>
    <row r="526" spans="1:9" x14ac:dyDescent="0.25">
      <c r="A526">
        <f t="shared" si="39"/>
        <v>22.828125</v>
      </c>
      <c r="B526" t="s">
        <v>19</v>
      </c>
      <c r="C526" t="s">
        <v>11</v>
      </c>
      <c r="D526">
        <v>192</v>
      </c>
      <c r="E526">
        <f t="shared" si="41"/>
        <v>70</v>
      </c>
      <c r="F526" s="22">
        <f>STOWA2015_2050GL_Z!$R15</f>
        <v>0.35890368775892378</v>
      </c>
      <c r="G526" s="22" t="s">
        <v>33</v>
      </c>
      <c r="H526" s="22">
        <f>STOWA2015_2050GL_Z!$R15</f>
        <v>0.35890368775892378</v>
      </c>
      <c r="I526" t="str">
        <f t="shared" si="40"/>
        <v>GL2050;zomer;192;70;0.358903687758924;TRUE;0.358903687758924</v>
      </c>
    </row>
    <row r="527" spans="1:9" x14ac:dyDescent="0.25">
      <c r="A527">
        <f t="shared" si="39"/>
        <v>22.828125</v>
      </c>
      <c r="B527" t="s">
        <v>19</v>
      </c>
      <c r="C527" t="s">
        <v>11</v>
      </c>
      <c r="D527">
        <v>192</v>
      </c>
      <c r="E527">
        <f t="shared" si="41"/>
        <v>75</v>
      </c>
      <c r="F527" s="22">
        <f>STOWA2015_2050GL_Z!$R16</f>
        <v>0.27970451953658937</v>
      </c>
      <c r="G527" s="22" t="s">
        <v>33</v>
      </c>
      <c r="H527" s="22">
        <f>STOWA2015_2050GL_Z!$R16</f>
        <v>0.27970451953658937</v>
      </c>
      <c r="I527" t="str">
        <f t="shared" si="40"/>
        <v>GL2050;zomer;192;75;0.279704519536589;TRUE;0.279704519536589</v>
      </c>
    </row>
    <row r="528" spans="1:9" x14ac:dyDescent="0.25">
      <c r="A528">
        <f t="shared" si="39"/>
        <v>22.828125</v>
      </c>
      <c r="B528" t="s">
        <v>19</v>
      </c>
      <c r="C528" t="s">
        <v>11</v>
      </c>
      <c r="D528">
        <v>192</v>
      </c>
      <c r="E528">
        <f t="shared" si="41"/>
        <v>80</v>
      </c>
      <c r="F528" s="22">
        <f>STOWA2015_2050GL_Z!$R17</f>
        <v>0.21732206204667837</v>
      </c>
      <c r="G528" s="22" t="s">
        <v>33</v>
      </c>
      <c r="H528" s="22">
        <f>STOWA2015_2050GL_Z!$R17</f>
        <v>0.21732206204667837</v>
      </c>
      <c r="I528" t="str">
        <f t="shared" si="40"/>
        <v>GL2050;zomer;192;80;0.217322062046678;TRUE;0.217322062046678</v>
      </c>
    </row>
    <row r="529" spans="1:9" x14ac:dyDescent="0.25">
      <c r="A529">
        <f t="shared" si="39"/>
        <v>22.828125</v>
      </c>
      <c r="B529" t="s">
        <v>19</v>
      </c>
      <c r="C529" t="s">
        <v>11</v>
      </c>
      <c r="D529">
        <v>192</v>
      </c>
      <c r="E529">
        <f t="shared" si="41"/>
        <v>85</v>
      </c>
      <c r="F529" s="22">
        <f>STOWA2015_2050GL_Z!$R18</f>
        <v>0.16832882226689949</v>
      </c>
      <c r="G529" s="22" t="s">
        <v>33</v>
      </c>
      <c r="H529" s="22">
        <f>STOWA2015_2050GL_Z!$R18</f>
        <v>0.16832882226689949</v>
      </c>
      <c r="I529" t="str">
        <f t="shared" si="40"/>
        <v>GL2050;zomer;192;85;0.168328822266899;TRUE;0.168328822266899</v>
      </c>
    </row>
    <row r="530" spans="1:9" x14ac:dyDescent="0.25">
      <c r="A530">
        <f t="shared" si="39"/>
        <v>22.828125</v>
      </c>
      <c r="B530" t="s">
        <v>19</v>
      </c>
      <c r="C530" t="s">
        <v>11</v>
      </c>
      <c r="D530">
        <v>192</v>
      </c>
      <c r="E530">
        <f t="shared" si="41"/>
        <v>90</v>
      </c>
      <c r="F530" s="22">
        <f>STOWA2015_2050GL_Z!$R19</f>
        <v>0.12996602564265397</v>
      </c>
      <c r="G530" s="22" t="s">
        <v>33</v>
      </c>
      <c r="H530" s="22">
        <f>STOWA2015_2050GL_Z!$R19</f>
        <v>0.12996602564265397</v>
      </c>
      <c r="I530" t="str">
        <f t="shared" si="40"/>
        <v>GL2050;zomer;192;90;0.129966025642654;TRUE;0.129966025642654</v>
      </c>
    </row>
    <row r="531" spans="1:9" x14ac:dyDescent="0.25">
      <c r="A531">
        <f t="shared" si="39"/>
        <v>22.828125</v>
      </c>
      <c r="B531" t="s">
        <v>19</v>
      </c>
      <c r="C531" t="s">
        <v>11</v>
      </c>
      <c r="D531">
        <v>192</v>
      </c>
      <c r="E531">
        <f t="shared" si="41"/>
        <v>95</v>
      </c>
      <c r="F531" s="22">
        <f>STOWA2015_2050GL_Z!$R20</f>
        <v>0.10001910304090994</v>
      </c>
      <c r="G531" s="22" t="s">
        <v>33</v>
      </c>
      <c r="H531" s="22">
        <f>STOWA2015_2050GL_Z!$R20</f>
        <v>0.10001910304090994</v>
      </c>
      <c r="I531" t="str">
        <f t="shared" si="40"/>
        <v>GL2050;zomer;192;95;0.10001910304091;TRUE;0.10001910304091</v>
      </c>
    </row>
    <row r="532" spans="1:9" x14ac:dyDescent="0.25">
      <c r="A532">
        <f t="shared" si="39"/>
        <v>22.828125</v>
      </c>
      <c r="B532" t="s">
        <v>19</v>
      </c>
      <c r="C532" t="s">
        <v>11</v>
      </c>
      <c r="D532">
        <v>192</v>
      </c>
      <c r="E532">
        <f t="shared" si="41"/>
        <v>100</v>
      </c>
      <c r="F532" s="22">
        <f>STOWA2015_2050GL_Z!$R21</f>
        <v>7.671522705004663E-2</v>
      </c>
      <c r="G532" s="22" t="s">
        <v>33</v>
      </c>
      <c r="H532" s="22">
        <f>STOWA2015_2050GL_Z!$R21</f>
        <v>7.671522705004663E-2</v>
      </c>
      <c r="I532" t="str">
        <f t="shared" si="40"/>
        <v>GL2050;zomer;192;100;7.67152270500466E-02;TRUE;7.67152270500466E-02</v>
      </c>
    </row>
    <row r="533" spans="1:9" x14ac:dyDescent="0.25">
      <c r="A533">
        <f t="shared" si="39"/>
        <v>22.828125</v>
      </c>
      <c r="B533" t="s">
        <v>19</v>
      </c>
      <c r="C533" t="s">
        <v>11</v>
      </c>
      <c r="D533">
        <v>192</v>
      </c>
      <c r="E533">
        <f t="shared" si="41"/>
        <v>105</v>
      </c>
      <c r="F533" s="22">
        <f>STOWA2015_2050GL_Z!$R22</f>
        <v>5.8639198596432102E-2</v>
      </c>
      <c r="G533" s="22" t="s">
        <v>33</v>
      </c>
      <c r="H533" s="22">
        <f>STOWA2015_2050GL_Z!$R22</f>
        <v>5.8639198596432102E-2</v>
      </c>
      <c r="I533" t="str">
        <f t="shared" si="40"/>
        <v>GL2050;zomer;192;105;5.86391985964321E-02;TRUE;5.86391985964321E-02</v>
      </c>
    </row>
    <row r="534" spans="1:9" x14ac:dyDescent="0.25">
      <c r="A534">
        <f t="shared" si="39"/>
        <v>22.828125</v>
      </c>
      <c r="B534" t="s">
        <v>19</v>
      </c>
      <c r="C534" t="s">
        <v>11</v>
      </c>
      <c r="D534">
        <v>192</v>
      </c>
      <c r="E534">
        <f t="shared" si="41"/>
        <v>110</v>
      </c>
      <c r="F534" s="22">
        <f>STOWA2015_2050GL_Z!$R23</f>
        <v>4.4664570106345919E-2</v>
      </c>
      <c r="G534" s="22" t="s">
        <v>33</v>
      </c>
      <c r="H534" s="22">
        <f>STOWA2015_2050GL_Z!$R23</f>
        <v>4.4664570106345919E-2</v>
      </c>
      <c r="I534" t="str">
        <f t="shared" si="40"/>
        <v>GL2050;zomer;192;110;4.46645701063459E-02;TRUE;4.46645701063459E-02</v>
      </c>
    </row>
    <row r="535" spans="1:9" x14ac:dyDescent="0.25">
      <c r="A535">
        <f t="shared" si="39"/>
        <v>22.828125</v>
      </c>
      <c r="B535" t="s">
        <v>19</v>
      </c>
      <c r="C535" t="s">
        <v>11</v>
      </c>
      <c r="D535">
        <v>192</v>
      </c>
      <c r="E535">
        <f t="shared" si="41"/>
        <v>115</v>
      </c>
      <c r="F535" s="22">
        <f>STOWA2015_2050GL_Z!$R24</f>
        <v>3.3897389818022178E-2</v>
      </c>
      <c r="G535" s="22" t="s">
        <v>33</v>
      </c>
      <c r="H535" s="22">
        <f>STOWA2015_2050GL_Z!$R24</f>
        <v>3.3897389818022178E-2</v>
      </c>
      <c r="I535" t="str">
        <f t="shared" si="40"/>
        <v>GL2050;zomer;192;115;3.38973898180222E-02;TRUE;3.38973898180222E-02</v>
      </c>
    </row>
    <row r="536" spans="1:9" x14ac:dyDescent="0.25">
      <c r="A536">
        <f t="shared" si="39"/>
        <v>22.828125</v>
      </c>
      <c r="B536" t="s">
        <v>19</v>
      </c>
      <c r="C536" t="s">
        <v>11</v>
      </c>
      <c r="D536">
        <v>192</v>
      </c>
      <c r="E536">
        <f t="shared" si="41"/>
        <v>120</v>
      </c>
      <c r="F536" s="22">
        <f>STOWA2015_2050GL_Z!$R25</f>
        <v>2.5630375371304567E-2</v>
      </c>
      <c r="G536" s="22" t="s">
        <v>33</v>
      </c>
      <c r="H536" s="22">
        <f>STOWA2015_2050GL_Z!$R25</f>
        <v>2.5630375371304567E-2</v>
      </c>
      <c r="I536" t="str">
        <f t="shared" si="40"/>
        <v>GL2050;zomer;192;120;2.56303753713046E-02;TRUE;2.56303753713046E-02</v>
      </c>
    </row>
    <row r="537" spans="1:9" x14ac:dyDescent="0.25">
      <c r="A537">
        <f t="shared" si="39"/>
        <v>22.828125</v>
      </c>
      <c r="B537" t="s">
        <v>19</v>
      </c>
      <c r="C537" t="s">
        <v>11</v>
      </c>
      <c r="D537">
        <v>192</v>
      </c>
      <c r="E537">
        <f t="shared" si="41"/>
        <v>125</v>
      </c>
      <c r="F537" s="22">
        <f>STOWA2015_2050GL_Z!$R26</f>
        <v>1.9305683958295891E-2</v>
      </c>
      <c r="G537" s="22" t="s">
        <v>33</v>
      </c>
      <c r="H537" s="22">
        <f>STOWA2015_2050GL_Z!$R26</f>
        <v>1.9305683958295891E-2</v>
      </c>
      <c r="I537" t="str">
        <f t="shared" si="40"/>
        <v>GL2050;zomer;192;125;1.93056839582959E-02;TRUE;1.93056839582959E-02</v>
      </c>
    </row>
    <row r="538" spans="1:9" x14ac:dyDescent="0.25">
      <c r="A538">
        <f t="shared" si="39"/>
        <v>22.828125</v>
      </c>
      <c r="B538" t="s">
        <v>19</v>
      </c>
      <c r="C538" t="s">
        <v>11</v>
      </c>
      <c r="D538">
        <v>192</v>
      </c>
      <c r="E538">
        <f t="shared" si="41"/>
        <v>130</v>
      </c>
      <c r="F538" s="22">
        <f>STOWA2015_2050GL_Z!$R27</f>
        <v>1.4484750233315379E-2</v>
      </c>
      <c r="G538" s="22" t="s">
        <v>33</v>
      </c>
      <c r="H538" s="22">
        <f>STOWA2015_2050GL_Z!$R27</f>
        <v>1.4484750233315379E-2</v>
      </c>
      <c r="I538" t="str">
        <f t="shared" si="40"/>
        <v>GL2050;zomer;192;130;1.44847502333154E-02;TRUE;1.44847502333154E-02</v>
      </c>
    </row>
    <row r="539" spans="1:9" x14ac:dyDescent="0.25">
      <c r="A539">
        <f t="shared" si="39"/>
        <v>22.828125</v>
      </c>
      <c r="B539" t="s">
        <v>19</v>
      </c>
      <c r="C539" t="s">
        <v>11</v>
      </c>
      <c r="D539">
        <v>192</v>
      </c>
      <c r="E539">
        <f t="shared" si="41"/>
        <v>135</v>
      </c>
      <c r="F539" s="22">
        <f>STOWA2015_2050GL_Z!$R28</f>
        <v>1.0823919781853385E-2</v>
      </c>
      <c r="G539" s="22" t="s">
        <v>33</v>
      </c>
      <c r="H539" s="22">
        <f>STOWA2015_2050GL_Z!$R28</f>
        <v>1.0823919781853385E-2</v>
      </c>
      <c r="I539" t="str">
        <f t="shared" si="40"/>
        <v>GL2050;zomer;192;135;1.08239197818534E-02;TRUE;1.08239197818534E-02</v>
      </c>
    </row>
    <row r="540" spans="1:9" x14ac:dyDescent="0.25">
      <c r="A540">
        <f t="shared" si="39"/>
        <v>22.828125</v>
      </c>
      <c r="B540" t="s">
        <v>19</v>
      </c>
      <c r="C540" t="s">
        <v>11</v>
      </c>
      <c r="D540">
        <v>192</v>
      </c>
      <c r="E540">
        <f t="shared" si="41"/>
        <v>140</v>
      </c>
      <c r="F540" s="22">
        <f>STOWA2015_2050GL_Z!$R29</f>
        <v>8.0548221096515757E-3</v>
      </c>
      <c r="G540" s="22" t="s">
        <v>33</v>
      </c>
      <c r="H540" s="22">
        <f>STOWA2015_2050GL_Z!$R29</f>
        <v>8.0548221096515757E-3</v>
      </c>
      <c r="I540" t="str">
        <f t="shared" si="40"/>
        <v>GL2050;zomer;192;140;8.05482210965158E-03;TRUE;8.05482210965158E-03</v>
      </c>
    </row>
    <row r="541" spans="1:9" x14ac:dyDescent="0.25">
      <c r="A541">
        <f t="shared" si="39"/>
        <v>22.828125</v>
      </c>
      <c r="B541" t="s">
        <v>19</v>
      </c>
      <c r="C541" t="s">
        <v>11</v>
      </c>
      <c r="D541">
        <v>192</v>
      </c>
      <c r="E541">
        <f t="shared" si="41"/>
        <v>145</v>
      </c>
      <c r="F541" s="22">
        <f>STOWA2015_2050GL_Z!$R30</f>
        <v>5.9686087827678612E-3</v>
      </c>
      <c r="G541" s="22" t="s">
        <v>33</v>
      </c>
      <c r="H541" s="22">
        <f>STOWA2015_2050GL_Z!$R30</f>
        <v>5.9686087827678612E-3</v>
      </c>
      <c r="I541" t="str">
        <f t="shared" si="40"/>
        <v>GL2050;zomer;192;145;5.96860878276786E-03;TRUE;5.96860878276786E-03</v>
      </c>
    </row>
    <row r="542" spans="1:9" x14ac:dyDescent="0.25">
      <c r="A542">
        <f t="shared" si="39"/>
        <v>22.828125</v>
      </c>
      <c r="B542" t="s">
        <v>19</v>
      </c>
      <c r="C542" t="s">
        <v>11</v>
      </c>
      <c r="D542">
        <v>192</v>
      </c>
      <c r="E542">
        <f t="shared" si="41"/>
        <v>150</v>
      </c>
      <c r="F542" s="22">
        <f>STOWA2015_2050GL_Z!$R31</f>
        <v>1.6024665862705408E-2</v>
      </c>
      <c r="G542" s="22" t="s">
        <v>33</v>
      </c>
      <c r="H542" s="22">
        <f>STOWA2015_2050GL_Z!$R31</f>
        <v>1.6024665862705408E-2</v>
      </c>
      <c r="I542" t="str">
        <f t="shared" si="40"/>
        <v>GL2050;zomer;192;150;1.60246658627054E-02;TRUE;1.60246658627054E-02</v>
      </c>
    </row>
    <row r="543" spans="1:9" x14ac:dyDescent="0.25">
      <c r="A543">
        <f t="shared" si="39"/>
        <v>20.291666666666664</v>
      </c>
      <c r="B543" t="s">
        <v>19</v>
      </c>
      <c r="C543" t="s">
        <v>11</v>
      </c>
      <c r="D543">
        <v>216</v>
      </c>
      <c r="E543">
        <v>20</v>
      </c>
      <c r="F543" s="22">
        <f>STOWA2015_2050GL_Z!$V5</f>
        <v>26.591894711264729</v>
      </c>
      <c r="G543" s="22" t="s">
        <v>33</v>
      </c>
      <c r="H543" s="22">
        <f>STOWA2015_2050GL_Z!$V5</f>
        <v>26.591894711264729</v>
      </c>
      <c r="I543" t="str">
        <f t="shared" si="40"/>
        <v>GL2050;zomer;216;20;26.5918947112647;TRUE;26.5918947112647</v>
      </c>
    </row>
    <row r="544" spans="1:9" x14ac:dyDescent="0.25">
      <c r="A544">
        <f t="shared" si="39"/>
        <v>20.291666666666664</v>
      </c>
      <c r="B544" t="s">
        <v>19</v>
      </c>
      <c r="C544" t="s">
        <v>11</v>
      </c>
      <c r="D544">
        <v>216</v>
      </c>
      <c r="E544">
        <f>E543+5</f>
        <v>25</v>
      </c>
      <c r="F544" s="22">
        <f>STOWA2015_2050GL_Z!$V6</f>
        <v>2.6744949772575239</v>
      </c>
      <c r="G544" s="22" t="s">
        <v>33</v>
      </c>
      <c r="H544" s="22">
        <f>STOWA2015_2050GL_Z!$V6</f>
        <v>2.6744949772575239</v>
      </c>
      <c r="I544" t="str">
        <f t="shared" si="40"/>
        <v>GL2050;zomer;216;25;2.67449497725752;TRUE;2.67449497725752</v>
      </c>
    </row>
    <row r="545" spans="1:9" x14ac:dyDescent="0.25">
      <c r="A545">
        <f t="shared" si="39"/>
        <v>20.291666666666664</v>
      </c>
      <c r="B545" t="s">
        <v>19</v>
      </c>
      <c r="C545" t="s">
        <v>11</v>
      </c>
      <c r="D545">
        <v>216</v>
      </c>
      <c r="E545">
        <f t="shared" ref="E545:E570" si="42">E544+5</f>
        <v>30</v>
      </c>
      <c r="F545" s="22">
        <f>STOWA2015_2050GL_Z!$V7</f>
        <v>2.1895272213005548</v>
      </c>
      <c r="G545" s="22" t="s">
        <v>33</v>
      </c>
      <c r="H545" s="22">
        <f>STOWA2015_2050GL_Z!$V7</f>
        <v>2.1895272213005548</v>
      </c>
      <c r="I545" t="str">
        <f t="shared" si="40"/>
        <v>GL2050;zomer;216;30;2.18952722130055;TRUE;2.18952722130055</v>
      </c>
    </row>
    <row r="546" spans="1:9" x14ac:dyDescent="0.25">
      <c r="A546">
        <f t="shared" si="39"/>
        <v>20.291666666666664</v>
      </c>
      <c r="B546" t="s">
        <v>19</v>
      </c>
      <c r="C546" t="s">
        <v>11</v>
      </c>
      <c r="D546">
        <v>216</v>
      </c>
      <c r="E546">
        <f t="shared" si="42"/>
        <v>35</v>
      </c>
      <c r="F546" s="22">
        <f>STOWA2015_2050GL_Z!$V8</f>
        <v>1.7876163858351015</v>
      </c>
      <c r="G546" s="22" t="s">
        <v>33</v>
      </c>
      <c r="H546" s="22">
        <f>STOWA2015_2050GL_Z!$V8</f>
        <v>1.7876163858351015</v>
      </c>
      <c r="I546" t="str">
        <f t="shared" si="40"/>
        <v>GL2050;zomer;216;35;1.7876163858351;TRUE;1.7876163858351</v>
      </c>
    </row>
    <row r="547" spans="1:9" x14ac:dyDescent="0.25">
      <c r="A547">
        <f t="shared" si="39"/>
        <v>20.291666666666664</v>
      </c>
      <c r="B547" t="s">
        <v>19</v>
      </c>
      <c r="C547" t="s">
        <v>11</v>
      </c>
      <c r="D547">
        <v>216</v>
      </c>
      <c r="E547">
        <f t="shared" si="42"/>
        <v>40</v>
      </c>
      <c r="F547" s="22">
        <f>STOWA2015_2050GL_Z!$V9</f>
        <v>1.4553953468600271</v>
      </c>
      <c r="G547" s="22" t="s">
        <v>33</v>
      </c>
      <c r="H547" s="22">
        <f>STOWA2015_2050GL_Z!$V9</f>
        <v>1.4553953468600271</v>
      </c>
      <c r="I547" t="str">
        <f t="shared" si="40"/>
        <v>GL2050;zomer;216;40;1.45539534686003;TRUE;1.45539534686003</v>
      </c>
    </row>
    <row r="548" spans="1:9" x14ac:dyDescent="0.25">
      <c r="A548">
        <f t="shared" si="39"/>
        <v>20.291666666666664</v>
      </c>
      <c r="B548" t="s">
        <v>19</v>
      </c>
      <c r="C548" t="s">
        <v>11</v>
      </c>
      <c r="D548">
        <v>216</v>
      </c>
      <c r="E548">
        <f t="shared" si="42"/>
        <v>45</v>
      </c>
      <c r="F548" s="22">
        <f>STOWA2015_2050GL_Z!$V10</f>
        <v>1.1815067311185867</v>
      </c>
      <c r="G548" s="22" t="s">
        <v>33</v>
      </c>
      <c r="H548" s="22">
        <f>STOWA2015_2050GL_Z!$V10</f>
        <v>1.1815067311185867</v>
      </c>
      <c r="I548" t="str">
        <f t="shared" si="40"/>
        <v>GL2050;zomer;216;45;1.18150673111859;TRUE;1.18150673111859</v>
      </c>
    </row>
    <row r="549" spans="1:9" x14ac:dyDescent="0.25">
      <c r="A549">
        <f t="shared" si="39"/>
        <v>20.291666666666664</v>
      </c>
      <c r="B549" t="s">
        <v>19</v>
      </c>
      <c r="C549" t="s">
        <v>11</v>
      </c>
      <c r="D549">
        <v>216</v>
      </c>
      <c r="E549">
        <f t="shared" si="42"/>
        <v>50</v>
      </c>
      <c r="F549" s="22">
        <f>STOWA2015_2050GL_Z!$V11</f>
        <v>0.95632258575032836</v>
      </c>
      <c r="G549" s="22" t="s">
        <v>33</v>
      </c>
      <c r="H549" s="22">
        <f>STOWA2015_2050GL_Z!$V11</f>
        <v>0.95632258575032836</v>
      </c>
      <c r="I549" t="str">
        <f t="shared" si="40"/>
        <v>GL2050;zomer;216;50;0.956322585750328;TRUE;0.956322585750328</v>
      </c>
    </row>
    <row r="550" spans="1:9" x14ac:dyDescent="0.25">
      <c r="A550">
        <f t="shared" si="39"/>
        <v>20.291666666666664</v>
      </c>
      <c r="B550" t="s">
        <v>19</v>
      </c>
      <c r="C550" t="s">
        <v>11</v>
      </c>
      <c r="D550">
        <v>216</v>
      </c>
      <c r="E550">
        <f t="shared" si="42"/>
        <v>55</v>
      </c>
      <c r="F550" s="22">
        <f>STOWA2015_2050GL_Z!$V12</f>
        <v>0.77170002348954858</v>
      </c>
      <c r="G550" s="22" t="s">
        <v>33</v>
      </c>
      <c r="H550" s="22">
        <f>STOWA2015_2050GL_Z!$V12</f>
        <v>0.77170002348954858</v>
      </c>
      <c r="I550" t="str">
        <f t="shared" si="40"/>
        <v>GL2050;zomer;216;55;0.771700023489549;TRUE;0.771700023489549</v>
      </c>
    </row>
    <row r="551" spans="1:9" x14ac:dyDescent="0.25">
      <c r="A551">
        <f t="shared" si="39"/>
        <v>20.291666666666664</v>
      </c>
      <c r="B551" t="s">
        <v>19</v>
      </c>
      <c r="C551" t="s">
        <v>11</v>
      </c>
      <c r="D551">
        <v>216</v>
      </c>
      <c r="E551">
        <f t="shared" si="42"/>
        <v>60</v>
      </c>
      <c r="F551" s="22">
        <f>STOWA2015_2050GL_Z!$V13</f>
        <v>0.62076863859101961</v>
      </c>
      <c r="G551" s="22" t="s">
        <v>33</v>
      </c>
      <c r="H551" s="22">
        <f>STOWA2015_2050GL_Z!$V13</f>
        <v>0.62076863859101961</v>
      </c>
      <c r="I551" t="str">
        <f t="shared" si="40"/>
        <v>GL2050;zomer;216;60;0.62076863859102;TRUE;0.62076863859102</v>
      </c>
    </row>
    <row r="552" spans="1:9" x14ac:dyDescent="0.25">
      <c r="A552">
        <f t="shared" si="39"/>
        <v>20.291666666666664</v>
      </c>
      <c r="B552" t="s">
        <v>19</v>
      </c>
      <c r="C552" t="s">
        <v>11</v>
      </c>
      <c r="D552">
        <v>216</v>
      </c>
      <c r="E552">
        <f t="shared" si="42"/>
        <v>65</v>
      </c>
      <c r="F552" s="22">
        <f>STOWA2015_2050GL_Z!$V14</f>
        <v>0.49774593059743633</v>
      </c>
      <c r="G552" s="22" t="s">
        <v>33</v>
      </c>
      <c r="H552" s="22">
        <f>STOWA2015_2050GL_Z!$V14</f>
        <v>0.49774593059743633</v>
      </c>
      <c r="I552" t="str">
        <f t="shared" si="40"/>
        <v>GL2050;zomer;216;65;0.497745930597436;TRUE;0.497745930597436</v>
      </c>
    </row>
    <row r="553" spans="1:9" x14ac:dyDescent="0.25">
      <c r="A553">
        <f t="shared" si="39"/>
        <v>20.291666666666664</v>
      </c>
      <c r="B553" t="s">
        <v>19</v>
      </c>
      <c r="C553" t="s">
        <v>11</v>
      </c>
      <c r="D553">
        <v>216</v>
      </c>
      <c r="E553">
        <f t="shared" si="42"/>
        <v>70</v>
      </c>
      <c r="F553" s="22">
        <f>STOWA2015_2050GL_Z!$V15</f>
        <v>0.39777737396347668</v>
      </c>
      <c r="G553" s="22" t="s">
        <v>33</v>
      </c>
      <c r="H553" s="22">
        <f>STOWA2015_2050GL_Z!$V15</f>
        <v>0.39777737396347668</v>
      </c>
      <c r="I553" t="str">
        <f t="shared" si="40"/>
        <v>GL2050;zomer;216;70;0.397777373963477;TRUE;0.397777373963477</v>
      </c>
    </row>
    <row r="554" spans="1:9" x14ac:dyDescent="0.25">
      <c r="A554">
        <f t="shared" si="39"/>
        <v>20.291666666666664</v>
      </c>
      <c r="B554" t="s">
        <v>19</v>
      </c>
      <c r="C554" t="s">
        <v>11</v>
      </c>
      <c r="D554">
        <v>216</v>
      </c>
      <c r="E554">
        <f t="shared" si="42"/>
        <v>75</v>
      </c>
      <c r="F554" s="22">
        <f>STOWA2015_2050GL_Z!$V16</f>
        <v>0.3167981346389277</v>
      </c>
      <c r="G554" s="22" t="s">
        <v>33</v>
      </c>
      <c r="H554" s="22">
        <f>STOWA2015_2050GL_Z!$V16</f>
        <v>0.3167981346389277</v>
      </c>
      <c r="I554" t="str">
        <f t="shared" si="40"/>
        <v>GL2050;zomer;216;75;0.316798134638928;TRUE;0.316798134638928</v>
      </c>
    </row>
    <row r="555" spans="1:9" x14ac:dyDescent="0.25">
      <c r="A555">
        <f t="shared" si="39"/>
        <v>20.291666666666664</v>
      </c>
      <c r="B555" t="s">
        <v>19</v>
      </c>
      <c r="C555" t="s">
        <v>11</v>
      </c>
      <c r="D555">
        <v>216</v>
      </c>
      <c r="E555">
        <f t="shared" si="42"/>
        <v>80</v>
      </c>
      <c r="F555" s="22">
        <f>STOWA2015_2050GL_Z!$V17</f>
        <v>0.2514137630835398</v>
      </c>
      <c r="G555" s="22" t="s">
        <v>33</v>
      </c>
      <c r="H555" s="22">
        <f>STOWA2015_2050GL_Z!$V17</f>
        <v>0.2514137630835398</v>
      </c>
      <c r="I555" t="str">
        <f t="shared" si="40"/>
        <v>GL2050;zomer;216;80;0.25141376308354;TRUE;0.25141376308354</v>
      </c>
    </row>
    <row r="556" spans="1:9" x14ac:dyDescent="0.25">
      <c r="A556">
        <f t="shared" si="39"/>
        <v>20.291666666666664</v>
      </c>
      <c r="B556" t="s">
        <v>19</v>
      </c>
      <c r="C556" t="s">
        <v>11</v>
      </c>
      <c r="D556">
        <v>216</v>
      </c>
      <c r="E556">
        <f t="shared" si="42"/>
        <v>85</v>
      </c>
      <c r="F556" s="22">
        <f>STOWA2015_2050GL_Z!$V18</f>
        <v>0.19879748971680156</v>
      </c>
      <c r="G556" s="22" t="s">
        <v>33</v>
      </c>
      <c r="H556" s="22">
        <f>STOWA2015_2050GL_Z!$V18</f>
        <v>0.19879748971680156</v>
      </c>
      <c r="I556" t="str">
        <f t="shared" si="40"/>
        <v>GL2050;zomer;216;85;0.198797489716802;TRUE;0.198797489716802</v>
      </c>
    </row>
    <row r="557" spans="1:9" x14ac:dyDescent="0.25">
      <c r="A557">
        <f t="shared" si="39"/>
        <v>20.291666666666664</v>
      </c>
      <c r="B557" t="s">
        <v>19</v>
      </c>
      <c r="C557" t="s">
        <v>11</v>
      </c>
      <c r="D557">
        <v>216</v>
      </c>
      <c r="E557">
        <f t="shared" si="42"/>
        <v>90</v>
      </c>
      <c r="F557" s="22">
        <f>STOWA2015_2050GL_Z!$V19</f>
        <v>0.15660201617179159</v>
      </c>
      <c r="G557" s="22" t="s">
        <v>33</v>
      </c>
      <c r="H557" s="22">
        <f>STOWA2015_2050GL_Z!$V19</f>
        <v>0.15660201617179159</v>
      </c>
      <c r="I557" t="str">
        <f t="shared" si="40"/>
        <v>GL2050;zomer;216;90;0.156602016171792;TRUE;0.156602016171792</v>
      </c>
    </row>
    <row r="558" spans="1:9" x14ac:dyDescent="0.25">
      <c r="A558">
        <f t="shared" si="39"/>
        <v>20.291666666666664</v>
      </c>
      <c r="B558" t="s">
        <v>19</v>
      </c>
      <c r="C558" t="s">
        <v>11</v>
      </c>
      <c r="D558">
        <v>216</v>
      </c>
      <c r="E558">
        <f t="shared" si="42"/>
        <v>95</v>
      </c>
      <c r="F558" s="22">
        <f>STOWA2015_2050GL_Z!$V20</f>
        <v>0.12288393641300965</v>
      </c>
      <c r="G558" s="22" t="s">
        <v>33</v>
      </c>
      <c r="H558" s="22">
        <f>STOWA2015_2050GL_Z!$V20</f>
        <v>0.12288393641300965</v>
      </c>
      <c r="I558" t="str">
        <f t="shared" si="40"/>
        <v>GL2050;zomer;216;95;0.12288393641301;TRUE;0.12288393641301</v>
      </c>
    </row>
    <row r="559" spans="1:9" x14ac:dyDescent="0.25">
      <c r="A559">
        <f t="shared" si="39"/>
        <v>20.291666666666664</v>
      </c>
      <c r="B559" t="s">
        <v>19</v>
      </c>
      <c r="C559" t="s">
        <v>11</v>
      </c>
      <c r="D559">
        <v>216</v>
      </c>
      <c r="E559">
        <f t="shared" si="42"/>
        <v>100</v>
      </c>
      <c r="F559" s="22">
        <f>STOWA2015_2050GL_Z!$V21</f>
        <v>9.6039138100191379E-2</v>
      </c>
      <c r="G559" s="22" t="s">
        <v>33</v>
      </c>
      <c r="H559" s="22">
        <f>STOWA2015_2050GL_Z!$V21</f>
        <v>9.6039138100191379E-2</v>
      </c>
      <c r="I559" t="str">
        <f t="shared" si="40"/>
        <v>GL2050;zomer;216;100;9.60391381001914E-02;TRUE;9.60391381001914E-02</v>
      </c>
    </row>
    <row r="560" spans="1:9" x14ac:dyDescent="0.25">
      <c r="A560">
        <f t="shared" si="39"/>
        <v>20.291666666666664</v>
      </c>
      <c r="B560" t="s">
        <v>19</v>
      </c>
      <c r="C560" t="s">
        <v>11</v>
      </c>
      <c r="D560">
        <v>216</v>
      </c>
      <c r="E560">
        <f t="shared" si="42"/>
        <v>105</v>
      </c>
      <c r="F560" s="22">
        <f>STOWA2015_2050GL_Z!$V22</f>
        <v>7.4747728675254199E-2</v>
      </c>
      <c r="G560" s="22" t="s">
        <v>33</v>
      </c>
      <c r="H560" s="22">
        <f>STOWA2015_2050GL_Z!$V22</f>
        <v>7.4747728675254199E-2</v>
      </c>
      <c r="I560" t="str">
        <f t="shared" si="40"/>
        <v>GL2050;zomer;216;105;7.47477286752542E-02;TRUE;7.47477286752542E-02</v>
      </c>
    </row>
    <row r="561" spans="1:9" x14ac:dyDescent="0.25">
      <c r="A561">
        <f t="shared" si="39"/>
        <v>20.291666666666664</v>
      </c>
      <c r="B561" t="s">
        <v>19</v>
      </c>
      <c r="C561" t="s">
        <v>11</v>
      </c>
      <c r="D561">
        <v>216</v>
      </c>
      <c r="E561">
        <f t="shared" si="42"/>
        <v>110</v>
      </c>
      <c r="F561" s="22">
        <f>STOWA2015_2050GL_Z!$V23</f>
        <v>5.7927204498846196E-2</v>
      </c>
      <c r="G561" s="22" t="s">
        <v>33</v>
      </c>
      <c r="H561" s="22">
        <f>STOWA2015_2050GL_Z!$V23</f>
        <v>5.7927204498846196E-2</v>
      </c>
      <c r="I561" t="str">
        <f t="shared" si="40"/>
        <v>GL2050;zomer;216;110;5.79272044988462E-02;TRUE;5.79272044988462E-02</v>
      </c>
    </row>
    <row r="562" spans="1:9" x14ac:dyDescent="0.25">
      <c r="A562">
        <f t="shared" si="39"/>
        <v>20.291666666666664</v>
      </c>
      <c r="B562" t="s">
        <v>19</v>
      </c>
      <c r="C562" t="s">
        <v>11</v>
      </c>
      <c r="D562">
        <v>216</v>
      </c>
      <c r="E562">
        <f t="shared" si="42"/>
        <v>115</v>
      </c>
      <c r="F562" s="22">
        <f>STOWA2015_2050GL_Z!$V24</f>
        <v>4.4692736799584021E-2</v>
      </c>
      <c r="G562" s="22" t="s">
        <v>33</v>
      </c>
      <c r="H562" s="22">
        <f>STOWA2015_2050GL_Z!$V24</f>
        <v>4.4692736799584021E-2</v>
      </c>
      <c r="I562" t="str">
        <f t="shared" si="40"/>
        <v>GL2050;zomer;216;115;0.044692736799584;TRUE;0.044692736799584</v>
      </c>
    </row>
    <row r="563" spans="1:9" x14ac:dyDescent="0.25">
      <c r="A563">
        <f t="shared" si="39"/>
        <v>20.291666666666664</v>
      </c>
      <c r="B563" t="s">
        <v>19</v>
      </c>
      <c r="C563" t="s">
        <v>11</v>
      </c>
      <c r="D563">
        <v>216</v>
      </c>
      <c r="E563">
        <f t="shared" si="42"/>
        <v>120</v>
      </c>
      <c r="F563" s="22">
        <f>STOWA2015_2050GL_Z!$V25</f>
        <v>3.4323586916151588E-2</v>
      </c>
      <c r="G563" s="22" t="s">
        <v>33</v>
      </c>
      <c r="H563" s="22">
        <f>STOWA2015_2050GL_Z!$V25</f>
        <v>3.4323586916151588E-2</v>
      </c>
      <c r="I563" t="str">
        <f t="shared" si="40"/>
        <v>GL2050;zomer;216;120;3.43235869161516E-02;TRUE;3.43235869161516E-02</v>
      </c>
    </row>
    <row r="564" spans="1:9" x14ac:dyDescent="0.25">
      <c r="A564">
        <f t="shared" si="39"/>
        <v>20.291666666666664</v>
      </c>
      <c r="B564" t="s">
        <v>19</v>
      </c>
      <c r="C564" t="s">
        <v>11</v>
      </c>
      <c r="D564">
        <v>216</v>
      </c>
      <c r="E564">
        <f t="shared" si="42"/>
        <v>125</v>
      </c>
      <c r="F564" s="22">
        <f>STOWA2015_2050GL_Z!$V26</f>
        <v>2.6234786871563609E-2</v>
      </c>
      <c r="G564" s="22" t="s">
        <v>33</v>
      </c>
      <c r="H564" s="22">
        <f>STOWA2015_2050GL_Z!$V26</f>
        <v>2.6234786871563609E-2</v>
      </c>
      <c r="I564" t="str">
        <f t="shared" si="40"/>
        <v>GL2050;zomer;216;125;2.62347868715636E-02;TRUE;2.62347868715636E-02</v>
      </c>
    </row>
    <row r="565" spans="1:9" x14ac:dyDescent="0.25">
      <c r="A565">
        <f t="shared" si="39"/>
        <v>20.291666666666664</v>
      </c>
      <c r="B565" t="s">
        <v>19</v>
      </c>
      <c r="C565" t="s">
        <v>11</v>
      </c>
      <c r="D565">
        <v>216</v>
      </c>
      <c r="E565">
        <f t="shared" si="42"/>
        <v>130</v>
      </c>
      <c r="F565" s="22">
        <f>STOWA2015_2050GL_Z!$V27</f>
        <v>1.9953331158944224E-2</v>
      </c>
      <c r="G565" s="22" t="s">
        <v>33</v>
      </c>
      <c r="H565" s="22">
        <f>STOWA2015_2050GL_Z!$V27</f>
        <v>1.9953331158944224E-2</v>
      </c>
      <c r="I565" t="str">
        <f t="shared" si="40"/>
        <v>GL2050;zomer;216;130;1.99533311589442E-02;TRUE;1.99533311589442E-02</v>
      </c>
    </row>
    <row r="566" spans="1:9" x14ac:dyDescent="0.25">
      <c r="A566">
        <f t="shared" si="39"/>
        <v>20.291666666666664</v>
      </c>
      <c r="B566" t="s">
        <v>19</v>
      </c>
      <c r="C566" t="s">
        <v>11</v>
      </c>
      <c r="D566">
        <v>216</v>
      </c>
      <c r="E566">
        <f t="shared" si="42"/>
        <v>135</v>
      </c>
      <c r="F566" s="22">
        <f>STOWA2015_2050GL_Z!$V28</f>
        <v>1.50982230626008E-2</v>
      </c>
      <c r="G566" s="22" t="s">
        <v>33</v>
      </c>
      <c r="H566" s="22">
        <f>STOWA2015_2050GL_Z!$V28</f>
        <v>1.50982230626008E-2</v>
      </c>
      <c r="I566" t="str">
        <f t="shared" si="40"/>
        <v>GL2050;zomer;216;135;1.50982230626008E-02;TRUE;1.50982230626008E-02</v>
      </c>
    </row>
    <row r="567" spans="1:9" x14ac:dyDescent="0.25">
      <c r="A567">
        <f t="shared" si="39"/>
        <v>20.291666666666664</v>
      </c>
      <c r="B567" t="s">
        <v>19</v>
      </c>
      <c r="C567" t="s">
        <v>11</v>
      </c>
      <c r="D567">
        <v>216</v>
      </c>
      <c r="E567">
        <f t="shared" si="42"/>
        <v>140</v>
      </c>
      <c r="F567" s="22">
        <f>STOWA2015_2050GL_Z!$V29</f>
        <v>1.1363805102728601E-2</v>
      </c>
      <c r="G567" s="22" t="s">
        <v>33</v>
      </c>
      <c r="H567" s="22">
        <f>STOWA2015_2050GL_Z!$V29</f>
        <v>1.1363805102728601E-2</v>
      </c>
      <c r="I567" t="str">
        <f t="shared" si="40"/>
        <v>GL2050;zomer;216;140;1.13638051027286E-02;TRUE;1.13638051027286E-02</v>
      </c>
    </row>
    <row r="568" spans="1:9" x14ac:dyDescent="0.25">
      <c r="A568">
        <f t="shared" si="39"/>
        <v>20.291666666666664</v>
      </c>
      <c r="B568" t="s">
        <v>19</v>
      </c>
      <c r="C568" t="s">
        <v>11</v>
      </c>
      <c r="D568">
        <v>216</v>
      </c>
      <c r="E568">
        <f t="shared" si="42"/>
        <v>145</v>
      </c>
      <c r="F568" s="22">
        <f>STOWA2015_2050GL_Z!$V30</f>
        <v>8.5058793919268634E-3</v>
      </c>
      <c r="G568" s="22" t="s">
        <v>33</v>
      </c>
      <c r="H568" s="22">
        <f>STOWA2015_2050GL_Z!$V30</f>
        <v>8.5058793919268634E-3</v>
      </c>
      <c r="I568" t="str">
        <f t="shared" si="40"/>
        <v>GL2050;zomer;216;145;8.50587939192686E-03;TRUE;8.50587939192686E-03</v>
      </c>
    </row>
    <row r="569" spans="1:9" x14ac:dyDescent="0.25">
      <c r="A569">
        <f t="shared" si="39"/>
        <v>20.291666666666664</v>
      </c>
      <c r="B569" t="s">
        <v>19</v>
      </c>
      <c r="C569" t="s">
        <v>11</v>
      </c>
      <c r="D569">
        <v>216</v>
      </c>
      <c r="E569">
        <f t="shared" si="42"/>
        <v>150</v>
      </c>
      <c r="F569" s="22">
        <f>STOWA2015_2050GL_Z!$V31</f>
        <v>6.3301908479562081E-3</v>
      </c>
      <c r="G569" s="22" t="s">
        <v>33</v>
      </c>
      <c r="H569" s="22">
        <f>STOWA2015_2050GL_Z!$V31</f>
        <v>6.3301908479562081E-3</v>
      </c>
      <c r="I569" t="str">
        <f t="shared" si="40"/>
        <v>GL2050;zomer;216;150;6.33019084795621E-03;TRUE;6.33019084795621E-03</v>
      </c>
    </row>
    <row r="570" spans="1:9" x14ac:dyDescent="0.25">
      <c r="A570">
        <f t="shared" si="39"/>
        <v>20.291666666666664</v>
      </c>
      <c r="B570" t="s">
        <v>19</v>
      </c>
      <c r="C570" t="s">
        <v>11</v>
      </c>
      <c r="D570">
        <v>216</v>
      </c>
      <c r="E570">
        <f t="shared" si="42"/>
        <v>155</v>
      </c>
      <c r="F570" s="22">
        <f>STOWA2015_2050GL_Z!$V32</f>
        <v>1.6871455855179927E-2</v>
      </c>
      <c r="G570" s="22" t="s">
        <v>33</v>
      </c>
      <c r="H570" s="22">
        <f>STOWA2015_2050GL_Z!$V32</f>
        <v>1.6871455855179927E-2</v>
      </c>
      <c r="I570" t="str">
        <f t="shared" si="40"/>
        <v>GL2050;zomer;216;155;1.68714558551799E-02;TRUE;1.68714558551799E-02</v>
      </c>
    </row>
    <row r="571" spans="1:9" x14ac:dyDescent="0.25">
      <c r="A571">
        <f t="shared" si="39"/>
        <v>182.625</v>
      </c>
      <c r="B571" t="s">
        <v>19</v>
      </c>
      <c r="C571" t="s">
        <v>7</v>
      </c>
      <c r="D571">
        <v>24</v>
      </c>
      <c r="E571">
        <v>15</v>
      </c>
      <c r="F571" s="22">
        <f>STOWA2015_2050GL_W!$F4</f>
        <v>361.08923113175723</v>
      </c>
      <c r="G571" s="22" t="s">
        <v>33</v>
      </c>
      <c r="H571" s="22">
        <f>STOWA2015_2050GL_W!$F4</f>
        <v>361.08923113175723</v>
      </c>
      <c r="I571" t="str">
        <f t="shared" si="40"/>
        <v>GL2050;winter;24;15;361.089231131757;TRUE;361.089231131757</v>
      </c>
    </row>
    <row r="572" spans="1:9" x14ac:dyDescent="0.25">
      <c r="A572">
        <f t="shared" si="39"/>
        <v>182.625</v>
      </c>
      <c r="B572" t="s">
        <v>19</v>
      </c>
      <c r="C572" t="s">
        <v>7</v>
      </c>
      <c r="D572">
        <v>24</v>
      </c>
      <c r="E572">
        <f>E571+5</f>
        <v>20</v>
      </c>
      <c r="F572" s="22">
        <f>STOWA2015_2050GL_W!$F5</f>
        <v>2.4434570543268901</v>
      </c>
      <c r="G572" s="22" t="s">
        <v>33</v>
      </c>
      <c r="H572" s="22">
        <f>STOWA2015_2050GL_W!$F5</f>
        <v>2.4434570543268901</v>
      </c>
      <c r="I572" t="str">
        <f t="shared" si="40"/>
        <v>GL2050;winter;24;20;2.44345705432689;TRUE;2.44345705432689</v>
      </c>
    </row>
    <row r="573" spans="1:9" x14ac:dyDescent="0.25">
      <c r="A573">
        <f t="shared" si="39"/>
        <v>182.625</v>
      </c>
      <c r="B573" t="s">
        <v>19</v>
      </c>
      <c r="C573" t="s">
        <v>7</v>
      </c>
      <c r="D573">
        <v>24</v>
      </c>
      <c r="E573">
        <f t="shared" ref="E573:E587" si="43">E572+5</f>
        <v>25</v>
      </c>
      <c r="F573" s="22">
        <f>STOWA2015_2050GL_W!$F6</f>
        <v>0.96939565531742666</v>
      </c>
      <c r="G573" s="22" t="s">
        <v>33</v>
      </c>
      <c r="H573" s="22">
        <f>STOWA2015_2050GL_W!$F6</f>
        <v>0.96939565531742666</v>
      </c>
      <c r="I573" t="str">
        <f t="shared" si="40"/>
        <v>GL2050;winter;24;25;0.969395655317427;TRUE;0.969395655317427</v>
      </c>
    </row>
    <row r="574" spans="1:9" x14ac:dyDescent="0.25">
      <c r="A574">
        <f t="shared" si="39"/>
        <v>182.625</v>
      </c>
      <c r="B574" t="s">
        <v>19</v>
      </c>
      <c r="C574" t="s">
        <v>7</v>
      </c>
      <c r="D574">
        <v>24</v>
      </c>
      <c r="E574">
        <f t="shared" si="43"/>
        <v>30</v>
      </c>
      <c r="F574" s="22">
        <f>STOWA2015_2050GL_W!$F7</f>
        <v>0.4063190418033838</v>
      </c>
      <c r="G574" s="22" t="s">
        <v>33</v>
      </c>
      <c r="H574" s="22">
        <f>STOWA2015_2050GL_W!$F7</f>
        <v>0.4063190418033838</v>
      </c>
      <c r="I574" t="str">
        <f t="shared" si="40"/>
        <v>GL2050;winter;24;30;0.406319041803384;TRUE;0.406319041803384</v>
      </c>
    </row>
    <row r="575" spans="1:9" x14ac:dyDescent="0.25">
      <c r="A575">
        <f t="shared" si="39"/>
        <v>182.625</v>
      </c>
      <c r="B575" t="s">
        <v>19</v>
      </c>
      <c r="C575" t="s">
        <v>7</v>
      </c>
      <c r="D575">
        <v>24</v>
      </c>
      <c r="E575">
        <f t="shared" si="43"/>
        <v>35</v>
      </c>
      <c r="F575" s="22">
        <f>STOWA2015_2050GL_W!$F8</f>
        <v>0.17881892471585908</v>
      </c>
      <c r="G575" s="22" t="s">
        <v>33</v>
      </c>
      <c r="H575" s="22">
        <f>STOWA2015_2050GL_W!$F8</f>
        <v>0.17881892471585908</v>
      </c>
      <c r="I575" t="str">
        <f t="shared" si="40"/>
        <v>GL2050;winter;24;35;0.178818924715859;TRUE;0.178818924715859</v>
      </c>
    </row>
    <row r="576" spans="1:9" x14ac:dyDescent="0.25">
      <c r="A576">
        <f t="shared" si="39"/>
        <v>182.625</v>
      </c>
      <c r="B576" t="s">
        <v>19</v>
      </c>
      <c r="C576" t="s">
        <v>7</v>
      </c>
      <c r="D576">
        <v>24</v>
      </c>
      <c r="E576">
        <f t="shared" si="43"/>
        <v>40</v>
      </c>
      <c r="F576" s="22">
        <f>STOWA2015_2050GL_W!$F9</f>
        <v>8.2201966000354426E-2</v>
      </c>
      <c r="G576" s="22" t="s">
        <v>33</v>
      </c>
      <c r="H576" s="22">
        <f>STOWA2015_2050GL_W!$F9</f>
        <v>8.2201966000354426E-2</v>
      </c>
      <c r="I576" t="str">
        <f t="shared" si="40"/>
        <v>GL2050;winter;24;40;8.22019660003544E-02;TRUE;8.22019660003544E-02</v>
      </c>
    </row>
    <row r="577" spans="1:9" x14ac:dyDescent="0.25">
      <c r="A577">
        <f t="shared" si="39"/>
        <v>182.625</v>
      </c>
      <c r="B577" t="s">
        <v>19</v>
      </c>
      <c r="C577" t="s">
        <v>7</v>
      </c>
      <c r="D577">
        <v>24</v>
      </c>
      <c r="E577">
        <f t="shared" si="43"/>
        <v>45</v>
      </c>
      <c r="F577" s="22">
        <f>STOWA2015_2050GL_W!$F10</f>
        <v>3.9296998348265638E-2</v>
      </c>
      <c r="G577" s="22" t="s">
        <v>33</v>
      </c>
      <c r="H577" s="22">
        <f>STOWA2015_2050GL_W!$F10</f>
        <v>3.9296998348265638E-2</v>
      </c>
      <c r="I577" t="str">
        <f t="shared" si="40"/>
        <v>GL2050;winter;24;45;3.92969983482656E-02;TRUE;3.92969983482656E-02</v>
      </c>
    </row>
    <row r="578" spans="1:9" x14ac:dyDescent="0.25">
      <c r="A578">
        <f t="shared" ref="A578:A641" si="44">IF(C578="zomer",24/D578*365.25 * 6/12,24/D578*365.25 * 6/12)</f>
        <v>182.625</v>
      </c>
      <c r="B578" t="s">
        <v>19</v>
      </c>
      <c r="C578" t="s">
        <v>7</v>
      </c>
      <c r="D578">
        <v>24</v>
      </c>
      <c r="E578">
        <f t="shared" si="43"/>
        <v>50</v>
      </c>
      <c r="F578" s="22">
        <f>STOWA2015_2050GL_W!$F11</f>
        <v>1.946293012664416E-2</v>
      </c>
      <c r="G578" s="22" t="s">
        <v>33</v>
      </c>
      <c r="H578" s="22">
        <f>STOWA2015_2050GL_W!$F11</f>
        <v>1.946293012664416E-2</v>
      </c>
      <c r="I578" t="str">
        <f t="shared" ref="I578:I641" si="45">CONCATENATEWITHDELIMITER(B578:H578,";")</f>
        <v>GL2050;winter;24;50;1.94629301266442E-02;TRUE;1.94629301266442E-02</v>
      </c>
    </row>
    <row r="579" spans="1:9" x14ac:dyDescent="0.25">
      <c r="A579">
        <f t="shared" si="44"/>
        <v>182.625</v>
      </c>
      <c r="B579" t="s">
        <v>19</v>
      </c>
      <c r="C579" t="s">
        <v>7</v>
      </c>
      <c r="D579">
        <v>24</v>
      </c>
      <c r="E579">
        <f t="shared" si="43"/>
        <v>55</v>
      </c>
      <c r="F579" s="22">
        <f>STOWA2015_2050GL_W!$F12</f>
        <v>9.9544660772364763E-3</v>
      </c>
      <c r="G579" s="22" t="s">
        <v>33</v>
      </c>
      <c r="H579" s="22">
        <f>STOWA2015_2050GL_W!$F12</f>
        <v>9.9544660772364763E-3</v>
      </c>
      <c r="I579" t="str">
        <f t="shared" si="45"/>
        <v>GL2050;winter;24;55;9.95446607723648E-03;TRUE;9.95446607723648E-03</v>
      </c>
    </row>
    <row r="580" spans="1:9" x14ac:dyDescent="0.25">
      <c r="A580">
        <f t="shared" si="44"/>
        <v>182.625</v>
      </c>
      <c r="B580" t="s">
        <v>19</v>
      </c>
      <c r="C580" t="s">
        <v>7</v>
      </c>
      <c r="D580">
        <v>24</v>
      </c>
      <c r="E580">
        <f t="shared" si="43"/>
        <v>60</v>
      </c>
      <c r="F580" s="22">
        <f>STOWA2015_2050GL_W!$F13</f>
        <v>5.2428084732374317E-3</v>
      </c>
      <c r="G580" s="22" t="s">
        <v>33</v>
      </c>
      <c r="H580" s="22">
        <f>STOWA2015_2050GL_W!$F13</f>
        <v>5.2428084732374317E-3</v>
      </c>
      <c r="I580" t="str">
        <f t="shared" si="45"/>
        <v>GL2050;winter;24;60;5.24280847323743E-03;TRUE;5.24280847323743E-03</v>
      </c>
    </row>
    <row r="581" spans="1:9" x14ac:dyDescent="0.25">
      <c r="A581">
        <f t="shared" si="44"/>
        <v>182.625</v>
      </c>
      <c r="B581" t="s">
        <v>19</v>
      </c>
      <c r="C581" t="s">
        <v>7</v>
      </c>
      <c r="D581">
        <v>24</v>
      </c>
      <c r="E581">
        <f t="shared" si="43"/>
        <v>65</v>
      </c>
      <c r="F581" s="22">
        <f>STOWA2015_2050GL_W!$F14</f>
        <v>2.8364580665907451E-3</v>
      </c>
      <c r="G581" s="22" t="s">
        <v>33</v>
      </c>
      <c r="H581" s="22">
        <f>STOWA2015_2050GL_W!$F14</f>
        <v>2.8364580665907451E-3</v>
      </c>
      <c r="I581" t="str">
        <f t="shared" si="45"/>
        <v>GL2050;winter;24;65;2.83645806659075E-03;TRUE;2.83645806659075E-03</v>
      </c>
    </row>
    <row r="582" spans="1:9" x14ac:dyDescent="0.25">
      <c r="A582">
        <f t="shared" si="44"/>
        <v>182.625</v>
      </c>
      <c r="B582" t="s">
        <v>19</v>
      </c>
      <c r="C582" t="s">
        <v>7</v>
      </c>
      <c r="D582">
        <v>24</v>
      </c>
      <c r="E582">
        <f t="shared" si="43"/>
        <v>70</v>
      </c>
      <c r="F582" s="22">
        <f>STOWA2015_2050GL_W!$F15</f>
        <v>1.5729496694119904E-3</v>
      </c>
      <c r="G582" s="22" t="s">
        <v>33</v>
      </c>
      <c r="H582" s="22">
        <f>STOWA2015_2050GL_W!$F15</f>
        <v>1.5729496694119904E-3</v>
      </c>
      <c r="I582" t="str">
        <f t="shared" si="45"/>
        <v>GL2050;winter;24;70;1.57294966941199E-03;TRUE;1.57294966941199E-03</v>
      </c>
    </row>
    <row r="583" spans="1:9" x14ac:dyDescent="0.25">
      <c r="A583">
        <f t="shared" si="44"/>
        <v>182.625</v>
      </c>
      <c r="B583" t="s">
        <v>19</v>
      </c>
      <c r="C583" t="s">
        <v>7</v>
      </c>
      <c r="D583">
        <v>24</v>
      </c>
      <c r="E583">
        <f t="shared" si="43"/>
        <v>75</v>
      </c>
      <c r="F583" s="22">
        <f>STOWA2015_2050GL_W!$F16</f>
        <v>8.9237743739078415E-4</v>
      </c>
      <c r="G583" s="22" t="s">
        <v>33</v>
      </c>
      <c r="H583" s="22">
        <f>STOWA2015_2050GL_W!$F16</f>
        <v>8.9237743739078415E-4</v>
      </c>
      <c r="I583" t="str">
        <f t="shared" si="45"/>
        <v>GL2050;winter;24;75;8.92377437390784E-04;TRUE;8.92377437390784E-04</v>
      </c>
    </row>
    <row r="584" spans="1:9" x14ac:dyDescent="0.25">
      <c r="A584">
        <f t="shared" si="44"/>
        <v>182.625</v>
      </c>
      <c r="B584" t="s">
        <v>19</v>
      </c>
      <c r="C584" t="s">
        <v>7</v>
      </c>
      <c r="D584">
        <v>24</v>
      </c>
      <c r="E584">
        <f t="shared" si="43"/>
        <v>80</v>
      </c>
      <c r="F584" s="22">
        <f>STOWA2015_2050GL_W!$F17</f>
        <v>5.1705879996173621E-4</v>
      </c>
      <c r="G584" s="22" t="s">
        <v>33</v>
      </c>
      <c r="H584" s="22">
        <f>STOWA2015_2050GL_W!$F17</f>
        <v>5.1705879996173621E-4</v>
      </c>
      <c r="I584" t="str">
        <f t="shared" si="45"/>
        <v>GL2050;winter;24;80;5.17058799961736E-04;TRUE;5.17058799961736E-04</v>
      </c>
    </row>
    <row r="585" spans="1:9" x14ac:dyDescent="0.25">
      <c r="A585">
        <f t="shared" si="44"/>
        <v>182.625</v>
      </c>
      <c r="B585" t="s">
        <v>19</v>
      </c>
      <c r="C585" t="s">
        <v>7</v>
      </c>
      <c r="D585">
        <v>24</v>
      </c>
      <c r="E585">
        <f t="shared" si="43"/>
        <v>85</v>
      </c>
      <c r="F585" s="22">
        <f>STOWA2015_2050GL_W!$F18</f>
        <v>3.0551381200133129E-4</v>
      </c>
      <c r="G585" s="22" t="s">
        <v>33</v>
      </c>
      <c r="H585" s="22">
        <f>STOWA2015_2050GL_W!$F18</f>
        <v>3.0551381200133129E-4</v>
      </c>
      <c r="I585" t="str">
        <f t="shared" si="45"/>
        <v>GL2050;winter;24;85;3.05513812001331E-04;TRUE;3.05513812001331E-04</v>
      </c>
    </row>
    <row r="586" spans="1:9" x14ac:dyDescent="0.25">
      <c r="A586">
        <f t="shared" si="44"/>
        <v>182.625</v>
      </c>
      <c r="B586" t="s">
        <v>19</v>
      </c>
      <c r="C586" t="s">
        <v>7</v>
      </c>
      <c r="D586">
        <v>24</v>
      </c>
      <c r="E586">
        <f t="shared" si="43"/>
        <v>90</v>
      </c>
      <c r="F586" s="22">
        <f>STOWA2015_2050GL_W!$F19</f>
        <v>1.8383655164796092E-4</v>
      </c>
      <c r="G586" s="22" t="s">
        <v>33</v>
      </c>
      <c r="H586" s="22">
        <f>STOWA2015_2050GL_W!$F19</f>
        <v>1.8383655164796092E-4</v>
      </c>
      <c r="I586" t="str">
        <f t="shared" si="45"/>
        <v>GL2050;winter;24;90;1.83836551647961E-04;TRUE;1.83836551647961E-04</v>
      </c>
    </row>
    <row r="587" spans="1:9" x14ac:dyDescent="0.25">
      <c r="A587">
        <f t="shared" si="44"/>
        <v>182.625</v>
      </c>
      <c r="B587" t="s">
        <v>19</v>
      </c>
      <c r="C587" t="s">
        <v>7</v>
      </c>
      <c r="D587">
        <v>24</v>
      </c>
      <c r="E587">
        <f t="shared" si="43"/>
        <v>95</v>
      </c>
      <c r="F587" s="22">
        <f>STOWA2015_2050GL_W!$F20</f>
        <v>3.1082871645562218E-4</v>
      </c>
      <c r="G587" s="22" t="s">
        <v>33</v>
      </c>
      <c r="H587" s="22">
        <f>STOWA2015_2050GL_W!$F20</f>
        <v>3.1082871645562218E-4</v>
      </c>
      <c r="I587" t="str">
        <f t="shared" si="45"/>
        <v>GL2050;winter;24;95;3.10828716455622E-04;TRUE;3.10828716455622E-04</v>
      </c>
    </row>
    <row r="588" spans="1:9" x14ac:dyDescent="0.25">
      <c r="A588">
        <f t="shared" si="44"/>
        <v>91.3125</v>
      </c>
      <c r="B588" t="s">
        <v>19</v>
      </c>
      <c r="C588" t="s">
        <v>7</v>
      </c>
      <c r="D588">
        <v>48</v>
      </c>
      <c r="E588">
        <v>15</v>
      </c>
      <c r="F588" s="22">
        <f>STOWA2015_2050GL_W!$J4</f>
        <v>173.40825008257741</v>
      </c>
      <c r="G588" s="22" t="s">
        <v>33</v>
      </c>
      <c r="H588" s="22">
        <f>STOWA2015_2050GL_W!$J4</f>
        <v>173.40825008257741</v>
      </c>
      <c r="I588" t="str">
        <f t="shared" si="45"/>
        <v>GL2050;winter;48;15;173.408250082577;TRUE;173.408250082577</v>
      </c>
    </row>
    <row r="589" spans="1:9" x14ac:dyDescent="0.25">
      <c r="A589">
        <f t="shared" si="44"/>
        <v>91.3125</v>
      </c>
      <c r="B589" t="s">
        <v>19</v>
      </c>
      <c r="C589" t="s">
        <v>7</v>
      </c>
      <c r="D589">
        <v>48</v>
      </c>
      <c r="E589">
        <f>E588+5</f>
        <v>20</v>
      </c>
      <c r="F589" s="22">
        <f>STOWA2015_2050GL_W!$J5</f>
        <v>4.5570574220134308</v>
      </c>
      <c r="G589" s="22" t="s">
        <v>33</v>
      </c>
      <c r="H589" s="22">
        <f>STOWA2015_2050GL_W!$J5</f>
        <v>4.5570574220134308</v>
      </c>
      <c r="I589" t="str">
        <f t="shared" si="45"/>
        <v>GL2050;winter;48;20;4.55705742201343;TRUE;4.55705742201343</v>
      </c>
    </row>
    <row r="590" spans="1:9" x14ac:dyDescent="0.25">
      <c r="A590">
        <f t="shared" si="44"/>
        <v>91.3125</v>
      </c>
      <c r="B590" t="s">
        <v>19</v>
      </c>
      <c r="C590" t="s">
        <v>7</v>
      </c>
      <c r="D590">
        <v>48</v>
      </c>
      <c r="E590">
        <f t="shared" ref="E590:E606" si="46">E589+5</f>
        <v>25</v>
      </c>
      <c r="F590" s="22">
        <f>STOWA2015_2050GL_W!$J6</f>
        <v>2.2440306584168312</v>
      </c>
      <c r="G590" s="22" t="s">
        <v>33</v>
      </c>
      <c r="H590" s="22">
        <f>STOWA2015_2050GL_W!$J6</f>
        <v>2.2440306584168312</v>
      </c>
      <c r="I590" t="str">
        <f t="shared" si="45"/>
        <v>GL2050;winter;48;25;2.24403065841683;TRUE;2.24403065841683</v>
      </c>
    </row>
    <row r="591" spans="1:9" x14ac:dyDescent="0.25">
      <c r="A591">
        <f t="shared" si="44"/>
        <v>91.3125</v>
      </c>
      <c r="B591" t="s">
        <v>19</v>
      </c>
      <c r="C591" t="s">
        <v>7</v>
      </c>
      <c r="D591">
        <v>48</v>
      </c>
      <c r="E591">
        <f t="shared" si="46"/>
        <v>30</v>
      </c>
      <c r="F591" s="22">
        <f>STOWA2015_2050GL_W!$J7</f>
        <v>1.133801404615832</v>
      </c>
      <c r="G591" s="22" t="s">
        <v>33</v>
      </c>
      <c r="H591" s="22">
        <f>STOWA2015_2050GL_W!$J7</f>
        <v>1.133801404615832</v>
      </c>
      <c r="I591" t="str">
        <f t="shared" si="45"/>
        <v>GL2050;winter;48;30;1.13380140461583;TRUE;1.13380140461583</v>
      </c>
    </row>
    <row r="592" spans="1:9" x14ac:dyDescent="0.25">
      <c r="A592">
        <f t="shared" si="44"/>
        <v>91.3125</v>
      </c>
      <c r="B592" t="s">
        <v>19</v>
      </c>
      <c r="C592" t="s">
        <v>7</v>
      </c>
      <c r="D592">
        <v>48</v>
      </c>
      <c r="E592">
        <f t="shared" si="46"/>
        <v>35</v>
      </c>
      <c r="F592" s="22">
        <f>STOWA2015_2050GL_W!$J8</f>
        <v>0.58671298527841553</v>
      </c>
      <c r="G592" s="22" t="s">
        <v>33</v>
      </c>
      <c r="H592" s="22">
        <f>STOWA2015_2050GL_W!$J8</f>
        <v>0.58671298527841553</v>
      </c>
      <c r="I592" t="str">
        <f t="shared" si="45"/>
        <v>GL2050;winter;48;35;0.586712985278416;TRUE;0.586712985278416</v>
      </c>
    </row>
    <row r="593" spans="1:9" x14ac:dyDescent="0.25">
      <c r="A593">
        <f t="shared" si="44"/>
        <v>91.3125</v>
      </c>
      <c r="B593" t="s">
        <v>19</v>
      </c>
      <c r="C593" t="s">
        <v>7</v>
      </c>
      <c r="D593">
        <v>48</v>
      </c>
      <c r="E593">
        <f t="shared" si="46"/>
        <v>40</v>
      </c>
      <c r="F593" s="22">
        <f>STOWA2015_2050GL_W!$J9</f>
        <v>0.3104497482057787</v>
      </c>
      <c r="G593" s="22" t="s">
        <v>33</v>
      </c>
      <c r="H593" s="22">
        <f>STOWA2015_2050GL_W!$J9</f>
        <v>0.3104497482057787</v>
      </c>
      <c r="I593" t="str">
        <f t="shared" si="45"/>
        <v>GL2050;winter;48;40;0.310449748205779;TRUE;0.310449748205779</v>
      </c>
    </row>
    <row r="594" spans="1:9" x14ac:dyDescent="0.25">
      <c r="A594">
        <f t="shared" si="44"/>
        <v>91.3125</v>
      </c>
      <c r="B594" t="s">
        <v>19</v>
      </c>
      <c r="C594" t="s">
        <v>7</v>
      </c>
      <c r="D594">
        <v>48</v>
      </c>
      <c r="E594">
        <f t="shared" si="46"/>
        <v>45</v>
      </c>
      <c r="F594" s="22">
        <f>STOWA2015_2050GL_W!$J10</f>
        <v>0.16772566895526217</v>
      </c>
      <c r="G594" s="22" t="s">
        <v>33</v>
      </c>
      <c r="H594" s="22">
        <f>STOWA2015_2050GL_W!$J10</f>
        <v>0.16772566895526217</v>
      </c>
      <c r="I594" t="str">
        <f t="shared" si="45"/>
        <v>GL2050;winter;48;45;0.167725668955262;TRUE;0.167725668955262</v>
      </c>
    </row>
    <row r="595" spans="1:9" x14ac:dyDescent="0.25">
      <c r="A595">
        <f t="shared" si="44"/>
        <v>91.3125</v>
      </c>
      <c r="B595" t="s">
        <v>19</v>
      </c>
      <c r="C595" t="s">
        <v>7</v>
      </c>
      <c r="D595">
        <v>48</v>
      </c>
      <c r="E595">
        <f t="shared" si="46"/>
        <v>50</v>
      </c>
      <c r="F595" s="22">
        <f>STOWA2015_2050GL_W!$J11</f>
        <v>9.2400974520560147E-2</v>
      </c>
      <c r="G595" s="22" t="s">
        <v>33</v>
      </c>
      <c r="H595" s="22">
        <f>STOWA2015_2050GL_W!$J11</f>
        <v>9.2400974520560147E-2</v>
      </c>
      <c r="I595" t="str">
        <f t="shared" si="45"/>
        <v>GL2050;winter;48;50;9.24009745205601E-02;TRUE;9.24009745205601E-02</v>
      </c>
    </row>
    <row r="596" spans="1:9" x14ac:dyDescent="0.25">
      <c r="A596">
        <f t="shared" si="44"/>
        <v>91.3125</v>
      </c>
      <c r="B596" t="s">
        <v>19</v>
      </c>
      <c r="C596" t="s">
        <v>7</v>
      </c>
      <c r="D596">
        <v>48</v>
      </c>
      <c r="E596">
        <f t="shared" si="46"/>
        <v>55</v>
      </c>
      <c r="F596" s="22">
        <f>STOWA2015_2050GL_W!$J12</f>
        <v>5.1844367022571988E-2</v>
      </c>
      <c r="G596" s="22" t="s">
        <v>33</v>
      </c>
      <c r="H596" s="22">
        <f>STOWA2015_2050GL_W!$J12</f>
        <v>5.1844367022571988E-2</v>
      </c>
      <c r="I596" t="str">
        <f t="shared" si="45"/>
        <v>GL2050;winter;48;55;0.051844367022572;TRUE;0.051844367022572</v>
      </c>
    </row>
    <row r="597" spans="1:9" x14ac:dyDescent="0.25">
      <c r="A597">
        <f t="shared" si="44"/>
        <v>91.3125</v>
      </c>
      <c r="B597" t="s">
        <v>19</v>
      </c>
      <c r="C597" t="s">
        <v>7</v>
      </c>
      <c r="D597">
        <v>48</v>
      </c>
      <c r="E597">
        <f t="shared" si="46"/>
        <v>60</v>
      </c>
      <c r="F597" s="22">
        <f>STOWA2015_2050GL_W!$J13</f>
        <v>2.9593783238768503E-2</v>
      </c>
      <c r="G597" s="22" t="s">
        <v>33</v>
      </c>
      <c r="H597" s="22">
        <f>STOWA2015_2050GL_W!$J13</f>
        <v>2.9593783238768503E-2</v>
      </c>
      <c r="I597" t="str">
        <f t="shared" si="45"/>
        <v>GL2050;winter;48;60;2.95937832387685E-02;TRUE;2.95937832387685E-02</v>
      </c>
    </row>
    <row r="598" spans="1:9" x14ac:dyDescent="0.25">
      <c r="A598">
        <f t="shared" si="44"/>
        <v>91.3125</v>
      </c>
      <c r="B598" t="s">
        <v>19</v>
      </c>
      <c r="C598" t="s">
        <v>7</v>
      </c>
      <c r="D598">
        <v>48</v>
      </c>
      <c r="E598">
        <f t="shared" si="46"/>
        <v>65</v>
      </c>
      <c r="F598" s="22">
        <f>STOWA2015_2050GL_W!$J14</f>
        <v>1.7168818902589006E-2</v>
      </c>
      <c r="G598" s="22" t="s">
        <v>33</v>
      </c>
      <c r="H598" s="22">
        <f>STOWA2015_2050GL_W!$J14</f>
        <v>1.7168818902589006E-2</v>
      </c>
      <c r="I598" t="str">
        <f t="shared" si="45"/>
        <v>GL2050;winter;48;65;0.017168818902589;TRUE;0.017168818902589</v>
      </c>
    </row>
    <row r="599" spans="1:9" x14ac:dyDescent="0.25">
      <c r="A599">
        <f t="shared" si="44"/>
        <v>91.3125</v>
      </c>
      <c r="B599" t="s">
        <v>19</v>
      </c>
      <c r="C599" t="s">
        <v>7</v>
      </c>
      <c r="D599">
        <v>48</v>
      </c>
      <c r="E599">
        <f t="shared" si="46"/>
        <v>70</v>
      </c>
      <c r="F599" s="22">
        <f>STOWA2015_2050GL_W!$J15</f>
        <v>1.0114050012696236E-2</v>
      </c>
      <c r="G599" s="22" t="s">
        <v>33</v>
      </c>
      <c r="H599" s="22">
        <f>STOWA2015_2050GL_W!$J15</f>
        <v>1.0114050012696236E-2</v>
      </c>
      <c r="I599" t="str">
        <f t="shared" si="45"/>
        <v>GL2050;winter;48;70;1.01140500126962E-02;TRUE;1.01140500126962E-02</v>
      </c>
    </row>
    <row r="600" spans="1:9" x14ac:dyDescent="0.25">
      <c r="A600">
        <f t="shared" si="44"/>
        <v>91.3125</v>
      </c>
      <c r="B600" t="s">
        <v>19</v>
      </c>
      <c r="C600" t="s">
        <v>7</v>
      </c>
      <c r="D600">
        <v>48</v>
      </c>
      <c r="E600">
        <f t="shared" si="46"/>
        <v>75</v>
      </c>
      <c r="F600" s="22">
        <f>STOWA2015_2050GL_W!$J16</f>
        <v>6.0449237145183566E-3</v>
      </c>
      <c r="G600" s="22" t="s">
        <v>33</v>
      </c>
      <c r="H600" s="22">
        <f>STOWA2015_2050GL_W!$J16</f>
        <v>6.0449237145183566E-3</v>
      </c>
      <c r="I600" t="str">
        <f t="shared" si="45"/>
        <v>GL2050;winter;48;75;6.04492371451836E-03;TRUE;6.04492371451836E-03</v>
      </c>
    </row>
    <row r="601" spans="1:9" x14ac:dyDescent="0.25">
      <c r="A601">
        <f t="shared" si="44"/>
        <v>91.3125</v>
      </c>
      <c r="B601" t="s">
        <v>19</v>
      </c>
      <c r="C601" t="s">
        <v>7</v>
      </c>
      <c r="D601">
        <v>48</v>
      </c>
      <c r="E601">
        <f t="shared" si="46"/>
        <v>80</v>
      </c>
      <c r="F601" s="22">
        <f>STOWA2015_2050GL_W!$J17</f>
        <v>3.6627139772449253E-3</v>
      </c>
      <c r="G601" s="22" t="s">
        <v>33</v>
      </c>
      <c r="H601" s="22">
        <f>STOWA2015_2050GL_W!$J17</f>
        <v>3.6627139772449253E-3</v>
      </c>
      <c r="I601" t="str">
        <f t="shared" si="45"/>
        <v>GL2050;winter;48;80;3.66271397724493E-03;TRUE;3.66271397724493E-03</v>
      </c>
    </row>
    <row r="602" spans="1:9" x14ac:dyDescent="0.25">
      <c r="A602">
        <f t="shared" si="44"/>
        <v>91.3125</v>
      </c>
      <c r="B602" t="s">
        <v>19</v>
      </c>
      <c r="C602" t="s">
        <v>7</v>
      </c>
      <c r="D602">
        <v>48</v>
      </c>
      <c r="E602">
        <f t="shared" si="46"/>
        <v>85</v>
      </c>
      <c r="F602" s="22">
        <f>STOWA2015_2050GL_W!$J18</f>
        <v>2.2482940701294631E-3</v>
      </c>
      <c r="G602" s="22" t="s">
        <v>33</v>
      </c>
      <c r="H602" s="22">
        <f>STOWA2015_2050GL_W!$J18</f>
        <v>2.2482940701294631E-3</v>
      </c>
      <c r="I602" t="str">
        <f t="shared" si="45"/>
        <v>GL2050;winter;48;85;2.24829407012946E-03;TRUE;2.24829407012946E-03</v>
      </c>
    </row>
    <row r="603" spans="1:9" x14ac:dyDescent="0.25">
      <c r="A603">
        <f t="shared" si="44"/>
        <v>91.3125</v>
      </c>
      <c r="B603" t="s">
        <v>19</v>
      </c>
      <c r="C603" t="s">
        <v>7</v>
      </c>
      <c r="D603">
        <v>48</v>
      </c>
      <c r="E603">
        <f t="shared" si="46"/>
        <v>90</v>
      </c>
      <c r="F603" s="22">
        <f>STOWA2015_2050GL_W!$J19</f>
        <v>1.3971918885512277E-3</v>
      </c>
      <c r="G603" s="22" t="s">
        <v>33</v>
      </c>
      <c r="H603" s="22">
        <f>STOWA2015_2050GL_W!$J19</f>
        <v>1.3971918885512277E-3</v>
      </c>
      <c r="I603" t="str">
        <f t="shared" si="45"/>
        <v>GL2050;winter;48;90;1.39719188855123E-03;TRUE;1.39719188855123E-03</v>
      </c>
    </row>
    <row r="604" spans="1:9" x14ac:dyDescent="0.25">
      <c r="A604">
        <f t="shared" si="44"/>
        <v>91.3125</v>
      </c>
      <c r="B604" t="s">
        <v>19</v>
      </c>
      <c r="C604" t="s">
        <v>7</v>
      </c>
      <c r="D604">
        <v>48</v>
      </c>
      <c r="E604">
        <f t="shared" si="46"/>
        <v>95</v>
      </c>
      <c r="F604" s="22">
        <f>STOWA2015_2050GL_W!$J20</f>
        <v>8.7851229493457602E-4</v>
      </c>
      <c r="G604" s="22" t="s">
        <v>33</v>
      </c>
      <c r="H604" s="22">
        <f>STOWA2015_2050GL_W!$J20</f>
        <v>8.7851229493457602E-4</v>
      </c>
      <c r="I604" t="str">
        <f t="shared" si="45"/>
        <v>GL2050;winter;48;95;8.78512294934576E-04;TRUE;8.78512294934576E-04</v>
      </c>
    </row>
    <row r="605" spans="1:9" x14ac:dyDescent="0.25">
      <c r="A605">
        <f t="shared" si="44"/>
        <v>91.3125</v>
      </c>
      <c r="B605" t="s">
        <v>19</v>
      </c>
      <c r="C605" t="s">
        <v>7</v>
      </c>
      <c r="D605">
        <v>48</v>
      </c>
      <c r="E605">
        <f t="shared" si="46"/>
        <v>100</v>
      </c>
      <c r="F605" s="22">
        <f>STOWA2015_2050GL_W!$J21</f>
        <v>5.5857767310793093E-4</v>
      </c>
      <c r="G605" s="22" t="s">
        <v>33</v>
      </c>
      <c r="H605" s="22">
        <f>STOWA2015_2050GL_W!$J21</f>
        <v>5.5857767310793093E-4</v>
      </c>
      <c r="I605" t="str">
        <f t="shared" si="45"/>
        <v>GL2050;winter;48;100;5.58577673107931E-04;TRUE;5.58577673107931E-04</v>
      </c>
    </row>
    <row r="606" spans="1:9" x14ac:dyDescent="0.25">
      <c r="A606">
        <f t="shared" si="44"/>
        <v>91.3125</v>
      </c>
      <c r="B606" t="s">
        <v>19</v>
      </c>
      <c r="C606" t="s">
        <v>7</v>
      </c>
      <c r="D606">
        <v>48</v>
      </c>
      <c r="E606">
        <f t="shared" si="46"/>
        <v>105</v>
      </c>
      <c r="F606" s="22">
        <f>STOWA2015_2050GL_W!$J22</f>
        <v>1.0598226213791699E-3</v>
      </c>
      <c r="G606" s="22" t="s">
        <v>33</v>
      </c>
      <c r="H606" s="22">
        <f>STOWA2015_2050GL_W!$J22</f>
        <v>1.0598226213791699E-3</v>
      </c>
      <c r="I606" t="str">
        <f t="shared" si="45"/>
        <v>GL2050;winter;48;105;1.05982262137917E-03;TRUE;1.05982262137917E-03</v>
      </c>
    </row>
    <row r="607" spans="1:9" x14ac:dyDescent="0.25">
      <c r="A607">
        <f t="shared" si="44"/>
        <v>45.65625</v>
      </c>
      <c r="B607" t="s">
        <v>19</v>
      </c>
      <c r="C607" t="s">
        <v>7</v>
      </c>
      <c r="D607">
        <v>96</v>
      </c>
      <c r="E607">
        <v>20</v>
      </c>
      <c r="F607" s="22">
        <f>STOWA2015_2050GL_W!$N5</f>
        <v>81.630062453399091</v>
      </c>
      <c r="G607" s="22" t="s">
        <v>33</v>
      </c>
      <c r="H607" s="22">
        <f>STOWA2015_2050GL_W!$N5</f>
        <v>81.630062453399091</v>
      </c>
      <c r="I607" t="str">
        <f t="shared" si="45"/>
        <v>GL2050;winter;96;20;81.6300624533991;TRUE;81.6300624533991</v>
      </c>
    </row>
    <row r="608" spans="1:9" x14ac:dyDescent="0.25">
      <c r="A608">
        <f t="shared" si="44"/>
        <v>45.65625</v>
      </c>
      <c r="B608" t="s">
        <v>19</v>
      </c>
      <c r="C608" t="s">
        <v>7</v>
      </c>
      <c r="D608">
        <v>96</v>
      </c>
      <c r="E608">
        <f>E607+5</f>
        <v>25</v>
      </c>
      <c r="F608" s="22">
        <f>STOWA2015_2050GL_W!$N6</f>
        <v>3.6313746661824418</v>
      </c>
      <c r="G608" s="22" t="s">
        <v>33</v>
      </c>
      <c r="H608" s="22">
        <f>STOWA2015_2050GL_W!$N6</f>
        <v>3.6313746661824418</v>
      </c>
      <c r="I608" t="str">
        <f t="shared" si="45"/>
        <v>GL2050;winter;96;25;3.63137466618244;TRUE;3.63137466618244</v>
      </c>
    </row>
    <row r="609" spans="1:9" x14ac:dyDescent="0.25">
      <c r="A609">
        <f t="shared" si="44"/>
        <v>45.65625</v>
      </c>
      <c r="B609" t="s">
        <v>19</v>
      </c>
      <c r="C609" t="s">
        <v>7</v>
      </c>
      <c r="D609">
        <v>96</v>
      </c>
      <c r="E609">
        <f t="shared" ref="E609:E627" si="47">E608+5</f>
        <v>30</v>
      </c>
      <c r="F609" s="22">
        <f>STOWA2015_2050GL_W!$N7</f>
        <v>2.2511964115686234</v>
      </c>
      <c r="G609" s="22" t="s">
        <v>33</v>
      </c>
      <c r="H609" s="22">
        <f>STOWA2015_2050GL_W!$N7</f>
        <v>2.2511964115686234</v>
      </c>
      <c r="I609" t="str">
        <f t="shared" si="45"/>
        <v>GL2050;winter;96;30;2.25119641156862;TRUE;2.25119641156862</v>
      </c>
    </row>
    <row r="610" spans="1:9" x14ac:dyDescent="0.25">
      <c r="A610">
        <f t="shared" si="44"/>
        <v>45.65625</v>
      </c>
      <c r="B610" t="s">
        <v>19</v>
      </c>
      <c r="C610" t="s">
        <v>7</v>
      </c>
      <c r="D610">
        <v>96</v>
      </c>
      <c r="E610">
        <f t="shared" si="47"/>
        <v>35</v>
      </c>
      <c r="F610" s="22">
        <f>STOWA2015_2050GL_W!$N8</f>
        <v>1.4024009754317333</v>
      </c>
      <c r="G610" s="22" t="s">
        <v>33</v>
      </c>
      <c r="H610" s="22">
        <f>STOWA2015_2050GL_W!$N8</f>
        <v>1.4024009754317333</v>
      </c>
      <c r="I610" t="str">
        <f t="shared" si="45"/>
        <v>GL2050;winter;96;35;1.40240097543173;TRUE;1.40240097543173</v>
      </c>
    </row>
    <row r="611" spans="1:9" x14ac:dyDescent="0.25">
      <c r="A611">
        <f t="shared" si="44"/>
        <v>45.65625</v>
      </c>
      <c r="B611" t="s">
        <v>19</v>
      </c>
      <c r="C611" t="s">
        <v>7</v>
      </c>
      <c r="D611">
        <v>96</v>
      </c>
      <c r="E611">
        <f t="shared" si="47"/>
        <v>40</v>
      </c>
      <c r="F611" s="22">
        <f>STOWA2015_2050GL_W!$N9</f>
        <v>0.87781861501308289</v>
      </c>
      <c r="G611" s="22" t="s">
        <v>33</v>
      </c>
      <c r="H611" s="22">
        <f>STOWA2015_2050GL_W!$N9</f>
        <v>0.87781861501308289</v>
      </c>
      <c r="I611" t="str">
        <f t="shared" si="45"/>
        <v>GL2050;winter;96;40;0.877818615013083;TRUE;0.877818615013083</v>
      </c>
    </row>
    <row r="612" spans="1:9" x14ac:dyDescent="0.25">
      <c r="A612">
        <f t="shared" si="44"/>
        <v>45.65625</v>
      </c>
      <c r="B612" t="s">
        <v>19</v>
      </c>
      <c r="C612" t="s">
        <v>7</v>
      </c>
      <c r="D612">
        <v>96</v>
      </c>
      <c r="E612">
        <f t="shared" si="47"/>
        <v>45</v>
      </c>
      <c r="F612" s="22">
        <f>STOWA2015_2050GL_W!$N10</f>
        <v>0.5520389068285172</v>
      </c>
      <c r="G612" s="22" t="s">
        <v>33</v>
      </c>
      <c r="H612" s="22">
        <f>STOWA2015_2050GL_W!$N10</f>
        <v>0.5520389068285172</v>
      </c>
      <c r="I612" t="str">
        <f t="shared" si="45"/>
        <v>GL2050;winter;96;45;0.552038906828517;TRUE;0.552038906828517</v>
      </c>
    </row>
    <row r="613" spans="1:9" x14ac:dyDescent="0.25">
      <c r="A613">
        <f t="shared" si="44"/>
        <v>45.65625</v>
      </c>
      <c r="B613" t="s">
        <v>19</v>
      </c>
      <c r="C613" t="s">
        <v>7</v>
      </c>
      <c r="D613">
        <v>96</v>
      </c>
      <c r="E613">
        <f t="shared" si="47"/>
        <v>50</v>
      </c>
      <c r="F613" s="22">
        <f>STOWA2015_2050GL_W!$N11</f>
        <v>0.34876002059198807</v>
      </c>
      <c r="G613" s="22" t="s">
        <v>33</v>
      </c>
      <c r="H613" s="22">
        <f>STOWA2015_2050GL_W!$N11</f>
        <v>0.34876002059198807</v>
      </c>
      <c r="I613" t="str">
        <f t="shared" si="45"/>
        <v>GL2050;winter;96;50;0.348760020591988;TRUE;0.348760020591988</v>
      </c>
    </row>
    <row r="614" spans="1:9" x14ac:dyDescent="0.25">
      <c r="A614">
        <f t="shared" si="44"/>
        <v>45.65625</v>
      </c>
      <c r="B614" t="s">
        <v>19</v>
      </c>
      <c r="C614" t="s">
        <v>7</v>
      </c>
      <c r="D614">
        <v>96</v>
      </c>
      <c r="E614">
        <f t="shared" si="47"/>
        <v>55</v>
      </c>
      <c r="F614" s="22">
        <f>STOWA2015_2050GL_W!$N12</f>
        <v>0.22132821297779487</v>
      </c>
      <c r="G614" s="22" t="s">
        <v>33</v>
      </c>
      <c r="H614" s="22">
        <f>STOWA2015_2050GL_W!$N12</f>
        <v>0.22132821297779487</v>
      </c>
      <c r="I614" t="str">
        <f t="shared" si="45"/>
        <v>GL2050;winter;96;55;0.221328212977795;TRUE;0.221328212977795</v>
      </c>
    </row>
    <row r="615" spans="1:9" x14ac:dyDescent="0.25">
      <c r="A615">
        <f t="shared" si="44"/>
        <v>45.65625</v>
      </c>
      <c r="B615" t="s">
        <v>19</v>
      </c>
      <c r="C615" t="s">
        <v>7</v>
      </c>
      <c r="D615">
        <v>96</v>
      </c>
      <c r="E615">
        <f t="shared" si="47"/>
        <v>60</v>
      </c>
      <c r="F615" s="22">
        <f>STOWA2015_2050GL_W!$N13</f>
        <v>0.14107889231337872</v>
      </c>
      <c r="G615" s="22" t="s">
        <v>33</v>
      </c>
      <c r="H615" s="22">
        <f>STOWA2015_2050GL_W!$N13</f>
        <v>0.14107889231337872</v>
      </c>
      <c r="I615" t="str">
        <f t="shared" si="45"/>
        <v>GL2050;winter;96;60;0.141078892313379;TRUE;0.141078892313379</v>
      </c>
    </row>
    <row r="616" spans="1:9" x14ac:dyDescent="0.25">
      <c r="A616">
        <f t="shared" si="44"/>
        <v>45.65625</v>
      </c>
      <c r="B616" t="s">
        <v>19</v>
      </c>
      <c r="C616" t="s">
        <v>7</v>
      </c>
      <c r="D616">
        <v>96</v>
      </c>
      <c r="E616">
        <f t="shared" si="47"/>
        <v>65</v>
      </c>
      <c r="F616" s="22">
        <f>STOWA2015_2050GL_W!$N14</f>
        <v>9.0316205590237841E-2</v>
      </c>
      <c r="G616" s="22" t="s">
        <v>33</v>
      </c>
      <c r="H616" s="22">
        <f>STOWA2015_2050GL_W!$N14</f>
        <v>9.0316205590237841E-2</v>
      </c>
      <c r="I616" t="str">
        <f t="shared" si="45"/>
        <v>GL2050;winter;96;65;9.03162055902378E-02;TRUE;9.03162055902378E-02</v>
      </c>
    </row>
    <row r="617" spans="1:9" x14ac:dyDescent="0.25">
      <c r="A617">
        <f t="shared" si="44"/>
        <v>45.65625</v>
      </c>
      <c r="B617" t="s">
        <v>19</v>
      </c>
      <c r="C617" t="s">
        <v>7</v>
      </c>
      <c r="D617">
        <v>96</v>
      </c>
      <c r="E617">
        <f t="shared" si="47"/>
        <v>70</v>
      </c>
      <c r="F617" s="22">
        <f>STOWA2015_2050GL_W!$N15</f>
        <v>5.806466886746009E-2</v>
      </c>
      <c r="G617" s="22" t="s">
        <v>33</v>
      </c>
      <c r="H617" s="22">
        <f>STOWA2015_2050GL_W!$N15</f>
        <v>5.806466886746009E-2</v>
      </c>
      <c r="I617" t="str">
        <f t="shared" si="45"/>
        <v>GL2050;winter;96;70;5.80646688674601E-02;TRUE;5.80646688674601E-02</v>
      </c>
    </row>
    <row r="618" spans="1:9" x14ac:dyDescent="0.25">
      <c r="A618">
        <f t="shared" si="44"/>
        <v>45.65625</v>
      </c>
      <c r="B618" t="s">
        <v>19</v>
      </c>
      <c r="C618" t="s">
        <v>7</v>
      </c>
      <c r="D618">
        <v>96</v>
      </c>
      <c r="E618">
        <f t="shared" si="47"/>
        <v>75</v>
      </c>
      <c r="F618" s="22">
        <f>STOWA2015_2050GL_W!$N16</f>
        <v>3.7485742027572266E-2</v>
      </c>
      <c r="G618" s="22" t="s">
        <v>33</v>
      </c>
      <c r="H618" s="22">
        <f>STOWA2015_2050GL_W!$N16</f>
        <v>3.7485742027572266E-2</v>
      </c>
      <c r="I618" t="str">
        <f t="shared" si="45"/>
        <v>GL2050;winter;96;75;3.74857420275723E-02;TRUE;3.74857420275723E-02</v>
      </c>
    </row>
    <row r="619" spans="1:9" x14ac:dyDescent="0.25">
      <c r="A619">
        <f t="shared" si="44"/>
        <v>45.65625</v>
      </c>
      <c r="B619" t="s">
        <v>19</v>
      </c>
      <c r="C619" t="s">
        <v>7</v>
      </c>
      <c r="D619">
        <v>96</v>
      </c>
      <c r="E619">
        <f t="shared" si="47"/>
        <v>80</v>
      </c>
      <c r="F619" s="22">
        <f>STOWA2015_2050GL_W!$N17</f>
        <v>2.4299335244260381E-2</v>
      </c>
      <c r="G619" s="22" t="s">
        <v>33</v>
      </c>
      <c r="H619" s="22">
        <f>STOWA2015_2050GL_W!$N17</f>
        <v>2.4299335244260381E-2</v>
      </c>
      <c r="I619" t="str">
        <f t="shared" si="45"/>
        <v>GL2050;winter;96;80;2.42993352442604E-02;TRUE;2.42993352442604E-02</v>
      </c>
    </row>
    <row r="620" spans="1:9" x14ac:dyDescent="0.25">
      <c r="A620">
        <f t="shared" si="44"/>
        <v>45.65625</v>
      </c>
      <c r="B620" t="s">
        <v>19</v>
      </c>
      <c r="C620" t="s">
        <v>7</v>
      </c>
      <c r="D620">
        <v>96</v>
      </c>
      <c r="E620">
        <f t="shared" si="47"/>
        <v>85</v>
      </c>
      <c r="F620" s="22">
        <f>STOWA2015_2050GL_W!$N18</f>
        <v>1.5814809587473656E-2</v>
      </c>
      <c r="G620" s="22" t="s">
        <v>33</v>
      </c>
      <c r="H620" s="22">
        <f>STOWA2015_2050GL_W!$N18</f>
        <v>1.5814809587473656E-2</v>
      </c>
      <c r="I620" t="str">
        <f t="shared" si="45"/>
        <v>GL2050;winter;96;85;1.58148095874737E-02;TRUE;1.58148095874737E-02</v>
      </c>
    </row>
    <row r="621" spans="1:9" x14ac:dyDescent="0.25">
      <c r="A621">
        <f t="shared" si="44"/>
        <v>45.65625</v>
      </c>
      <c r="B621" t="s">
        <v>19</v>
      </c>
      <c r="C621" t="s">
        <v>7</v>
      </c>
      <c r="D621">
        <v>96</v>
      </c>
      <c r="E621">
        <f t="shared" si="47"/>
        <v>90</v>
      </c>
      <c r="F621" s="22">
        <f>STOWA2015_2050GL_W!$N19</f>
        <v>1.0333392133163293E-2</v>
      </c>
      <c r="G621" s="22" t="s">
        <v>33</v>
      </c>
      <c r="H621" s="22">
        <f>STOWA2015_2050GL_W!$N19</f>
        <v>1.0333392133163293E-2</v>
      </c>
      <c r="I621" t="str">
        <f t="shared" si="45"/>
        <v>GL2050;winter;96;90;1.03333921331633E-02;TRUE;1.03333921331633E-02</v>
      </c>
    </row>
    <row r="622" spans="1:9" x14ac:dyDescent="0.25">
      <c r="A622">
        <f t="shared" si="44"/>
        <v>45.65625</v>
      </c>
      <c r="B622" t="s">
        <v>19</v>
      </c>
      <c r="C622" t="s">
        <v>7</v>
      </c>
      <c r="D622">
        <v>96</v>
      </c>
      <c r="E622">
        <f t="shared" si="47"/>
        <v>95</v>
      </c>
      <c r="F622" s="22">
        <f>STOWA2015_2050GL_W!$N20</f>
        <v>6.7779781886185518E-3</v>
      </c>
      <c r="G622" s="22" t="s">
        <v>33</v>
      </c>
      <c r="H622" s="22">
        <f>STOWA2015_2050GL_W!$N20</f>
        <v>6.7779781886185518E-3</v>
      </c>
      <c r="I622" t="str">
        <f t="shared" si="45"/>
        <v>GL2050;winter;96;95;6.77797818861855E-03;TRUE;6.77797818861855E-03</v>
      </c>
    </row>
    <row r="623" spans="1:9" x14ac:dyDescent="0.25">
      <c r="A623">
        <f t="shared" si="44"/>
        <v>45.65625</v>
      </c>
      <c r="B623" t="s">
        <v>19</v>
      </c>
      <c r="C623" t="s">
        <v>7</v>
      </c>
      <c r="D623">
        <v>96</v>
      </c>
      <c r="E623">
        <f t="shared" si="47"/>
        <v>100</v>
      </c>
      <c r="F623" s="22">
        <f>STOWA2015_2050GL_W!$N21</f>
        <v>4.4627804404125497E-3</v>
      </c>
      <c r="G623" s="22" t="s">
        <v>33</v>
      </c>
      <c r="H623" s="22">
        <f>STOWA2015_2050GL_W!$N21</f>
        <v>4.4627804404125497E-3</v>
      </c>
      <c r="I623" t="str">
        <f t="shared" si="45"/>
        <v>GL2050;winter;96;100;4.46278044041255E-03;TRUE;4.46278044041255E-03</v>
      </c>
    </row>
    <row r="624" spans="1:9" x14ac:dyDescent="0.25">
      <c r="A624">
        <f t="shared" si="44"/>
        <v>45.65625</v>
      </c>
      <c r="B624" t="s">
        <v>19</v>
      </c>
      <c r="C624" t="s">
        <v>7</v>
      </c>
      <c r="D624">
        <v>96</v>
      </c>
      <c r="E624">
        <f t="shared" si="47"/>
        <v>105</v>
      </c>
      <c r="F624" s="22">
        <f>STOWA2015_2050GL_W!$N22</f>
        <v>2.949372084226673E-3</v>
      </c>
      <c r="G624" s="22" t="s">
        <v>33</v>
      </c>
      <c r="H624" s="22">
        <f>STOWA2015_2050GL_W!$N22</f>
        <v>2.949372084226673E-3</v>
      </c>
      <c r="I624" t="str">
        <f t="shared" si="45"/>
        <v>GL2050;winter;96;105;2.94937208422667E-03;TRUE;2.94937208422667E-03</v>
      </c>
    </row>
    <row r="625" spans="1:9" x14ac:dyDescent="0.25">
      <c r="A625">
        <f t="shared" si="44"/>
        <v>45.65625</v>
      </c>
      <c r="B625" t="s">
        <v>19</v>
      </c>
      <c r="C625" t="s">
        <v>7</v>
      </c>
      <c r="D625">
        <v>96</v>
      </c>
      <c r="E625">
        <f t="shared" si="47"/>
        <v>110</v>
      </c>
      <c r="F625" s="22">
        <f>STOWA2015_2050GL_W!$N23</f>
        <v>1.9563370204146438E-3</v>
      </c>
      <c r="G625" s="22" t="s">
        <v>33</v>
      </c>
      <c r="H625" s="22">
        <f>STOWA2015_2050GL_W!$N23</f>
        <v>1.9563370204146438E-3</v>
      </c>
      <c r="I625" t="str">
        <f t="shared" si="45"/>
        <v>GL2050;winter;96;110;1.95633702041464E-03;TRUE;1.95633702041464E-03</v>
      </c>
    </row>
    <row r="626" spans="1:9" x14ac:dyDescent="0.25">
      <c r="A626">
        <f t="shared" si="44"/>
        <v>45.65625</v>
      </c>
      <c r="B626" t="s">
        <v>19</v>
      </c>
      <c r="C626" t="s">
        <v>7</v>
      </c>
      <c r="D626">
        <v>96</v>
      </c>
      <c r="E626">
        <f t="shared" si="47"/>
        <v>115</v>
      </c>
      <c r="F626" s="22">
        <f>STOWA2015_2050GL_W!$N24</f>
        <v>1.3023267798620915E-3</v>
      </c>
      <c r="G626" s="22" t="s">
        <v>33</v>
      </c>
      <c r="H626" s="22">
        <f>STOWA2015_2050GL_W!$N24</f>
        <v>1.3023267798620915E-3</v>
      </c>
      <c r="I626" t="str">
        <f t="shared" si="45"/>
        <v>GL2050;winter;96;115;1.30232677986209E-03;TRUE;1.30232677986209E-03</v>
      </c>
    </row>
    <row r="627" spans="1:9" x14ac:dyDescent="0.25">
      <c r="A627">
        <f t="shared" si="44"/>
        <v>45.65625</v>
      </c>
      <c r="B627" t="s">
        <v>19</v>
      </c>
      <c r="C627" t="s">
        <v>7</v>
      </c>
      <c r="D627">
        <v>96</v>
      </c>
      <c r="E627">
        <f t="shared" si="47"/>
        <v>120</v>
      </c>
      <c r="F627" s="22">
        <f>STOWA2015_2050GL_W!$N25</f>
        <v>2.6778977296518657E-3</v>
      </c>
      <c r="G627" s="22" t="s">
        <v>33</v>
      </c>
      <c r="H627" s="22">
        <f>STOWA2015_2050GL_W!$N25</f>
        <v>2.6778977296518657E-3</v>
      </c>
      <c r="I627" t="str">
        <f t="shared" si="45"/>
        <v>GL2050;winter;96;120;2.67789772965187E-03;TRUE;2.67789772965187E-03</v>
      </c>
    </row>
    <row r="628" spans="1:9" x14ac:dyDescent="0.25">
      <c r="A628">
        <f t="shared" si="44"/>
        <v>22.828125</v>
      </c>
      <c r="B628" t="s">
        <v>19</v>
      </c>
      <c r="C628" t="s">
        <v>7</v>
      </c>
      <c r="D628">
        <v>192</v>
      </c>
      <c r="E628">
        <v>25</v>
      </c>
      <c r="F628" s="22">
        <f>STOWA2015_2050GL_W!$R6</f>
        <v>35.343104948656006</v>
      </c>
      <c r="G628" s="22" t="s">
        <v>33</v>
      </c>
      <c r="H628" s="22">
        <f>STOWA2015_2050GL_W!$R6</f>
        <v>35.343104948656006</v>
      </c>
      <c r="I628" t="str">
        <f t="shared" si="45"/>
        <v>GL2050;winter;192;25;35.343104948656;TRUE;35.343104948656</v>
      </c>
    </row>
    <row r="629" spans="1:9" x14ac:dyDescent="0.25">
      <c r="A629">
        <f t="shared" si="44"/>
        <v>22.828125</v>
      </c>
      <c r="B629" t="s">
        <v>19</v>
      </c>
      <c r="C629" t="s">
        <v>7</v>
      </c>
      <c r="D629">
        <v>192</v>
      </c>
      <c r="E629">
        <f>E628+5</f>
        <v>30</v>
      </c>
      <c r="F629" s="22">
        <f>STOWA2015_2050GL_W!$R7</f>
        <v>2.6090793771864593</v>
      </c>
      <c r="G629" s="22" t="s">
        <v>33</v>
      </c>
      <c r="H629" s="22">
        <f>STOWA2015_2050GL_W!$R7</f>
        <v>2.6090793771864593</v>
      </c>
      <c r="I629" t="str">
        <f t="shared" si="45"/>
        <v>GL2050;winter;192;30;2.60907937718646;TRUE;2.60907937718646</v>
      </c>
    </row>
    <row r="630" spans="1:9" x14ac:dyDescent="0.25">
      <c r="A630">
        <f t="shared" si="44"/>
        <v>22.828125</v>
      </c>
      <c r="B630" t="s">
        <v>19</v>
      </c>
      <c r="C630" t="s">
        <v>7</v>
      </c>
      <c r="D630">
        <v>192</v>
      </c>
      <c r="E630">
        <f t="shared" ref="E630:E654" si="48">E629+5</f>
        <v>35</v>
      </c>
      <c r="F630" s="22">
        <f>STOWA2015_2050GL_W!$R8</f>
        <v>1.9718020237737912</v>
      </c>
      <c r="G630" s="22" t="s">
        <v>33</v>
      </c>
      <c r="H630" s="22">
        <f>STOWA2015_2050GL_W!$R8</f>
        <v>1.9718020237737912</v>
      </c>
      <c r="I630" t="str">
        <f t="shared" si="45"/>
        <v>GL2050;winter;192;35;1.97180202377379;TRUE;1.97180202377379</v>
      </c>
    </row>
    <row r="631" spans="1:9" x14ac:dyDescent="0.25">
      <c r="A631">
        <f t="shared" si="44"/>
        <v>22.828125</v>
      </c>
      <c r="B631" t="s">
        <v>19</v>
      </c>
      <c r="C631" t="s">
        <v>7</v>
      </c>
      <c r="D631">
        <v>192</v>
      </c>
      <c r="E631">
        <f t="shared" si="48"/>
        <v>40</v>
      </c>
      <c r="F631" s="22">
        <f>STOWA2015_2050GL_W!$R9</f>
        <v>1.4844821733041744</v>
      </c>
      <c r="G631" s="22" t="s">
        <v>33</v>
      </c>
      <c r="H631" s="22">
        <f>STOWA2015_2050GL_W!$R9</f>
        <v>1.4844821733041744</v>
      </c>
      <c r="I631" t="str">
        <f t="shared" si="45"/>
        <v>GL2050;winter;192;40;1.48448217330417;TRUE;1.48448217330417</v>
      </c>
    </row>
    <row r="632" spans="1:9" x14ac:dyDescent="0.25">
      <c r="A632">
        <f t="shared" si="44"/>
        <v>22.828125</v>
      </c>
      <c r="B632" t="s">
        <v>19</v>
      </c>
      <c r="C632" t="s">
        <v>7</v>
      </c>
      <c r="D632">
        <v>192</v>
      </c>
      <c r="E632">
        <f t="shared" si="48"/>
        <v>45</v>
      </c>
      <c r="F632" s="22">
        <f>STOWA2015_2050GL_W!$R10</f>
        <v>1.1132075912133992</v>
      </c>
      <c r="G632" s="22" t="s">
        <v>33</v>
      </c>
      <c r="H632" s="22">
        <f>STOWA2015_2050GL_W!$R10</f>
        <v>1.1132075912133992</v>
      </c>
      <c r="I632" t="str">
        <f t="shared" si="45"/>
        <v>GL2050;winter;192;45;1.1132075912134;TRUE;1.1132075912134</v>
      </c>
    </row>
    <row r="633" spans="1:9" x14ac:dyDescent="0.25">
      <c r="A633">
        <f t="shared" si="44"/>
        <v>22.828125</v>
      </c>
      <c r="B633" t="s">
        <v>19</v>
      </c>
      <c r="C633" t="s">
        <v>7</v>
      </c>
      <c r="D633">
        <v>192</v>
      </c>
      <c r="E633">
        <f t="shared" si="48"/>
        <v>50</v>
      </c>
      <c r="F633" s="22">
        <f>STOWA2015_2050GL_W!$R11</f>
        <v>0.83141663478740435</v>
      </c>
      <c r="G633" s="22" t="s">
        <v>33</v>
      </c>
      <c r="H633" s="22">
        <f>STOWA2015_2050GL_W!$R11</f>
        <v>0.83141663478740435</v>
      </c>
      <c r="I633" t="str">
        <f t="shared" si="45"/>
        <v>GL2050;winter;192;50;0.831416634787404;TRUE;0.831416634787404</v>
      </c>
    </row>
    <row r="634" spans="1:9" x14ac:dyDescent="0.25">
      <c r="A634">
        <f t="shared" si="44"/>
        <v>22.828125</v>
      </c>
      <c r="B634" t="s">
        <v>19</v>
      </c>
      <c r="C634" t="s">
        <v>7</v>
      </c>
      <c r="D634">
        <v>192</v>
      </c>
      <c r="E634">
        <f t="shared" si="48"/>
        <v>55</v>
      </c>
      <c r="F634" s="22">
        <f>STOWA2015_2050GL_W!$R12</f>
        <v>0.61837576800826866</v>
      </c>
      <c r="G634" s="22" t="s">
        <v>33</v>
      </c>
      <c r="H634" s="22">
        <f>STOWA2015_2050GL_W!$R12</f>
        <v>0.61837576800826866</v>
      </c>
      <c r="I634" t="str">
        <f t="shared" si="45"/>
        <v>GL2050;winter;192;55;0.618375768008269;TRUE;0.618375768008269</v>
      </c>
    </row>
    <row r="635" spans="1:9" x14ac:dyDescent="0.25">
      <c r="A635">
        <f t="shared" si="44"/>
        <v>22.828125</v>
      </c>
      <c r="B635" t="s">
        <v>19</v>
      </c>
      <c r="C635" t="s">
        <v>7</v>
      </c>
      <c r="D635">
        <v>192</v>
      </c>
      <c r="E635">
        <f t="shared" si="48"/>
        <v>60</v>
      </c>
      <c r="F635" s="22">
        <f>STOWA2015_2050GL_W!$R13</f>
        <v>0.45795738466172464</v>
      </c>
      <c r="G635" s="22" t="s">
        <v>33</v>
      </c>
      <c r="H635" s="22">
        <f>STOWA2015_2050GL_W!$R13</f>
        <v>0.45795738466172464</v>
      </c>
      <c r="I635" t="str">
        <f t="shared" si="45"/>
        <v>GL2050;winter;192;60;0.457957384661725;TRUE;0.457957384661725</v>
      </c>
    </row>
    <row r="636" spans="1:9" x14ac:dyDescent="0.25">
      <c r="A636">
        <f t="shared" si="44"/>
        <v>22.828125</v>
      </c>
      <c r="B636" t="s">
        <v>19</v>
      </c>
      <c r="C636" t="s">
        <v>7</v>
      </c>
      <c r="D636">
        <v>192</v>
      </c>
      <c r="E636">
        <f t="shared" si="48"/>
        <v>65</v>
      </c>
      <c r="F636" s="22">
        <f>STOWA2015_2050GL_W!$R14</f>
        <v>0.33766174680231253</v>
      </c>
      <c r="G636" s="22" t="s">
        <v>33</v>
      </c>
      <c r="H636" s="22">
        <f>STOWA2015_2050GL_W!$R14</f>
        <v>0.33766174680231253</v>
      </c>
      <c r="I636" t="str">
        <f t="shared" si="45"/>
        <v>GL2050;winter;192;65;0.337661746802313;TRUE;0.337661746802313</v>
      </c>
    </row>
    <row r="637" spans="1:9" x14ac:dyDescent="0.25">
      <c r="A637">
        <f t="shared" si="44"/>
        <v>22.828125</v>
      </c>
      <c r="B637" t="s">
        <v>19</v>
      </c>
      <c r="C637" t="s">
        <v>7</v>
      </c>
      <c r="D637">
        <v>192</v>
      </c>
      <c r="E637">
        <f t="shared" si="48"/>
        <v>70</v>
      </c>
      <c r="F637" s="22">
        <f>STOWA2015_2050GL_W!$R15</f>
        <v>0.24783677608217225</v>
      </c>
      <c r="G637" s="22" t="s">
        <v>33</v>
      </c>
      <c r="H637" s="22">
        <f>STOWA2015_2050GL_W!$R15</f>
        <v>0.24783677608217225</v>
      </c>
      <c r="I637" t="str">
        <f t="shared" si="45"/>
        <v>GL2050;winter;192;70;0.247836776082172;TRUE;0.247836776082172</v>
      </c>
    </row>
    <row r="638" spans="1:9" x14ac:dyDescent="0.25">
      <c r="A638">
        <f t="shared" si="44"/>
        <v>22.828125</v>
      </c>
      <c r="B638" t="s">
        <v>19</v>
      </c>
      <c r="C638" t="s">
        <v>7</v>
      </c>
      <c r="D638">
        <v>192</v>
      </c>
      <c r="E638">
        <f t="shared" si="48"/>
        <v>75</v>
      </c>
      <c r="F638" s="22">
        <f>STOWA2015_2050GL_W!$R16</f>
        <v>0.18105771695678013</v>
      </c>
      <c r="G638" s="22" t="s">
        <v>33</v>
      </c>
      <c r="H638" s="22">
        <f>STOWA2015_2050GL_W!$R16</f>
        <v>0.18105771695678013</v>
      </c>
      <c r="I638" t="str">
        <f t="shared" si="45"/>
        <v>GL2050;winter;192;75;0.18105771695678;TRUE;0.18105771695678</v>
      </c>
    </row>
    <row r="639" spans="1:9" x14ac:dyDescent="0.25">
      <c r="A639">
        <f t="shared" si="44"/>
        <v>22.828125</v>
      </c>
      <c r="B639" t="s">
        <v>19</v>
      </c>
      <c r="C639" t="s">
        <v>7</v>
      </c>
      <c r="D639">
        <v>192</v>
      </c>
      <c r="E639">
        <f t="shared" si="48"/>
        <v>80</v>
      </c>
      <c r="F639" s="22">
        <f>STOWA2015_2050GL_W!$R17</f>
        <v>0.13163557910268409</v>
      </c>
      <c r="G639" s="22" t="s">
        <v>33</v>
      </c>
      <c r="H639" s="22">
        <f>STOWA2015_2050GL_W!$R17</f>
        <v>0.13163557910268409</v>
      </c>
      <c r="I639" t="str">
        <f t="shared" si="45"/>
        <v>GL2050;winter;192;80;0.131635579102684;TRUE;0.131635579102684</v>
      </c>
    </row>
    <row r="640" spans="1:9" x14ac:dyDescent="0.25">
      <c r="A640">
        <f t="shared" si="44"/>
        <v>22.828125</v>
      </c>
      <c r="B640" t="s">
        <v>19</v>
      </c>
      <c r="C640" t="s">
        <v>7</v>
      </c>
      <c r="D640">
        <v>192</v>
      </c>
      <c r="E640">
        <f t="shared" si="48"/>
        <v>85</v>
      </c>
      <c r="F640" s="22">
        <f>STOWA2015_2050GL_W!$R18</f>
        <v>9.5228980460280777E-2</v>
      </c>
      <c r="G640" s="22" t="s">
        <v>33</v>
      </c>
      <c r="H640" s="22">
        <f>STOWA2015_2050GL_W!$R18</f>
        <v>9.5228980460280777E-2</v>
      </c>
      <c r="I640" t="str">
        <f t="shared" si="45"/>
        <v>GL2050;winter;192;85;9.52289804602808E-02;TRUE;9.52289804602808E-02</v>
      </c>
    </row>
    <row r="641" spans="1:9" x14ac:dyDescent="0.25">
      <c r="A641">
        <f t="shared" si="44"/>
        <v>22.828125</v>
      </c>
      <c r="B641" t="s">
        <v>19</v>
      </c>
      <c r="C641" t="s">
        <v>7</v>
      </c>
      <c r="D641">
        <v>192</v>
      </c>
      <c r="E641">
        <f t="shared" si="48"/>
        <v>90</v>
      </c>
      <c r="F641" s="22">
        <f>STOWA2015_2050GL_W!$R19</f>
        <v>6.8538739172574414E-2</v>
      </c>
      <c r="G641" s="22" t="s">
        <v>33</v>
      </c>
      <c r="H641" s="22">
        <f>STOWA2015_2050GL_W!$R19</f>
        <v>6.8538739172574414E-2</v>
      </c>
      <c r="I641" t="str">
        <f t="shared" si="45"/>
        <v>GL2050;winter;192;90;6.85387391725744E-02;TRUE;6.85387391725744E-02</v>
      </c>
    </row>
    <row r="642" spans="1:9" x14ac:dyDescent="0.25">
      <c r="A642">
        <f t="shared" ref="A642:A705" si="49">IF(C642="zomer",24/D642*365.25 * 6/12,24/D642*365.25 * 6/12)</f>
        <v>22.828125</v>
      </c>
      <c r="B642" t="s">
        <v>19</v>
      </c>
      <c r="C642" t="s">
        <v>7</v>
      </c>
      <c r="D642">
        <v>192</v>
      </c>
      <c r="E642">
        <f t="shared" si="48"/>
        <v>95</v>
      </c>
      <c r="F642" s="22">
        <f>STOWA2015_2050GL_W!$R20</f>
        <v>4.9068461720549003E-2</v>
      </c>
      <c r="G642" s="22" t="s">
        <v>33</v>
      </c>
      <c r="H642" s="22">
        <f>STOWA2015_2050GL_W!$R20</f>
        <v>4.9068461720549003E-2</v>
      </c>
      <c r="I642" t="str">
        <f t="shared" ref="I642:I705" si="50">CONCATENATEWITHDELIMITER(B642:H642,";")</f>
        <v>GL2050;winter;192;95;0.049068461720549;TRUE;0.049068461720549</v>
      </c>
    </row>
    <row r="643" spans="1:9" x14ac:dyDescent="0.25">
      <c r="A643">
        <f t="shared" si="49"/>
        <v>22.828125</v>
      </c>
      <c r="B643" t="s">
        <v>19</v>
      </c>
      <c r="C643" t="s">
        <v>7</v>
      </c>
      <c r="D643">
        <v>192</v>
      </c>
      <c r="E643">
        <f t="shared" si="48"/>
        <v>100</v>
      </c>
      <c r="F643" s="22">
        <f>STOWA2015_2050GL_W!$R21</f>
        <v>3.4937581267691753E-2</v>
      </c>
      <c r="G643" s="22" t="s">
        <v>33</v>
      </c>
      <c r="H643" s="22">
        <f>STOWA2015_2050GL_W!$R21</f>
        <v>3.4937581267691753E-2</v>
      </c>
      <c r="I643" t="str">
        <f t="shared" si="50"/>
        <v>GL2050;winter;192;100;3.49375812676918E-02;TRUE;3.49375812676918E-02</v>
      </c>
    </row>
    <row r="644" spans="1:9" x14ac:dyDescent="0.25">
      <c r="A644">
        <f t="shared" si="49"/>
        <v>22.828125</v>
      </c>
      <c r="B644" t="s">
        <v>19</v>
      </c>
      <c r="C644" t="s">
        <v>7</v>
      </c>
      <c r="D644">
        <v>192</v>
      </c>
      <c r="E644">
        <f t="shared" si="48"/>
        <v>105</v>
      </c>
      <c r="F644" s="22">
        <f>STOWA2015_2050GL_W!$R22</f>
        <v>2.4735929544605836E-2</v>
      </c>
      <c r="G644" s="22" t="s">
        <v>33</v>
      </c>
      <c r="H644" s="22">
        <f>STOWA2015_2050GL_W!$R22</f>
        <v>2.4735929544605836E-2</v>
      </c>
      <c r="I644" t="str">
        <f t="shared" si="50"/>
        <v>GL2050;winter;192;105;2.47359295446058E-02;TRUE;2.47359295446058E-02</v>
      </c>
    </row>
    <row r="645" spans="1:9" x14ac:dyDescent="0.25">
      <c r="A645">
        <f t="shared" si="49"/>
        <v>22.828125</v>
      </c>
      <c r="B645" t="s">
        <v>19</v>
      </c>
      <c r="C645" t="s">
        <v>7</v>
      </c>
      <c r="D645">
        <v>192</v>
      </c>
      <c r="E645">
        <f t="shared" si="48"/>
        <v>110</v>
      </c>
      <c r="F645" s="22">
        <f>STOWA2015_2050GL_W!$R23</f>
        <v>1.7411074743537945E-2</v>
      </c>
      <c r="G645" s="22" t="s">
        <v>33</v>
      </c>
      <c r="H645" s="22">
        <f>STOWA2015_2050GL_W!$R23</f>
        <v>1.7411074743537945E-2</v>
      </c>
      <c r="I645" t="str">
        <f t="shared" si="50"/>
        <v>GL2050;winter;192;110;1.74110747435379E-02;TRUE;1.74110747435379E-02</v>
      </c>
    </row>
    <row r="646" spans="1:9" x14ac:dyDescent="0.25">
      <c r="A646">
        <f t="shared" si="49"/>
        <v>22.828125</v>
      </c>
      <c r="B646" t="s">
        <v>19</v>
      </c>
      <c r="C646" t="s">
        <v>7</v>
      </c>
      <c r="D646">
        <v>192</v>
      </c>
      <c r="E646">
        <f t="shared" si="48"/>
        <v>115</v>
      </c>
      <c r="F646" s="22">
        <f>STOWA2015_2050GL_W!$R24</f>
        <v>1.2181408869383549E-2</v>
      </c>
      <c r="G646" s="22" t="s">
        <v>33</v>
      </c>
      <c r="H646" s="22">
        <f>STOWA2015_2050GL_W!$R24</f>
        <v>1.2181408869383549E-2</v>
      </c>
      <c r="I646" t="str">
        <f t="shared" si="50"/>
        <v>GL2050;winter;192;115;1.21814088693835E-02;TRUE;1.21814088693835E-02</v>
      </c>
    </row>
    <row r="647" spans="1:9" x14ac:dyDescent="0.25">
      <c r="A647">
        <f t="shared" si="49"/>
        <v>22.828125</v>
      </c>
      <c r="B647" t="s">
        <v>19</v>
      </c>
      <c r="C647" t="s">
        <v>7</v>
      </c>
      <c r="D647">
        <v>192</v>
      </c>
      <c r="E647">
        <f t="shared" si="48"/>
        <v>120</v>
      </c>
      <c r="F647" s="22">
        <f>STOWA2015_2050GL_W!$R25</f>
        <v>8.4693898149442066E-3</v>
      </c>
      <c r="G647" s="22" t="s">
        <v>33</v>
      </c>
      <c r="H647" s="22">
        <f>STOWA2015_2050GL_W!$R25</f>
        <v>8.4693898149442066E-3</v>
      </c>
      <c r="I647" t="str">
        <f t="shared" si="50"/>
        <v>GL2050;winter;192;120;8.46938981494421E-03;TRUE;8.46938981494421E-03</v>
      </c>
    </row>
    <row r="648" spans="1:9" x14ac:dyDescent="0.25">
      <c r="A648">
        <f t="shared" si="49"/>
        <v>22.828125</v>
      </c>
      <c r="B648" t="s">
        <v>19</v>
      </c>
      <c r="C648" t="s">
        <v>7</v>
      </c>
      <c r="D648">
        <v>192</v>
      </c>
      <c r="E648">
        <f t="shared" si="48"/>
        <v>125</v>
      </c>
      <c r="F648" s="22">
        <f>STOWA2015_2050GL_W!$R26</f>
        <v>5.850493991255843E-3</v>
      </c>
      <c r="G648" s="22" t="s">
        <v>33</v>
      </c>
      <c r="H648" s="22">
        <f>STOWA2015_2050GL_W!$R26</f>
        <v>5.850493991255843E-3</v>
      </c>
      <c r="I648" t="str">
        <f t="shared" si="50"/>
        <v>GL2050;winter;192;125;5.85049399125584E-03;TRUE;5.85049399125584E-03</v>
      </c>
    </row>
    <row r="649" spans="1:9" x14ac:dyDescent="0.25">
      <c r="A649">
        <f t="shared" si="49"/>
        <v>22.828125</v>
      </c>
      <c r="B649" t="s">
        <v>19</v>
      </c>
      <c r="C649" t="s">
        <v>7</v>
      </c>
      <c r="D649">
        <v>192</v>
      </c>
      <c r="E649">
        <f t="shared" si="48"/>
        <v>130</v>
      </c>
      <c r="F649" s="22">
        <f>STOWA2015_2050GL_W!$R27</f>
        <v>4.0143630836306093E-3</v>
      </c>
      <c r="G649" s="22" t="s">
        <v>33</v>
      </c>
      <c r="H649" s="22">
        <f>STOWA2015_2050GL_W!$R27</f>
        <v>4.0143630836306093E-3</v>
      </c>
      <c r="I649" t="str">
        <f t="shared" si="50"/>
        <v>GL2050;winter;192;130;4.01436308363061E-03;TRUE;4.01436308363061E-03</v>
      </c>
    </row>
    <row r="650" spans="1:9" x14ac:dyDescent="0.25">
      <c r="A650">
        <f t="shared" si="49"/>
        <v>22.828125</v>
      </c>
      <c r="B650" t="s">
        <v>19</v>
      </c>
      <c r="C650" t="s">
        <v>7</v>
      </c>
      <c r="D650">
        <v>192</v>
      </c>
      <c r="E650">
        <f t="shared" si="48"/>
        <v>135</v>
      </c>
      <c r="F650" s="22">
        <f>STOWA2015_2050GL_W!$R28</f>
        <v>2.7353738181047195E-3</v>
      </c>
      <c r="G650" s="22" t="s">
        <v>33</v>
      </c>
      <c r="H650" s="22">
        <f>STOWA2015_2050GL_W!$R28</f>
        <v>2.7353738181047195E-3</v>
      </c>
      <c r="I650" t="str">
        <f t="shared" si="50"/>
        <v>GL2050;winter;192;135;2.73537381810472E-03;TRUE;2.73537381810472E-03</v>
      </c>
    </row>
    <row r="651" spans="1:9" x14ac:dyDescent="0.25">
      <c r="A651">
        <f t="shared" si="49"/>
        <v>22.828125</v>
      </c>
      <c r="B651" t="s">
        <v>19</v>
      </c>
      <c r="C651" t="s">
        <v>7</v>
      </c>
      <c r="D651">
        <v>192</v>
      </c>
      <c r="E651">
        <f t="shared" si="48"/>
        <v>140</v>
      </c>
      <c r="F651" s="22">
        <f>STOWA2015_2050GL_W!$R29</f>
        <v>1.8504561004868752E-3</v>
      </c>
      <c r="G651" s="22" t="s">
        <v>33</v>
      </c>
      <c r="H651" s="22">
        <f>STOWA2015_2050GL_W!$R29</f>
        <v>1.8504561004868752E-3</v>
      </c>
      <c r="I651" t="str">
        <f t="shared" si="50"/>
        <v>GL2050;winter;192;140;1.85045610048688E-03;TRUE;1.85045610048688E-03</v>
      </c>
    </row>
    <row r="652" spans="1:9" x14ac:dyDescent="0.25">
      <c r="A652">
        <f t="shared" si="49"/>
        <v>22.828125</v>
      </c>
      <c r="B652" t="s">
        <v>19</v>
      </c>
      <c r="C652" t="s">
        <v>7</v>
      </c>
      <c r="D652">
        <v>192</v>
      </c>
      <c r="E652">
        <f t="shared" si="48"/>
        <v>145</v>
      </c>
      <c r="F652" s="22">
        <f>STOWA2015_2050GL_W!$R30</f>
        <v>1.2424603695292994E-3</v>
      </c>
      <c r="G652" s="22" t="s">
        <v>33</v>
      </c>
      <c r="H652" s="22">
        <f>STOWA2015_2050GL_W!$R30</f>
        <v>1.2424603695292994E-3</v>
      </c>
      <c r="I652" t="str">
        <f t="shared" si="50"/>
        <v>GL2050;winter;192;145;1.2424603695293E-03;TRUE;1.2424603695293E-03</v>
      </c>
    </row>
    <row r="653" spans="1:9" x14ac:dyDescent="0.25">
      <c r="A653">
        <f t="shared" si="49"/>
        <v>22.828125</v>
      </c>
      <c r="B653" t="s">
        <v>19</v>
      </c>
      <c r="C653" t="s">
        <v>7</v>
      </c>
      <c r="D653">
        <v>192</v>
      </c>
      <c r="E653">
        <f t="shared" si="48"/>
        <v>150</v>
      </c>
      <c r="F653" s="22">
        <f>STOWA2015_2050GL_W!$R31</f>
        <v>8.2775248256471102E-4</v>
      </c>
      <c r="G653" s="22" t="s">
        <v>33</v>
      </c>
      <c r="H653" s="22">
        <f>STOWA2015_2050GL_W!$R31</f>
        <v>8.2775248256471102E-4</v>
      </c>
      <c r="I653" t="str">
        <f t="shared" si="50"/>
        <v>GL2050;winter;192;150;8.27752482564711E-04;TRUE;8.27752482564711E-04</v>
      </c>
    </row>
    <row r="654" spans="1:9" x14ac:dyDescent="0.25">
      <c r="A654">
        <f t="shared" si="49"/>
        <v>22.828125</v>
      </c>
      <c r="B654" t="s">
        <v>19</v>
      </c>
      <c r="C654" t="s">
        <v>7</v>
      </c>
      <c r="D654">
        <v>192</v>
      </c>
      <c r="E654">
        <f t="shared" si="48"/>
        <v>155</v>
      </c>
      <c r="F654" s="22">
        <f>STOWA2015_2050GL_W!$R32</f>
        <v>1.5398140256805012E-3</v>
      </c>
      <c r="G654" s="22" t="s">
        <v>33</v>
      </c>
      <c r="H654" s="22">
        <f>STOWA2015_2050GL_W!$R32</f>
        <v>1.5398140256805012E-3</v>
      </c>
      <c r="I654" t="str">
        <f t="shared" si="50"/>
        <v>GL2050;winter;192;155;1.5398140256805E-03;TRUE;1.5398140256805E-03</v>
      </c>
    </row>
    <row r="655" spans="1:9" x14ac:dyDescent="0.25">
      <c r="A655">
        <f t="shared" si="49"/>
        <v>20.291666666666664</v>
      </c>
      <c r="B655" t="s">
        <v>19</v>
      </c>
      <c r="C655" t="s">
        <v>7</v>
      </c>
      <c r="D655">
        <v>216</v>
      </c>
      <c r="E655">
        <v>25</v>
      </c>
      <c r="F655" s="22">
        <f>STOWA2015_2050GL_W!$V6</f>
        <v>29.810941625180345</v>
      </c>
      <c r="G655" s="22" t="s">
        <v>33</v>
      </c>
      <c r="H655" s="22">
        <f>STOWA2015_2050GL_W!$V6</f>
        <v>29.810941625180345</v>
      </c>
      <c r="I655" t="str">
        <f t="shared" si="50"/>
        <v>GL2050;winter;216;25;29.8109416251803;TRUE;29.8109416251803</v>
      </c>
    </row>
    <row r="656" spans="1:9" x14ac:dyDescent="0.25">
      <c r="A656">
        <f t="shared" si="49"/>
        <v>20.291666666666664</v>
      </c>
      <c r="B656" t="s">
        <v>19</v>
      </c>
      <c r="C656" t="s">
        <v>7</v>
      </c>
      <c r="D656">
        <v>216</v>
      </c>
      <c r="E656">
        <f>E655+5</f>
        <v>30</v>
      </c>
      <c r="F656" s="22">
        <f>STOWA2015_2050GL_W!$V7</f>
        <v>2.5001169600492847</v>
      </c>
      <c r="G656" s="22" t="s">
        <v>33</v>
      </c>
      <c r="H656" s="22">
        <f>STOWA2015_2050GL_W!$V7</f>
        <v>2.5001169600492847</v>
      </c>
      <c r="I656" t="str">
        <f t="shared" si="50"/>
        <v>GL2050;winter;216;30;2.50011696004928;TRUE;2.50011696004928</v>
      </c>
    </row>
    <row r="657" spans="1:9" x14ac:dyDescent="0.25">
      <c r="A657">
        <f t="shared" si="49"/>
        <v>20.291666666666664</v>
      </c>
      <c r="B657" t="s">
        <v>19</v>
      </c>
      <c r="C657" t="s">
        <v>7</v>
      </c>
      <c r="D657">
        <v>216</v>
      </c>
      <c r="E657">
        <f t="shared" ref="E657:E682" si="51">E656+5</f>
        <v>35</v>
      </c>
      <c r="F657" s="22">
        <f>STOWA2015_2050GL_W!$V8</f>
        <v>1.9481940526520125</v>
      </c>
      <c r="G657" s="22" t="s">
        <v>33</v>
      </c>
      <c r="H657" s="22">
        <f>STOWA2015_2050GL_W!$V8</f>
        <v>1.9481940526520125</v>
      </c>
      <c r="I657" t="str">
        <f t="shared" si="50"/>
        <v>GL2050;winter;216;35;1.94819405265201;TRUE;1.94819405265201</v>
      </c>
    </row>
    <row r="658" spans="1:9" x14ac:dyDescent="0.25">
      <c r="A658">
        <f t="shared" si="49"/>
        <v>20.291666666666664</v>
      </c>
      <c r="B658" t="s">
        <v>19</v>
      </c>
      <c r="C658" t="s">
        <v>7</v>
      </c>
      <c r="D658">
        <v>216</v>
      </c>
      <c r="E658">
        <f t="shared" si="51"/>
        <v>40</v>
      </c>
      <c r="F658" s="22">
        <f>STOWA2015_2050GL_W!$V9</f>
        <v>1.5116697442115807</v>
      </c>
      <c r="G658" s="22" t="s">
        <v>33</v>
      </c>
      <c r="H658" s="22">
        <f>STOWA2015_2050GL_W!$V9</f>
        <v>1.5116697442115807</v>
      </c>
      <c r="I658" t="str">
        <f t="shared" si="50"/>
        <v>GL2050;winter;216;40;1.51166974421158;TRUE;1.51166974421158</v>
      </c>
    </row>
    <row r="659" spans="1:9" x14ac:dyDescent="0.25">
      <c r="A659">
        <f t="shared" si="49"/>
        <v>20.291666666666664</v>
      </c>
      <c r="B659" t="s">
        <v>19</v>
      </c>
      <c r="C659" t="s">
        <v>7</v>
      </c>
      <c r="D659">
        <v>216</v>
      </c>
      <c r="E659">
        <f t="shared" si="51"/>
        <v>45</v>
      </c>
      <c r="F659" s="22">
        <f>STOWA2015_2050GL_W!$V10</f>
        <v>1.1678051382180366</v>
      </c>
      <c r="G659" s="22" t="s">
        <v>33</v>
      </c>
      <c r="H659" s="22">
        <f>STOWA2015_2050GL_W!$V10</f>
        <v>1.1678051382180366</v>
      </c>
      <c r="I659" t="str">
        <f t="shared" si="50"/>
        <v>GL2050;winter;216;45;1.16780513821804;TRUE;1.16780513821804</v>
      </c>
    </row>
    <row r="660" spans="1:9" x14ac:dyDescent="0.25">
      <c r="A660">
        <f t="shared" si="49"/>
        <v>20.291666666666664</v>
      </c>
      <c r="B660" t="s">
        <v>19</v>
      </c>
      <c r="C660" t="s">
        <v>7</v>
      </c>
      <c r="D660">
        <v>216</v>
      </c>
      <c r="E660">
        <f t="shared" si="51"/>
        <v>50</v>
      </c>
      <c r="F660" s="22">
        <f>STOWA2015_2050GL_W!$V11</f>
        <v>0.89805955475092869</v>
      </c>
      <c r="G660" s="22" t="s">
        <v>33</v>
      </c>
      <c r="H660" s="22">
        <f>STOWA2015_2050GL_W!$V11</f>
        <v>0.89805955475092869</v>
      </c>
      <c r="I660" t="str">
        <f t="shared" si="50"/>
        <v>GL2050;winter;216;50;0.898059554750929;TRUE;0.898059554750929</v>
      </c>
    </row>
    <row r="661" spans="1:9" x14ac:dyDescent="0.25">
      <c r="A661">
        <f t="shared" si="49"/>
        <v>20.291666666666664</v>
      </c>
      <c r="B661" t="s">
        <v>19</v>
      </c>
      <c r="C661" t="s">
        <v>7</v>
      </c>
      <c r="D661">
        <v>216</v>
      </c>
      <c r="E661">
        <f t="shared" si="51"/>
        <v>55</v>
      </c>
      <c r="F661" s="22">
        <f>STOWA2015_2050GL_W!$V12</f>
        <v>0.68736924485558326</v>
      </c>
      <c r="G661" s="22" t="s">
        <v>33</v>
      </c>
      <c r="H661" s="22">
        <f>STOWA2015_2050GL_W!$V12</f>
        <v>0.68736924485558326</v>
      </c>
      <c r="I661" t="str">
        <f t="shared" si="50"/>
        <v>GL2050;winter;216;55;0.687369244855583;TRUE;0.687369244855583</v>
      </c>
    </row>
    <row r="662" spans="1:9" x14ac:dyDescent="0.25">
      <c r="A662">
        <f t="shared" si="49"/>
        <v>20.291666666666664</v>
      </c>
      <c r="B662" t="s">
        <v>19</v>
      </c>
      <c r="C662" t="s">
        <v>7</v>
      </c>
      <c r="D662">
        <v>216</v>
      </c>
      <c r="E662">
        <f t="shared" si="51"/>
        <v>60</v>
      </c>
      <c r="F662" s="22">
        <f>STOWA2015_2050GL_W!$V13</f>
        <v>0.52354047790184821</v>
      </c>
      <c r="G662" s="22" t="s">
        <v>33</v>
      </c>
      <c r="H662" s="22">
        <f>STOWA2015_2050GL_W!$V13</f>
        <v>0.52354047790184821</v>
      </c>
      <c r="I662" t="str">
        <f t="shared" si="50"/>
        <v>GL2050;winter;216;60;0.523540477901848;TRUE;0.523540477901848</v>
      </c>
    </row>
    <row r="663" spans="1:9" x14ac:dyDescent="0.25">
      <c r="A663">
        <f t="shared" si="49"/>
        <v>20.291666666666664</v>
      </c>
      <c r="B663" t="s">
        <v>19</v>
      </c>
      <c r="C663" t="s">
        <v>7</v>
      </c>
      <c r="D663">
        <v>216</v>
      </c>
      <c r="E663">
        <f t="shared" si="51"/>
        <v>65</v>
      </c>
      <c r="F663" s="22">
        <f>STOWA2015_2050GL_W!$V14</f>
        <v>0.39674043069300691</v>
      </c>
      <c r="G663" s="22" t="s">
        <v>33</v>
      </c>
      <c r="H663" s="22">
        <f>STOWA2015_2050GL_W!$V14</f>
        <v>0.39674043069300691</v>
      </c>
      <c r="I663" t="str">
        <f t="shared" si="50"/>
        <v>GL2050;winter;216;65;0.396740430693007;TRUE;0.396740430693007</v>
      </c>
    </row>
    <row r="664" spans="1:9" x14ac:dyDescent="0.25">
      <c r="A664">
        <f t="shared" si="49"/>
        <v>20.291666666666664</v>
      </c>
      <c r="B664" t="s">
        <v>19</v>
      </c>
      <c r="C664" t="s">
        <v>7</v>
      </c>
      <c r="D664">
        <v>216</v>
      </c>
      <c r="E664">
        <f t="shared" si="51"/>
        <v>70</v>
      </c>
      <c r="F664" s="22">
        <f>STOWA2015_2050GL_W!$V15</f>
        <v>0.29907147366629683</v>
      </c>
      <c r="G664" s="22" t="s">
        <v>33</v>
      </c>
      <c r="H664" s="22">
        <f>STOWA2015_2050GL_W!$V15</f>
        <v>0.29907147366629683</v>
      </c>
      <c r="I664" t="str">
        <f t="shared" si="50"/>
        <v>GL2050;winter;216;70;0.299071473666297;TRUE;0.299071473666297</v>
      </c>
    </row>
    <row r="665" spans="1:9" x14ac:dyDescent="0.25">
      <c r="A665">
        <f t="shared" si="49"/>
        <v>20.291666666666664</v>
      </c>
      <c r="B665" t="s">
        <v>19</v>
      </c>
      <c r="C665" t="s">
        <v>7</v>
      </c>
      <c r="D665">
        <v>216</v>
      </c>
      <c r="E665">
        <f t="shared" si="51"/>
        <v>75</v>
      </c>
      <c r="F665" s="22">
        <f>STOWA2015_2050GL_W!$V16</f>
        <v>0.2242163645408588</v>
      </c>
      <c r="G665" s="22" t="s">
        <v>33</v>
      </c>
      <c r="H665" s="22">
        <f>STOWA2015_2050GL_W!$V16</f>
        <v>0.2242163645408588</v>
      </c>
      <c r="I665" t="str">
        <f t="shared" si="50"/>
        <v>GL2050;winter;216;75;0.224216364540859;TRUE;0.224216364540859</v>
      </c>
    </row>
    <row r="666" spans="1:9" x14ac:dyDescent="0.25">
      <c r="A666">
        <f t="shared" si="49"/>
        <v>20.291666666666664</v>
      </c>
      <c r="B666" t="s">
        <v>19</v>
      </c>
      <c r="C666" t="s">
        <v>7</v>
      </c>
      <c r="D666">
        <v>216</v>
      </c>
      <c r="E666">
        <f t="shared" si="51"/>
        <v>80</v>
      </c>
      <c r="F666" s="22">
        <f>STOWA2015_2050GL_W!$V17</f>
        <v>0.16714354861931818</v>
      </c>
      <c r="G666" s="22" t="s">
        <v>33</v>
      </c>
      <c r="H666" s="22">
        <f>STOWA2015_2050GL_W!$V17</f>
        <v>0.16714354861931818</v>
      </c>
      <c r="I666" t="str">
        <f t="shared" si="50"/>
        <v>GL2050;winter;216;80;0.167143548619318;TRUE;0.167143548619318</v>
      </c>
    </row>
    <row r="667" spans="1:9" x14ac:dyDescent="0.25">
      <c r="A667">
        <f t="shared" si="49"/>
        <v>20.291666666666664</v>
      </c>
      <c r="B667" t="s">
        <v>19</v>
      </c>
      <c r="C667" t="s">
        <v>7</v>
      </c>
      <c r="D667">
        <v>216</v>
      </c>
      <c r="E667">
        <f t="shared" si="51"/>
        <v>85</v>
      </c>
      <c r="F667" s="22">
        <f>STOWA2015_2050GL_W!$V18</f>
        <v>0.12386325086861455</v>
      </c>
      <c r="G667" s="22" t="s">
        <v>33</v>
      </c>
      <c r="H667" s="22">
        <f>STOWA2015_2050GL_W!$V18</f>
        <v>0.12386325086861455</v>
      </c>
      <c r="I667" t="str">
        <f t="shared" si="50"/>
        <v>GL2050;winter;216;85;0.123863250868615;TRUE;0.123863250868615</v>
      </c>
    </row>
    <row r="668" spans="1:9" x14ac:dyDescent="0.25">
      <c r="A668">
        <f t="shared" si="49"/>
        <v>20.291666666666664</v>
      </c>
      <c r="B668" t="s">
        <v>19</v>
      </c>
      <c r="C668" t="s">
        <v>7</v>
      </c>
      <c r="D668">
        <v>216</v>
      </c>
      <c r="E668">
        <f t="shared" si="51"/>
        <v>90</v>
      </c>
      <c r="F668" s="22">
        <f>STOWA2015_2050GL_W!$V19</f>
        <v>9.1226349110561433E-2</v>
      </c>
      <c r="G668" s="22" t="s">
        <v>33</v>
      </c>
      <c r="H668" s="22">
        <f>STOWA2015_2050GL_W!$V19</f>
        <v>9.1226349110561433E-2</v>
      </c>
      <c r="I668" t="str">
        <f t="shared" si="50"/>
        <v>GL2050;winter;216;90;9.12263491105614E-02;TRUE;9.12263491105614E-02</v>
      </c>
    </row>
    <row r="669" spans="1:9" x14ac:dyDescent="0.25">
      <c r="A669">
        <f t="shared" si="49"/>
        <v>20.291666666666664</v>
      </c>
      <c r="B669" t="s">
        <v>19</v>
      </c>
      <c r="C669" t="s">
        <v>7</v>
      </c>
      <c r="D669">
        <v>216</v>
      </c>
      <c r="E669">
        <f t="shared" si="51"/>
        <v>95</v>
      </c>
      <c r="F669" s="22">
        <f>STOWA2015_2050GL_W!$V20</f>
        <v>6.6759159484628933E-2</v>
      </c>
      <c r="G669" s="22" t="s">
        <v>33</v>
      </c>
      <c r="H669" s="22">
        <f>STOWA2015_2050GL_W!$V20</f>
        <v>6.6759159484628933E-2</v>
      </c>
      <c r="I669" t="str">
        <f t="shared" si="50"/>
        <v>GL2050;winter;216;95;6.67591594846289E-02;TRUE;6.67591594846289E-02</v>
      </c>
    </row>
    <row r="670" spans="1:9" x14ac:dyDescent="0.25">
      <c r="A670">
        <f t="shared" si="49"/>
        <v>20.291666666666664</v>
      </c>
      <c r="B670" t="s">
        <v>19</v>
      </c>
      <c r="C670" t="s">
        <v>7</v>
      </c>
      <c r="D670">
        <v>216</v>
      </c>
      <c r="E670">
        <f t="shared" si="51"/>
        <v>100</v>
      </c>
      <c r="F670" s="22">
        <f>STOWA2015_2050GL_W!$V21</f>
        <v>4.8528262405783285E-2</v>
      </c>
      <c r="G670" s="22" t="s">
        <v>33</v>
      </c>
      <c r="H670" s="22">
        <f>STOWA2015_2050GL_W!$V21</f>
        <v>4.8528262405783285E-2</v>
      </c>
      <c r="I670" t="str">
        <f t="shared" si="50"/>
        <v>GL2050;winter;216;100;4.85282624057833E-02;TRUE;4.85282624057833E-02</v>
      </c>
    </row>
    <row r="671" spans="1:9" x14ac:dyDescent="0.25">
      <c r="A671">
        <f t="shared" si="49"/>
        <v>20.291666666666664</v>
      </c>
      <c r="B671" t="s">
        <v>19</v>
      </c>
      <c r="C671" t="s">
        <v>7</v>
      </c>
      <c r="D671">
        <v>216</v>
      </c>
      <c r="E671">
        <f t="shared" si="51"/>
        <v>105</v>
      </c>
      <c r="F671" s="22">
        <f>STOWA2015_2050GL_W!$V22</f>
        <v>3.503036551630917E-2</v>
      </c>
      <c r="G671" s="22" t="s">
        <v>33</v>
      </c>
      <c r="H671" s="22">
        <f>STOWA2015_2050GL_W!$V22</f>
        <v>3.503036551630917E-2</v>
      </c>
      <c r="I671" t="str">
        <f t="shared" si="50"/>
        <v>GL2050;winter;216;105;3.50303655163092E-02;TRUE;3.50303655163092E-02</v>
      </c>
    </row>
    <row r="672" spans="1:9" x14ac:dyDescent="0.25">
      <c r="A672">
        <f t="shared" si="49"/>
        <v>20.291666666666664</v>
      </c>
      <c r="B672" t="s">
        <v>19</v>
      </c>
      <c r="C672" t="s">
        <v>7</v>
      </c>
      <c r="D672">
        <v>216</v>
      </c>
      <c r="E672">
        <f t="shared" si="51"/>
        <v>110</v>
      </c>
      <c r="F672" s="22">
        <f>STOWA2015_2050GL_W!$V23</f>
        <v>2.5102954116241749E-2</v>
      </c>
      <c r="G672" s="22" t="s">
        <v>33</v>
      </c>
      <c r="H672" s="22">
        <f>STOWA2015_2050GL_W!$V23</f>
        <v>2.5102954116241749E-2</v>
      </c>
      <c r="I672" t="str">
        <f t="shared" si="50"/>
        <v>GL2050;winter;216;110;2.51029541162417E-02;TRUE;2.51029541162417E-02</v>
      </c>
    </row>
    <row r="673" spans="1:9" x14ac:dyDescent="0.25">
      <c r="A673">
        <f t="shared" si="49"/>
        <v>20.291666666666664</v>
      </c>
      <c r="B673" t="s">
        <v>19</v>
      </c>
      <c r="C673" t="s">
        <v>7</v>
      </c>
      <c r="D673">
        <v>216</v>
      </c>
      <c r="E673">
        <f t="shared" si="51"/>
        <v>115</v>
      </c>
      <c r="F673" s="22">
        <f>STOWA2015_2050GL_W!$V24</f>
        <v>1.785213236535782E-2</v>
      </c>
      <c r="G673" s="22" t="s">
        <v>33</v>
      </c>
      <c r="H673" s="22">
        <f>STOWA2015_2050GL_W!$V24</f>
        <v>1.785213236535782E-2</v>
      </c>
      <c r="I673" t="str">
        <f t="shared" si="50"/>
        <v>GL2050;winter;216;115;1.78521323653578E-02;TRUE;1.78521323653578E-02</v>
      </c>
    </row>
    <row r="674" spans="1:9" x14ac:dyDescent="0.25">
      <c r="A674">
        <f t="shared" si="49"/>
        <v>20.291666666666664</v>
      </c>
      <c r="B674" t="s">
        <v>19</v>
      </c>
      <c r="C674" t="s">
        <v>7</v>
      </c>
      <c r="D674">
        <v>216</v>
      </c>
      <c r="E674">
        <f t="shared" si="51"/>
        <v>120</v>
      </c>
      <c r="F674" s="22">
        <f>STOWA2015_2050GL_W!$V25</f>
        <v>1.2594622019861206E-2</v>
      </c>
      <c r="G674" s="22" t="s">
        <v>33</v>
      </c>
      <c r="H674" s="22">
        <f>STOWA2015_2050GL_W!$V25</f>
        <v>1.2594622019861206E-2</v>
      </c>
      <c r="I674" t="str">
        <f t="shared" si="50"/>
        <v>GL2050;winter;216;120;1.25946220198612E-02;TRUE;1.25946220198612E-02</v>
      </c>
    </row>
    <row r="675" spans="1:9" x14ac:dyDescent="0.25">
      <c r="A675">
        <f t="shared" si="49"/>
        <v>20.291666666666664</v>
      </c>
      <c r="B675" t="s">
        <v>19</v>
      </c>
      <c r="C675" t="s">
        <v>7</v>
      </c>
      <c r="D675">
        <v>216</v>
      </c>
      <c r="E675">
        <f t="shared" si="51"/>
        <v>125</v>
      </c>
      <c r="F675" s="22">
        <f>STOWA2015_2050GL_W!$V26</f>
        <v>8.8113702646144577E-3</v>
      </c>
      <c r="G675" s="22" t="s">
        <v>33</v>
      </c>
      <c r="H675" s="22">
        <f>STOWA2015_2050GL_W!$V26</f>
        <v>8.8113702646144577E-3</v>
      </c>
      <c r="I675" t="str">
        <f t="shared" si="50"/>
        <v>GL2050;winter;216;125;8.81137026461446E-03;TRUE;8.81137026461446E-03</v>
      </c>
    </row>
    <row r="676" spans="1:9" x14ac:dyDescent="0.25">
      <c r="A676">
        <f t="shared" si="49"/>
        <v>20.291666666666664</v>
      </c>
      <c r="B676" t="s">
        <v>19</v>
      </c>
      <c r="C676" t="s">
        <v>7</v>
      </c>
      <c r="D676">
        <v>216</v>
      </c>
      <c r="E676">
        <f t="shared" si="51"/>
        <v>130</v>
      </c>
      <c r="F676" s="22">
        <f>STOWA2015_2050GL_W!$V27</f>
        <v>6.1106339135645737E-3</v>
      </c>
      <c r="G676" s="22" t="s">
        <v>33</v>
      </c>
      <c r="H676" s="22">
        <f>STOWA2015_2050GL_W!$V27</f>
        <v>6.1106339135645737E-3</v>
      </c>
      <c r="I676" t="str">
        <f t="shared" si="50"/>
        <v>GL2050;winter;216;130;6.11063391356457E-03;TRUE;6.11063391356457E-03</v>
      </c>
    </row>
    <row r="677" spans="1:9" x14ac:dyDescent="0.25">
      <c r="A677">
        <f t="shared" si="49"/>
        <v>20.291666666666664</v>
      </c>
      <c r="B677" t="s">
        <v>19</v>
      </c>
      <c r="C677" t="s">
        <v>7</v>
      </c>
      <c r="D677">
        <v>216</v>
      </c>
      <c r="E677">
        <f t="shared" si="51"/>
        <v>135</v>
      </c>
      <c r="F677" s="22">
        <f>STOWA2015_2050GL_W!$V28</f>
        <v>4.1987624730852463E-3</v>
      </c>
      <c r="G677" s="22" t="s">
        <v>33</v>
      </c>
      <c r="H677" s="22">
        <f>STOWA2015_2050GL_W!$V28</f>
        <v>4.1987624730852463E-3</v>
      </c>
      <c r="I677" t="str">
        <f t="shared" si="50"/>
        <v>GL2050;winter;216;135;4.19876247308525E-03;TRUE;4.19876247308525E-03</v>
      </c>
    </row>
    <row r="678" spans="1:9" x14ac:dyDescent="0.25">
      <c r="A678">
        <f t="shared" si="49"/>
        <v>20.291666666666664</v>
      </c>
      <c r="B678" t="s">
        <v>19</v>
      </c>
      <c r="C678" t="s">
        <v>7</v>
      </c>
      <c r="D678">
        <v>216</v>
      </c>
      <c r="E678">
        <f t="shared" si="51"/>
        <v>140</v>
      </c>
      <c r="F678" s="22">
        <f>STOWA2015_2050GL_W!$V29</f>
        <v>2.8572049841441832E-3</v>
      </c>
      <c r="G678" s="22" t="s">
        <v>33</v>
      </c>
      <c r="H678" s="22">
        <f>STOWA2015_2050GL_W!$V29</f>
        <v>2.8572049841441832E-3</v>
      </c>
      <c r="I678" t="str">
        <f t="shared" si="50"/>
        <v>GL2050;winter;216;140;2.85720498414418E-03;TRUE;2.85720498414418E-03</v>
      </c>
    </row>
    <row r="679" spans="1:9" x14ac:dyDescent="0.25">
      <c r="A679">
        <f t="shared" si="49"/>
        <v>20.291666666666664</v>
      </c>
      <c r="B679" t="s">
        <v>19</v>
      </c>
      <c r="C679" t="s">
        <v>7</v>
      </c>
      <c r="D679">
        <v>216</v>
      </c>
      <c r="E679">
        <f t="shared" si="51"/>
        <v>145</v>
      </c>
      <c r="F679" s="22">
        <f>STOWA2015_2050GL_W!$V30</f>
        <v>1.9245220389798178E-3</v>
      </c>
      <c r="G679" s="22" t="s">
        <v>33</v>
      </c>
      <c r="H679" s="22">
        <f>STOWA2015_2050GL_W!$V30</f>
        <v>1.9245220389798178E-3</v>
      </c>
      <c r="I679" t="str">
        <f t="shared" si="50"/>
        <v>GL2050;winter;216;145;1.92452203897982E-03;TRUE;1.92452203897982E-03</v>
      </c>
    </row>
    <row r="680" spans="1:9" x14ac:dyDescent="0.25">
      <c r="A680">
        <f t="shared" si="49"/>
        <v>20.291666666666664</v>
      </c>
      <c r="B680" t="s">
        <v>19</v>
      </c>
      <c r="C680" t="s">
        <v>7</v>
      </c>
      <c r="D680">
        <v>216</v>
      </c>
      <c r="E680">
        <f t="shared" si="51"/>
        <v>150</v>
      </c>
      <c r="F680" s="22">
        <f>STOWA2015_2050GL_W!$V31</f>
        <v>1.2824010091099006E-3</v>
      </c>
      <c r="G680" s="22" t="s">
        <v>33</v>
      </c>
      <c r="H680" s="22">
        <f>STOWA2015_2050GL_W!$V31</f>
        <v>1.2824010091099006E-3</v>
      </c>
      <c r="I680" t="str">
        <f t="shared" si="50"/>
        <v>GL2050;winter;216;150;1.2824010091099E-03;TRUE;1.2824010091099E-03</v>
      </c>
    </row>
    <row r="681" spans="1:9" x14ac:dyDescent="0.25">
      <c r="A681">
        <f t="shared" si="49"/>
        <v>20.291666666666664</v>
      </c>
      <c r="B681" t="s">
        <v>19</v>
      </c>
      <c r="C681" t="s">
        <v>7</v>
      </c>
      <c r="D681">
        <v>216</v>
      </c>
      <c r="E681">
        <f t="shared" si="51"/>
        <v>155</v>
      </c>
      <c r="F681" s="22">
        <f>STOWA2015_2050GL_W!$V32</f>
        <v>8.4485473803002547E-4</v>
      </c>
      <c r="G681" s="22" t="s">
        <v>33</v>
      </c>
      <c r="H681" s="22">
        <f>STOWA2015_2050GL_W!$V32</f>
        <v>8.4485473803002547E-4</v>
      </c>
      <c r="I681" t="str">
        <f t="shared" si="50"/>
        <v>GL2050;winter;216;155;8.44854738030025E-04;TRUE;8.44854738030025E-04</v>
      </c>
    </row>
    <row r="682" spans="1:9" x14ac:dyDescent="0.25">
      <c r="A682">
        <f t="shared" si="49"/>
        <v>20.291666666666664</v>
      </c>
      <c r="B682" t="s">
        <v>19</v>
      </c>
      <c r="C682" t="s">
        <v>7</v>
      </c>
      <c r="D682">
        <v>216</v>
      </c>
      <c r="E682">
        <f t="shared" si="51"/>
        <v>160</v>
      </c>
      <c r="F682" s="22">
        <f>STOWA2015_2050GL_W!$V33</f>
        <v>1.4778726853423066E-3</v>
      </c>
      <c r="G682" s="22" t="s">
        <v>33</v>
      </c>
      <c r="H682" s="22">
        <f>STOWA2015_2050GL_W!$V33</f>
        <v>1.4778726853423066E-3</v>
      </c>
      <c r="I682" t="str">
        <f t="shared" si="50"/>
        <v>GL2050;winter;216;160;1.47787268534231E-03;TRUE;1.47787268534231E-03</v>
      </c>
    </row>
    <row r="683" spans="1:9" x14ac:dyDescent="0.25">
      <c r="A683">
        <f t="shared" si="49"/>
        <v>182.625</v>
      </c>
      <c r="B683" t="s">
        <v>20</v>
      </c>
      <c r="C683" t="s">
        <v>11</v>
      </c>
      <c r="D683">
        <v>24</v>
      </c>
      <c r="E683">
        <v>15</v>
      </c>
      <c r="F683" s="22">
        <f>STOWA2015_2050GH_Z!$F4</f>
        <v>357.13071812610781</v>
      </c>
      <c r="G683" s="22" t="s">
        <v>33</v>
      </c>
      <c r="H683" s="22">
        <f>STOWA2015_2050GH_Z!$F4</f>
        <v>357.13071812610781</v>
      </c>
      <c r="I683" t="str">
        <f t="shared" si="50"/>
        <v>GH2050;zomer;24;15;357.130718126108;TRUE;357.130718126108</v>
      </c>
    </row>
    <row r="684" spans="1:9" x14ac:dyDescent="0.25">
      <c r="A684">
        <f t="shared" si="49"/>
        <v>182.625</v>
      </c>
      <c r="B684" t="s">
        <v>20</v>
      </c>
      <c r="C684" t="s">
        <v>11</v>
      </c>
      <c r="D684">
        <v>24</v>
      </c>
      <c r="E684">
        <f>E683+5</f>
        <v>20</v>
      </c>
      <c r="F684" s="22">
        <f>STOWA2015_2050GH_Z!$F5</f>
        <v>3.6102420913759445</v>
      </c>
      <c r="G684" s="22" t="s">
        <v>33</v>
      </c>
      <c r="H684" s="22">
        <f>STOWA2015_2050GH_Z!$F5</f>
        <v>3.6102420913759445</v>
      </c>
      <c r="I684" t="str">
        <f t="shared" si="50"/>
        <v>GH2050;zomer;24;20;3.61024209137594;TRUE;3.61024209137594</v>
      </c>
    </row>
    <row r="685" spans="1:9" x14ac:dyDescent="0.25">
      <c r="A685">
        <f t="shared" si="49"/>
        <v>182.625</v>
      </c>
      <c r="B685" t="s">
        <v>20</v>
      </c>
      <c r="C685" t="s">
        <v>11</v>
      </c>
      <c r="D685">
        <v>24</v>
      </c>
      <c r="E685">
        <f t="shared" ref="E685:E701" si="52">E684+5</f>
        <v>25</v>
      </c>
      <c r="F685" s="22">
        <f>STOWA2015_2050GH_Z!$F6</f>
        <v>1.9435654656288808</v>
      </c>
      <c r="G685" s="22" t="s">
        <v>33</v>
      </c>
      <c r="H685" s="22">
        <f>STOWA2015_2050GH_Z!$F6</f>
        <v>1.9435654656288808</v>
      </c>
      <c r="I685" t="str">
        <f t="shared" si="50"/>
        <v>GH2050;zomer;24;25;1.94356546562888;TRUE;1.94356546562888</v>
      </c>
    </row>
    <row r="686" spans="1:9" x14ac:dyDescent="0.25">
      <c r="A686">
        <f t="shared" si="49"/>
        <v>182.625</v>
      </c>
      <c r="B686" t="s">
        <v>20</v>
      </c>
      <c r="C686" t="s">
        <v>11</v>
      </c>
      <c r="D686">
        <v>24</v>
      </c>
      <c r="E686">
        <f t="shared" si="52"/>
        <v>30</v>
      </c>
      <c r="F686" s="22">
        <f>STOWA2015_2050GH_Z!$F7</f>
        <v>1.0728981224200165</v>
      </c>
      <c r="G686" s="22" t="s">
        <v>33</v>
      </c>
      <c r="H686" s="22">
        <f>STOWA2015_2050GH_Z!$F7</f>
        <v>1.0728981224200165</v>
      </c>
      <c r="I686" t="str">
        <f t="shared" si="50"/>
        <v>GH2050;zomer;24;30;1.07289812242002;TRUE;1.07289812242002</v>
      </c>
    </row>
    <row r="687" spans="1:9" x14ac:dyDescent="0.25">
      <c r="A687">
        <f t="shared" si="49"/>
        <v>182.625</v>
      </c>
      <c r="B687" t="s">
        <v>20</v>
      </c>
      <c r="C687" t="s">
        <v>11</v>
      </c>
      <c r="D687">
        <v>24</v>
      </c>
      <c r="E687">
        <f t="shared" si="52"/>
        <v>35</v>
      </c>
      <c r="F687" s="22">
        <f>STOWA2015_2050GH_Z!$F8</f>
        <v>0.60612744991526568</v>
      </c>
      <c r="G687" s="22" t="s">
        <v>33</v>
      </c>
      <c r="H687" s="22">
        <f>STOWA2015_2050GH_Z!$F8</f>
        <v>0.60612744991526568</v>
      </c>
      <c r="I687" t="str">
        <f t="shared" si="50"/>
        <v>GH2050;zomer;24;35;0.606127449915266;TRUE;0.606127449915266</v>
      </c>
    </row>
    <row r="688" spans="1:9" x14ac:dyDescent="0.25">
      <c r="A688">
        <f t="shared" si="49"/>
        <v>182.625</v>
      </c>
      <c r="B688" t="s">
        <v>20</v>
      </c>
      <c r="C688" t="s">
        <v>11</v>
      </c>
      <c r="D688">
        <v>24</v>
      </c>
      <c r="E688">
        <f t="shared" si="52"/>
        <v>40</v>
      </c>
      <c r="F688" s="22">
        <f>STOWA2015_2050GH_Z!$F9</f>
        <v>0.3498333710101893</v>
      </c>
      <c r="G688" s="22" t="s">
        <v>33</v>
      </c>
      <c r="H688" s="22">
        <f>STOWA2015_2050GH_Z!$F9</f>
        <v>0.3498333710101893</v>
      </c>
      <c r="I688" t="str">
        <f t="shared" si="50"/>
        <v>GH2050;zomer;24;40;0.349833371010189;TRUE;0.349833371010189</v>
      </c>
    </row>
    <row r="689" spans="1:9" x14ac:dyDescent="0.25">
      <c r="A689">
        <f t="shared" si="49"/>
        <v>182.625</v>
      </c>
      <c r="B689" t="s">
        <v>20</v>
      </c>
      <c r="C689" t="s">
        <v>11</v>
      </c>
      <c r="D689">
        <v>24</v>
      </c>
      <c r="E689">
        <f t="shared" si="52"/>
        <v>45</v>
      </c>
      <c r="F689" s="22">
        <f>STOWA2015_2050GH_Z!$F10</f>
        <v>0.20595769324094976</v>
      </c>
      <c r="G689" s="22" t="s">
        <v>33</v>
      </c>
      <c r="H689" s="22">
        <f>STOWA2015_2050GH_Z!$F10</f>
        <v>0.20595769324094976</v>
      </c>
      <c r="I689" t="str">
        <f t="shared" si="50"/>
        <v>GH2050;zomer;24;45;0.20595769324095;TRUE;0.20595769324095</v>
      </c>
    </row>
    <row r="690" spans="1:9" x14ac:dyDescent="0.25">
      <c r="A690">
        <f t="shared" si="49"/>
        <v>182.625</v>
      </c>
      <c r="B690" t="s">
        <v>20</v>
      </c>
      <c r="C690" t="s">
        <v>11</v>
      </c>
      <c r="D690">
        <v>24</v>
      </c>
      <c r="E690">
        <f t="shared" si="52"/>
        <v>50</v>
      </c>
      <c r="F690" s="22">
        <f>STOWA2015_2050GH_Z!$F11</f>
        <v>0.12351295820338293</v>
      </c>
      <c r="G690" s="22" t="s">
        <v>33</v>
      </c>
      <c r="H690" s="22">
        <f>STOWA2015_2050GH_Z!$F11</f>
        <v>0.12351295820338293</v>
      </c>
      <c r="I690" t="str">
        <f t="shared" si="50"/>
        <v>GH2050;zomer;24;50;0.123512958203383;TRUE;0.123512958203383</v>
      </c>
    </row>
    <row r="691" spans="1:9" x14ac:dyDescent="0.25">
      <c r="A691">
        <f t="shared" si="49"/>
        <v>182.625</v>
      </c>
      <c r="B691" t="s">
        <v>20</v>
      </c>
      <c r="C691" t="s">
        <v>11</v>
      </c>
      <c r="D691">
        <v>24</v>
      </c>
      <c r="E691">
        <f t="shared" si="52"/>
        <v>55</v>
      </c>
      <c r="F691" s="22">
        <f>STOWA2015_2050GH_Z!$F12</f>
        <v>7.5357061146889337E-2</v>
      </c>
      <c r="G691" s="22" t="s">
        <v>33</v>
      </c>
      <c r="H691" s="22">
        <f>STOWA2015_2050GH_Z!$F12</f>
        <v>7.5357061146889337E-2</v>
      </c>
      <c r="I691" t="str">
        <f t="shared" si="50"/>
        <v>GH2050;zomer;24;55;7.53570611468893E-02;TRUE;7.53570611468893E-02</v>
      </c>
    </row>
    <row r="692" spans="1:9" x14ac:dyDescent="0.25">
      <c r="A692">
        <f t="shared" si="49"/>
        <v>182.625</v>
      </c>
      <c r="B692" t="s">
        <v>20</v>
      </c>
      <c r="C692" t="s">
        <v>11</v>
      </c>
      <c r="D692">
        <v>24</v>
      </c>
      <c r="E692">
        <f t="shared" si="52"/>
        <v>60</v>
      </c>
      <c r="F692" s="22">
        <f>STOWA2015_2050GH_Z!$F13</f>
        <v>4.6722332585397194E-2</v>
      </c>
      <c r="G692" s="22" t="s">
        <v>33</v>
      </c>
      <c r="H692" s="22">
        <f>STOWA2015_2050GH_Z!$F13</f>
        <v>4.6722332585397194E-2</v>
      </c>
      <c r="I692" t="str">
        <f t="shared" si="50"/>
        <v>GH2050;zomer;24;60;4.67223325853972E-02;TRUE;4.67223325853972E-02</v>
      </c>
    </row>
    <row r="693" spans="1:9" x14ac:dyDescent="0.25">
      <c r="A693">
        <f t="shared" si="49"/>
        <v>182.625</v>
      </c>
      <c r="B693" t="s">
        <v>20</v>
      </c>
      <c r="C693" t="s">
        <v>11</v>
      </c>
      <c r="D693">
        <v>24</v>
      </c>
      <c r="E693">
        <f t="shared" si="52"/>
        <v>65</v>
      </c>
      <c r="F693" s="22">
        <f>STOWA2015_2050GH_Z!$F14</f>
        <v>2.94084889528042E-2</v>
      </c>
      <c r="G693" s="22" t="s">
        <v>33</v>
      </c>
      <c r="H693" s="22">
        <f>STOWA2015_2050GH_Z!$F14</f>
        <v>2.94084889528042E-2</v>
      </c>
      <c r="I693" t="str">
        <f t="shared" si="50"/>
        <v>GH2050;zomer;24;65;2.94084889528042E-02;TRUE;2.94084889528042E-02</v>
      </c>
    </row>
    <row r="694" spans="1:9" x14ac:dyDescent="0.25">
      <c r="A694">
        <f t="shared" si="49"/>
        <v>182.625</v>
      </c>
      <c r="B694" t="s">
        <v>20</v>
      </c>
      <c r="C694" t="s">
        <v>11</v>
      </c>
      <c r="D694">
        <v>24</v>
      </c>
      <c r="E694">
        <f t="shared" si="52"/>
        <v>70</v>
      </c>
      <c r="F694" s="22">
        <f>STOWA2015_2050GH_Z!$F15</f>
        <v>1.8774467818924695E-2</v>
      </c>
      <c r="G694" s="22" t="s">
        <v>33</v>
      </c>
      <c r="H694" s="22">
        <f>STOWA2015_2050GH_Z!$F15</f>
        <v>1.8774467818924695E-2</v>
      </c>
      <c r="I694" t="str">
        <f t="shared" si="50"/>
        <v>GH2050;zomer;24;70;1.87744678189247E-02;TRUE;1.87744678189247E-02</v>
      </c>
    </row>
    <row r="695" spans="1:9" x14ac:dyDescent="0.25">
      <c r="A695">
        <f t="shared" si="49"/>
        <v>182.625</v>
      </c>
      <c r="B695" t="s">
        <v>20</v>
      </c>
      <c r="C695" t="s">
        <v>11</v>
      </c>
      <c r="D695">
        <v>24</v>
      </c>
      <c r="E695">
        <f t="shared" si="52"/>
        <v>75</v>
      </c>
      <c r="F695" s="22">
        <f>STOWA2015_2050GH_Z!$F16</f>
        <v>1.2146304359879609E-2</v>
      </c>
      <c r="G695" s="22" t="s">
        <v>33</v>
      </c>
      <c r="H695" s="22">
        <f>STOWA2015_2050GH_Z!$F16</f>
        <v>1.2146304359879609E-2</v>
      </c>
      <c r="I695" t="str">
        <f t="shared" si="50"/>
        <v>GH2050;zomer;24;75;1.21463043598796E-02;TRUE;1.21463043598796E-02</v>
      </c>
    </row>
    <row r="696" spans="1:9" x14ac:dyDescent="0.25">
      <c r="A696">
        <f t="shared" si="49"/>
        <v>182.625</v>
      </c>
      <c r="B696" t="s">
        <v>20</v>
      </c>
      <c r="C696" t="s">
        <v>11</v>
      </c>
      <c r="D696">
        <v>24</v>
      </c>
      <c r="E696">
        <f t="shared" si="52"/>
        <v>80</v>
      </c>
      <c r="F696" s="22">
        <f>STOWA2015_2050GH_Z!$F17</f>
        <v>7.9573558871536103E-3</v>
      </c>
      <c r="G696" s="22" t="s">
        <v>33</v>
      </c>
      <c r="H696" s="22">
        <f>STOWA2015_2050GH_Z!$F17</f>
        <v>7.9573558871536103E-3</v>
      </c>
      <c r="I696" t="str">
        <f t="shared" si="50"/>
        <v>GH2050;zomer;24;80;7.95735588715361E-03;TRUE;7.95735588715361E-03</v>
      </c>
    </row>
    <row r="697" spans="1:9" x14ac:dyDescent="0.25">
      <c r="A697">
        <f t="shared" si="49"/>
        <v>182.625</v>
      </c>
      <c r="B697" t="s">
        <v>20</v>
      </c>
      <c r="C697" t="s">
        <v>11</v>
      </c>
      <c r="D697">
        <v>24</v>
      </c>
      <c r="E697">
        <f t="shared" si="52"/>
        <v>85</v>
      </c>
      <c r="F697" s="22">
        <f>STOWA2015_2050GH_Z!$F18</f>
        <v>5.2751653736579154E-3</v>
      </c>
      <c r="G697" s="22" t="s">
        <v>33</v>
      </c>
      <c r="H697" s="22">
        <f>STOWA2015_2050GH_Z!$F18</f>
        <v>5.2751653736579154E-3</v>
      </c>
      <c r="I697" t="str">
        <f t="shared" si="50"/>
        <v>GH2050;zomer;24;85;5.27516537365792E-03;TRUE;5.27516537365792E-03</v>
      </c>
    </row>
    <row r="698" spans="1:9" x14ac:dyDescent="0.25">
      <c r="A698">
        <f t="shared" si="49"/>
        <v>182.625</v>
      </c>
      <c r="B698" t="s">
        <v>20</v>
      </c>
      <c r="C698" t="s">
        <v>11</v>
      </c>
      <c r="D698">
        <v>24</v>
      </c>
      <c r="E698">
        <f t="shared" si="52"/>
        <v>90</v>
      </c>
      <c r="F698" s="22">
        <f>STOWA2015_2050GH_Z!$F19</f>
        <v>3.5364346284668634E-3</v>
      </c>
      <c r="G698" s="22" t="s">
        <v>33</v>
      </c>
      <c r="H698" s="22">
        <f>STOWA2015_2050GH_Z!$F19</f>
        <v>3.5364346284668634E-3</v>
      </c>
      <c r="I698" t="str">
        <f t="shared" si="50"/>
        <v>GH2050;zomer;24;90;3.53643462846686E-03;TRUE;3.53643462846686E-03</v>
      </c>
    </row>
    <row r="699" spans="1:9" x14ac:dyDescent="0.25">
      <c r="A699">
        <f t="shared" si="49"/>
        <v>182.625</v>
      </c>
      <c r="B699" t="s">
        <v>20</v>
      </c>
      <c r="C699" t="s">
        <v>11</v>
      </c>
      <c r="D699">
        <v>24</v>
      </c>
      <c r="E699">
        <f t="shared" si="52"/>
        <v>95</v>
      </c>
      <c r="F699" s="22">
        <f>STOWA2015_2050GH_Z!$F20</f>
        <v>2.3960693289223475E-3</v>
      </c>
      <c r="G699" s="22" t="s">
        <v>33</v>
      </c>
      <c r="H699" s="22">
        <f>STOWA2015_2050GH_Z!$F20</f>
        <v>2.3960693289223475E-3</v>
      </c>
      <c r="I699" t="str">
        <f t="shared" si="50"/>
        <v>GH2050;zomer;24;95;2.39606932892235E-03;TRUE;2.39606932892235E-03</v>
      </c>
    </row>
    <row r="700" spans="1:9" x14ac:dyDescent="0.25">
      <c r="A700">
        <f t="shared" si="49"/>
        <v>182.625</v>
      </c>
      <c r="B700" t="s">
        <v>20</v>
      </c>
      <c r="C700" t="s">
        <v>11</v>
      </c>
      <c r="D700">
        <v>24</v>
      </c>
      <c r="E700">
        <f t="shared" si="52"/>
        <v>100</v>
      </c>
      <c r="F700" s="22">
        <f>STOWA2015_2050GH_Z!$F21</f>
        <v>1.639831708360461E-3</v>
      </c>
      <c r="G700" s="22" t="s">
        <v>33</v>
      </c>
      <c r="H700" s="22">
        <f>STOWA2015_2050GH_Z!$F21</f>
        <v>1.639831708360461E-3</v>
      </c>
      <c r="I700" t="str">
        <f t="shared" si="50"/>
        <v>GH2050;zomer;24;100;1.63983170836046E-03;TRUE;1.63983170836046E-03</v>
      </c>
    </row>
    <row r="701" spans="1:9" x14ac:dyDescent="0.25">
      <c r="A701">
        <f t="shared" si="49"/>
        <v>182.625</v>
      </c>
      <c r="B701" t="s">
        <v>20</v>
      </c>
      <c r="C701" t="s">
        <v>11</v>
      </c>
      <c r="D701">
        <v>24</v>
      </c>
      <c r="E701">
        <f t="shared" si="52"/>
        <v>105</v>
      </c>
      <c r="F701" s="22">
        <f>STOWA2015_2050GH_Z!$F22</f>
        <v>3.9312103071111135E-3</v>
      </c>
      <c r="G701" s="22" t="s">
        <v>33</v>
      </c>
      <c r="H701" s="22">
        <f>STOWA2015_2050GH_Z!$F22</f>
        <v>3.9312103071111135E-3</v>
      </c>
      <c r="I701" t="str">
        <f t="shared" si="50"/>
        <v>GH2050;zomer;24;105;3.93121030711111E-03;TRUE;3.93121030711111E-03</v>
      </c>
    </row>
    <row r="702" spans="1:9" x14ac:dyDescent="0.25">
      <c r="A702">
        <f t="shared" si="49"/>
        <v>91.3125</v>
      </c>
      <c r="B702" t="s">
        <v>20</v>
      </c>
      <c r="C702" t="s">
        <v>11</v>
      </c>
      <c r="D702">
        <v>48</v>
      </c>
      <c r="E702">
        <v>15</v>
      </c>
      <c r="F702" s="22">
        <f>STOWA2015_2050GH_Z!$J4</f>
        <v>169.80973625209791</v>
      </c>
      <c r="G702" s="22" t="s">
        <v>33</v>
      </c>
      <c r="H702" s="22">
        <f>STOWA2015_2050GH_Z!$J4</f>
        <v>169.80973625209791</v>
      </c>
      <c r="I702" t="str">
        <f t="shared" si="50"/>
        <v>GH2050;zomer;48;15;169.809736252098;TRUE;169.809736252098</v>
      </c>
    </row>
    <row r="703" spans="1:9" x14ac:dyDescent="0.25">
      <c r="A703">
        <f t="shared" si="49"/>
        <v>91.3125</v>
      </c>
      <c r="B703" t="s">
        <v>20</v>
      </c>
      <c r="C703" t="s">
        <v>11</v>
      </c>
      <c r="D703">
        <v>48</v>
      </c>
      <c r="E703">
        <f>E702+5</f>
        <v>20</v>
      </c>
      <c r="F703" s="22">
        <f>STOWA2015_2050GH_Z!$J5</f>
        <v>4.9587630526661481</v>
      </c>
      <c r="G703" s="22" t="s">
        <v>33</v>
      </c>
      <c r="H703" s="22">
        <f>STOWA2015_2050GH_Z!$J5</f>
        <v>4.9587630526661481</v>
      </c>
      <c r="I703" t="str">
        <f t="shared" si="50"/>
        <v>GH2050;zomer;48;20;4.95876305266615;TRUE;4.95876305266615</v>
      </c>
    </row>
    <row r="704" spans="1:9" x14ac:dyDescent="0.25">
      <c r="A704">
        <f t="shared" si="49"/>
        <v>91.3125</v>
      </c>
      <c r="B704" t="s">
        <v>20</v>
      </c>
      <c r="C704" t="s">
        <v>11</v>
      </c>
      <c r="D704">
        <v>48</v>
      </c>
      <c r="E704">
        <f t="shared" ref="E704:E721" si="53">E703+5</f>
        <v>25</v>
      </c>
      <c r="F704" s="22">
        <f>STOWA2015_2050GH_Z!$J6</f>
        <v>2.9767416130527247</v>
      </c>
      <c r="G704" s="22" t="s">
        <v>33</v>
      </c>
      <c r="H704" s="22">
        <f>STOWA2015_2050GH_Z!$J6</f>
        <v>2.9767416130527247</v>
      </c>
      <c r="I704" t="str">
        <f t="shared" si="50"/>
        <v>GH2050;zomer;48;25;2.97674161305272;TRUE;2.97674161305272</v>
      </c>
    </row>
    <row r="705" spans="1:9" x14ac:dyDescent="0.25">
      <c r="A705">
        <f t="shared" si="49"/>
        <v>91.3125</v>
      </c>
      <c r="B705" t="s">
        <v>20</v>
      </c>
      <c r="C705" t="s">
        <v>11</v>
      </c>
      <c r="D705">
        <v>48</v>
      </c>
      <c r="E705">
        <f t="shared" si="53"/>
        <v>30</v>
      </c>
      <c r="F705" s="22">
        <f>STOWA2015_2050GH_Z!$J7</f>
        <v>1.8111558162360235</v>
      </c>
      <c r="G705" s="22" t="s">
        <v>33</v>
      </c>
      <c r="H705" s="22">
        <f>STOWA2015_2050GH_Z!$J7</f>
        <v>1.8111558162360235</v>
      </c>
      <c r="I705" t="str">
        <f t="shared" si="50"/>
        <v>GH2050;zomer;48;30;1.81115581623602;TRUE;1.81115581623602</v>
      </c>
    </row>
    <row r="706" spans="1:9" x14ac:dyDescent="0.25">
      <c r="A706">
        <f t="shared" ref="A706:A769" si="54">IF(C706="zomer",24/D706*365.25 * 6/12,24/D706*365.25 * 6/12)</f>
        <v>91.3125</v>
      </c>
      <c r="B706" t="s">
        <v>20</v>
      </c>
      <c r="C706" t="s">
        <v>11</v>
      </c>
      <c r="D706">
        <v>48</v>
      </c>
      <c r="E706">
        <f t="shared" si="53"/>
        <v>35</v>
      </c>
      <c r="F706" s="22">
        <f>STOWA2015_2050GH_Z!$J8</f>
        <v>1.1161343780680104</v>
      </c>
      <c r="G706" s="22" t="s">
        <v>33</v>
      </c>
      <c r="H706" s="22">
        <f>STOWA2015_2050GH_Z!$J8</f>
        <v>1.1161343780680104</v>
      </c>
      <c r="I706" t="str">
        <f t="shared" ref="I706:I769" si="55">CONCATENATEWITHDELIMITER(B706:H706,";")</f>
        <v>GH2050;zomer;48;35;1.11613437806801;TRUE;1.11613437806801</v>
      </c>
    </row>
    <row r="707" spans="1:9" x14ac:dyDescent="0.25">
      <c r="A707">
        <f t="shared" si="54"/>
        <v>91.3125</v>
      </c>
      <c r="B707" t="s">
        <v>20</v>
      </c>
      <c r="C707" t="s">
        <v>11</v>
      </c>
      <c r="D707">
        <v>48</v>
      </c>
      <c r="E707">
        <f t="shared" si="53"/>
        <v>40</v>
      </c>
      <c r="F707" s="22">
        <f>STOWA2015_2050GH_Z!$J9</f>
        <v>0.69621747169889514</v>
      </c>
      <c r="G707" s="22" t="s">
        <v>33</v>
      </c>
      <c r="H707" s="22">
        <f>STOWA2015_2050GH_Z!$J9</f>
        <v>0.69621747169889514</v>
      </c>
      <c r="I707" t="str">
        <f t="shared" si="55"/>
        <v>GH2050;zomer;48;40;0.696217471698895;TRUE;0.696217471698895</v>
      </c>
    </row>
    <row r="708" spans="1:9" x14ac:dyDescent="0.25">
      <c r="A708">
        <f t="shared" si="54"/>
        <v>91.3125</v>
      </c>
      <c r="B708" t="s">
        <v>20</v>
      </c>
      <c r="C708" t="s">
        <v>11</v>
      </c>
      <c r="D708">
        <v>48</v>
      </c>
      <c r="E708">
        <f t="shared" si="53"/>
        <v>45</v>
      </c>
      <c r="F708" s="22">
        <f>STOWA2015_2050GH_Z!$J10</f>
        <v>0.43932237930295837</v>
      </c>
      <c r="G708" s="22" t="s">
        <v>33</v>
      </c>
      <c r="H708" s="22">
        <f>STOWA2015_2050GH_Z!$J10</f>
        <v>0.43932237930295837</v>
      </c>
      <c r="I708" t="str">
        <f t="shared" si="55"/>
        <v>GH2050;zomer;48;45;0.439322379302958;TRUE;0.439322379302958</v>
      </c>
    </row>
    <row r="709" spans="1:9" x14ac:dyDescent="0.25">
      <c r="A709">
        <f t="shared" si="54"/>
        <v>91.3125</v>
      </c>
      <c r="B709" t="s">
        <v>20</v>
      </c>
      <c r="C709" t="s">
        <v>11</v>
      </c>
      <c r="D709">
        <v>48</v>
      </c>
      <c r="E709">
        <f t="shared" si="53"/>
        <v>50</v>
      </c>
      <c r="F709" s="22">
        <f>STOWA2015_2050GH_Z!$J11</f>
        <v>0.28028019755463163</v>
      </c>
      <c r="G709" s="22" t="s">
        <v>33</v>
      </c>
      <c r="H709" s="22">
        <f>STOWA2015_2050GH_Z!$J11</f>
        <v>0.28028019755463163</v>
      </c>
      <c r="I709" t="str">
        <f t="shared" si="55"/>
        <v>GH2050;zomer;48;50;0.280280197554632;TRUE;0.280280197554632</v>
      </c>
    </row>
    <row r="710" spans="1:9" x14ac:dyDescent="0.25">
      <c r="A710">
        <f t="shared" si="54"/>
        <v>91.3125</v>
      </c>
      <c r="B710" t="s">
        <v>20</v>
      </c>
      <c r="C710" t="s">
        <v>11</v>
      </c>
      <c r="D710">
        <v>48</v>
      </c>
      <c r="E710">
        <f t="shared" si="53"/>
        <v>55</v>
      </c>
      <c r="F710" s="22">
        <f>STOWA2015_2050GH_Z!$J12</f>
        <v>0.18069645974033821</v>
      </c>
      <c r="G710" s="22" t="s">
        <v>33</v>
      </c>
      <c r="H710" s="22">
        <f>STOWA2015_2050GH_Z!$J12</f>
        <v>0.18069645974033821</v>
      </c>
      <c r="I710" t="str">
        <f t="shared" si="55"/>
        <v>GH2050;zomer;48;55;0.180696459740338;TRUE;0.180696459740338</v>
      </c>
    </row>
    <row r="711" spans="1:9" x14ac:dyDescent="0.25">
      <c r="A711">
        <f t="shared" si="54"/>
        <v>91.3125</v>
      </c>
      <c r="B711" t="s">
        <v>20</v>
      </c>
      <c r="C711" t="s">
        <v>11</v>
      </c>
      <c r="D711">
        <v>48</v>
      </c>
      <c r="E711">
        <f t="shared" si="53"/>
        <v>60</v>
      </c>
      <c r="F711" s="22">
        <f>STOWA2015_2050GH_Z!$J13</f>
        <v>0.11766511002967442</v>
      </c>
      <c r="G711" s="22" t="s">
        <v>33</v>
      </c>
      <c r="H711" s="22">
        <f>STOWA2015_2050GH_Z!$J13</f>
        <v>0.11766511002967442</v>
      </c>
      <c r="I711" t="str">
        <f t="shared" si="55"/>
        <v>GH2050;zomer;48;60;0.117665110029674;TRUE;0.117665110029674</v>
      </c>
    </row>
    <row r="712" spans="1:9" x14ac:dyDescent="0.25">
      <c r="A712">
        <f t="shared" si="54"/>
        <v>91.3125</v>
      </c>
      <c r="B712" t="s">
        <v>20</v>
      </c>
      <c r="C712" t="s">
        <v>11</v>
      </c>
      <c r="D712">
        <v>48</v>
      </c>
      <c r="E712">
        <f t="shared" si="53"/>
        <v>65</v>
      </c>
      <c r="F712" s="22">
        <f>STOWA2015_2050GH_Z!$J14</f>
        <v>7.7355849621068978E-2</v>
      </c>
      <c r="G712" s="22" t="s">
        <v>33</v>
      </c>
      <c r="H712" s="22">
        <f>STOWA2015_2050GH_Z!$J14</f>
        <v>7.7355849621068978E-2</v>
      </c>
      <c r="I712" t="str">
        <f t="shared" si="55"/>
        <v>GH2050;zomer;48;65;0.077355849621069;TRUE;0.077355849621069</v>
      </c>
    </row>
    <row r="713" spans="1:9" x14ac:dyDescent="0.25">
      <c r="A713">
        <f t="shared" si="54"/>
        <v>91.3125</v>
      </c>
      <c r="B713" t="s">
        <v>20</v>
      </c>
      <c r="C713" t="s">
        <v>11</v>
      </c>
      <c r="D713">
        <v>48</v>
      </c>
      <c r="E713">
        <f t="shared" si="53"/>
        <v>70</v>
      </c>
      <c r="F713" s="22">
        <f>STOWA2015_2050GH_Z!$J15</f>
        <v>5.13221957835059E-2</v>
      </c>
      <c r="G713" s="22" t="s">
        <v>33</v>
      </c>
      <c r="H713" s="22">
        <f>STOWA2015_2050GH_Z!$J15</f>
        <v>5.13221957835059E-2</v>
      </c>
      <c r="I713" t="str">
        <f t="shared" si="55"/>
        <v>GH2050;zomer;48;70;5.13221957835059E-02;TRUE;5.13221957835059E-02</v>
      </c>
    </row>
    <row r="714" spans="1:9" x14ac:dyDescent="0.25">
      <c r="A714">
        <f t="shared" si="54"/>
        <v>91.3125</v>
      </c>
      <c r="B714" t="s">
        <v>20</v>
      </c>
      <c r="C714" t="s">
        <v>11</v>
      </c>
      <c r="D714">
        <v>48</v>
      </c>
      <c r="E714">
        <f t="shared" si="53"/>
        <v>75</v>
      </c>
      <c r="F714" s="22">
        <f>STOWA2015_2050GH_Z!$J16</f>
        <v>3.4349048203162091E-2</v>
      </c>
      <c r="G714" s="22" t="s">
        <v>33</v>
      </c>
      <c r="H714" s="22">
        <f>STOWA2015_2050GH_Z!$J16</f>
        <v>3.4349048203162091E-2</v>
      </c>
      <c r="I714" t="str">
        <f t="shared" si="55"/>
        <v>GH2050;zomer;48;75;3.43490482031621E-02;TRUE;3.43490482031621E-02</v>
      </c>
    </row>
    <row r="715" spans="1:9" x14ac:dyDescent="0.25">
      <c r="A715">
        <f t="shared" si="54"/>
        <v>91.3125</v>
      </c>
      <c r="B715" t="s">
        <v>20</v>
      </c>
      <c r="C715" t="s">
        <v>11</v>
      </c>
      <c r="D715">
        <v>48</v>
      </c>
      <c r="E715">
        <f t="shared" si="53"/>
        <v>80</v>
      </c>
      <c r="F715" s="22">
        <f>STOWA2015_2050GH_Z!$J17</f>
        <v>2.3182645819277391E-2</v>
      </c>
      <c r="G715" s="22" t="s">
        <v>33</v>
      </c>
      <c r="H715" s="22">
        <f>STOWA2015_2050GH_Z!$J17</f>
        <v>2.3182645819277391E-2</v>
      </c>
      <c r="I715" t="str">
        <f t="shared" si="55"/>
        <v>GH2050;zomer;48;80;2.31826458192774E-02;TRUE;2.31826458192774E-02</v>
      </c>
    </row>
    <row r="716" spans="1:9" x14ac:dyDescent="0.25">
      <c r="A716">
        <f t="shared" si="54"/>
        <v>91.3125</v>
      </c>
      <c r="B716" t="s">
        <v>20</v>
      </c>
      <c r="C716" t="s">
        <v>11</v>
      </c>
      <c r="D716">
        <v>48</v>
      </c>
      <c r="E716">
        <f t="shared" si="53"/>
        <v>85</v>
      </c>
      <c r="F716" s="22">
        <f>STOWA2015_2050GH_Z!$J18</f>
        <v>1.5772525959128751E-2</v>
      </c>
      <c r="G716" s="22" t="s">
        <v>33</v>
      </c>
      <c r="H716" s="22">
        <f>STOWA2015_2050GH_Z!$J18</f>
        <v>1.5772525959128751E-2</v>
      </c>
      <c r="I716" t="str">
        <f t="shared" si="55"/>
        <v>GH2050;zomer;48;85;1.57725259591288E-02;TRUE;1.57725259591288E-02</v>
      </c>
    </row>
    <row r="717" spans="1:9" x14ac:dyDescent="0.25">
      <c r="A717">
        <f t="shared" si="54"/>
        <v>91.3125</v>
      </c>
      <c r="B717" t="s">
        <v>20</v>
      </c>
      <c r="C717" t="s">
        <v>11</v>
      </c>
      <c r="D717">
        <v>48</v>
      </c>
      <c r="E717">
        <f t="shared" si="53"/>
        <v>90</v>
      </c>
      <c r="F717" s="22">
        <f>STOWA2015_2050GH_Z!$J19</f>
        <v>1.0814079554218287E-2</v>
      </c>
      <c r="G717" s="22" t="s">
        <v>33</v>
      </c>
      <c r="H717" s="22">
        <f>STOWA2015_2050GH_Z!$J19</f>
        <v>1.0814079554218287E-2</v>
      </c>
      <c r="I717" t="str">
        <f t="shared" si="55"/>
        <v>GH2050;zomer;48;90;1.08140795542183E-02;TRUE;1.08140795542183E-02</v>
      </c>
    </row>
    <row r="718" spans="1:9" x14ac:dyDescent="0.25">
      <c r="A718">
        <f t="shared" si="54"/>
        <v>91.3125</v>
      </c>
      <c r="B718" t="s">
        <v>20</v>
      </c>
      <c r="C718" t="s">
        <v>11</v>
      </c>
      <c r="D718">
        <v>48</v>
      </c>
      <c r="E718">
        <f t="shared" si="53"/>
        <v>95</v>
      </c>
      <c r="F718" s="22">
        <f>STOWA2015_2050GH_Z!$J20</f>
        <v>7.4695816840371111E-3</v>
      </c>
      <c r="G718" s="22" t="s">
        <v>33</v>
      </c>
      <c r="H718" s="22">
        <f>STOWA2015_2050GH_Z!$J20</f>
        <v>7.4695816840371111E-3</v>
      </c>
      <c r="I718" t="str">
        <f t="shared" si="55"/>
        <v>GH2050;zomer;48;95;7.46958168403711E-03;TRUE;7.46958168403711E-03</v>
      </c>
    </row>
    <row r="719" spans="1:9" x14ac:dyDescent="0.25">
      <c r="A719">
        <f t="shared" si="54"/>
        <v>91.3125</v>
      </c>
      <c r="B719" t="s">
        <v>20</v>
      </c>
      <c r="C719" t="s">
        <v>11</v>
      </c>
      <c r="D719">
        <v>48</v>
      </c>
      <c r="E719">
        <f t="shared" si="53"/>
        <v>100</v>
      </c>
      <c r="F719" s="22">
        <f>STOWA2015_2050GH_Z!$J21</f>
        <v>5.1963378649408538E-3</v>
      </c>
      <c r="G719" s="22" t="s">
        <v>33</v>
      </c>
      <c r="H719" s="22">
        <f>STOWA2015_2050GH_Z!$J21</f>
        <v>5.1963378649408538E-3</v>
      </c>
      <c r="I719" t="str">
        <f t="shared" si="55"/>
        <v>GH2050;zomer;48;100;5.19633786494085E-03;TRUE;5.19633786494085E-03</v>
      </c>
    </row>
    <row r="720" spans="1:9" x14ac:dyDescent="0.25">
      <c r="A720">
        <f t="shared" si="54"/>
        <v>91.3125</v>
      </c>
      <c r="B720" t="s">
        <v>20</v>
      </c>
      <c r="C720" t="s">
        <v>11</v>
      </c>
      <c r="D720">
        <v>48</v>
      </c>
      <c r="E720">
        <f t="shared" si="53"/>
        <v>105</v>
      </c>
      <c r="F720" s="22">
        <f>STOWA2015_2050GH_Z!$J22</f>
        <v>3.6397861443604514E-3</v>
      </c>
      <c r="G720" s="22" t="s">
        <v>33</v>
      </c>
      <c r="H720" s="22">
        <f>STOWA2015_2050GH_Z!$J22</f>
        <v>3.6397861443604514E-3</v>
      </c>
      <c r="I720" t="str">
        <f t="shared" si="55"/>
        <v>GH2050;zomer;48;105;3.63978614436045E-03;TRUE;3.63978614436045E-03</v>
      </c>
    </row>
    <row r="721" spans="1:9" x14ac:dyDescent="0.25">
      <c r="A721">
        <f t="shared" si="54"/>
        <v>91.3125</v>
      </c>
      <c r="B721" t="s">
        <v>20</v>
      </c>
      <c r="C721" t="s">
        <v>11</v>
      </c>
      <c r="D721">
        <v>48</v>
      </c>
      <c r="E721">
        <f t="shared" si="53"/>
        <v>110</v>
      </c>
      <c r="F721" s="22">
        <f>STOWA2015_2050GH_Z!$J23</f>
        <v>9.1852189189824702E-3</v>
      </c>
      <c r="G721" s="22" t="s">
        <v>33</v>
      </c>
      <c r="H721" s="22">
        <f>STOWA2015_2050GH_Z!$J23</f>
        <v>9.1852189189824702E-3</v>
      </c>
      <c r="I721" t="str">
        <f t="shared" si="55"/>
        <v>GH2050;zomer;48;110;9.18521891898247E-03;TRUE;9.18521891898247E-03</v>
      </c>
    </row>
    <row r="722" spans="1:9" x14ac:dyDescent="0.25">
      <c r="A722">
        <f t="shared" si="54"/>
        <v>45.65625</v>
      </c>
      <c r="B722" t="s">
        <v>20</v>
      </c>
      <c r="C722" t="s">
        <v>11</v>
      </c>
      <c r="D722">
        <v>96</v>
      </c>
      <c r="E722">
        <v>20</v>
      </c>
      <c r="F722" s="22">
        <f>STOWA2015_2050GH_Z!$N5</f>
        <v>79.654713167301338</v>
      </c>
      <c r="G722" s="22" t="s">
        <v>33</v>
      </c>
      <c r="H722" s="22">
        <f>STOWA2015_2050GH_Z!$N5</f>
        <v>79.654713167301338</v>
      </c>
      <c r="I722" t="str">
        <f t="shared" si="55"/>
        <v>GH2050;zomer;96;20;79.6547131673013;TRUE;79.6547131673013</v>
      </c>
    </row>
    <row r="723" spans="1:9" x14ac:dyDescent="0.25">
      <c r="A723">
        <f t="shared" si="54"/>
        <v>45.65625</v>
      </c>
      <c r="B723" t="s">
        <v>20</v>
      </c>
      <c r="C723" t="s">
        <v>11</v>
      </c>
      <c r="D723">
        <v>96</v>
      </c>
      <c r="E723">
        <f>E722+5</f>
        <v>25</v>
      </c>
      <c r="F723" s="22">
        <f>STOWA2015_2050GH_Z!$N6</f>
        <v>3.5089906493744092</v>
      </c>
      <c r="G723" s="22" t="s">
        <v>33</v>
      </c>
      <c r="H723" s="22">
        <f>STOWA2015_2050GH_Z!$N6</f>
        <v>3.5089906493744092</v>
      </c>
      <c r="I723" t="str">
        <f t="shared" si="55"/>
        <v>GH2050;zomer;96;25;3.50899064937441;TRUE;3.50899064937441</v>
      </c>
    </row>
    <row r="724" spans="1:9" x14ac:dyDescent="0.25">
      <c r="A724">
        <f t="shared" si="54"/>
        <v>45.65625</v>
      </c>
      <c r="B724" t="s">
        <v>20</v>
      </c>
      <c r="C724" t="s">
        <v>11</v>
      </c>
      <c r="D724">
        <v>96</v>
      </c>
      <c r="E724">
        <f t="shared" ref="E724:E742" si="56">E723+5</f>
        <v>30</v>
      </c>
      <c r="F724" s="22">
        <f>STOWA2015_2050GH_Z!$N7</f>
        <v>2.4368187557555592</v>
      </c>
      <c r="G724" s="22" t="s">
        <v>33</v>
      </c>
      <c r="H724" s="22">
        <f>STOWA2015_2050GH_Z!$N7</f>
        <v>2.4368187557555592</v>
      </c>
      <c r="I724" t="str">
        <f t="shared" si="55"/>
        <v>GH2050;zomer;96;30;2.43681875575556;TRUE;2.43681875575556</v>
      </c>
    </row>
    <row r="725" spans="1:9" x14ac:dyDescent="0.25">
      <c r="A725">
        <f t="shared" si="54"/>
        <v>45.65625</v>
      </c>
      <c r="B725" t="s">
        <v>20</v>
      </c>
      <c r="C725" t="s">
        <v>11</v>
      </c>
      <c r="D725">
        <v>96</v>
      </c>
      <c r="E725">
        <f t="shared" si="56"/>
        <v>35</v>
      </c>
      <c r="F725" s="22">
        <f>STOWA2015_2050GH_Z!$N8</f>
        <v>1.6970626320191888</v>
      </c>
      <c r="G725" s="22" t="s">
        <v>33</v>
      </c>
      <c r="H725" s="22">
        <f>STOWA2015_2050GH_Z!$N8</f>
        <v>1.6970626320191888</v>
      </c>
      <c r="I725" t="str">
        <f t="shared" si="55"/>
        <v>GH2050;zomer;96;35;1.69706263201919;TRUE;1.69706263201919</v>
      </c>
    </row>
    <row r="726" spans="1:9" x14ac:dyDescent="0.25">
      <c r="A726">
        <f t="shared" si="54"/>
        <v>45.65625</v>
      </c>
      <c r="B726" t="s">
        <v>20</v>
      </c>
      <c r="C726" t="s">
        <v>11</v>
      </c>
      <c r="D726">
        <v>96</v>
      </c>
      <c r="E726">
        <f t="shared" si="56"/>
        <v>40</v>
      </c>
      <c r="F726" s="22">
        <f>STOWA2015_2050GH_Z!$N9</f>
        <v>1.1851874965457605</v>
      </c>
      <c r="G726" s="22" t="s">
        <v>33</v>
      </c>
      <c r="H726" s="22">
        <f>STOWA2015_2050GH_Z!$N9</f>
        <v>1.1851874965457605</v>
      </c>
      <c r="I726" t="str">
        <f t="shared" si="55"/>
        <v>GH2050;zomer;96;40;1.18518749654576;TRUE;1.18518749654576</v>
      </c>
    </row>
    <row r="727" spans="1:9" x14ac:dyDescent="0.25">
      <c r="A727">
        <f t="shared" si="54"/>
        <v>45.65625</v>
      </c>
      <c r="B727" t="s">
        <v>20</v>
      </c>
      <c r="C727" t="s">
        <v>11</v>
      </c>
      <c r="D727">
        <v>96</v>
      </c>
      <c r="E727">
        <f t="shared" si="56"/>
        <v>45</v>
      </c>
      <c r="F727" s="22">
        <f>STOWA2015_2050GH_Z!$N10</f>
        <v>0.82998866828358331</v>
      </c>
      <c r="G727" s="22" t="s">
        <v>33</v>
      </c>
      <c r="H727" s="22">
        <f>STOWA2015_2050GH_Z!$N10</f>
        <v>0.82998866828358331</v>
      </c>
      <c r="I727" t="str">
        <f t="shared" si="55"/>
        <v>GH2050;zomer;96;45;0.829988668283583;TRUE;0.829988668283583</v>
      </c>
    </row>
    <row r="728" spans="1:9" x14ac:dyDescent="0.25">
      <c r="A728">
        <f t="shared" si="54"/>
        <v>45.65625</v>
      </c>
      <c r="B728" t="s">
        <v>20</v>
      </c>
      <c r="C728" t="s">
        <v>11</v>
      </c>
      <c r="D728">
        <v>96</v>
      </c>
      <c r="E728">
        <f t="shared" si="56"/>
        <v>50</v>
      </c>
      <c r="F728" s="22">
        <f>STOWA2015_2050GH_Z!$N11</f>
        <v>0.58282069646797785</v>
      </c>
      <c r="G728" s="22" t="s">
        <v>33</v>
      </c>
      <c r="H728" s="22">
        <f>STOWA2015_2050GH_Z!$N11</f>
        <v>0.58282069646797785</v>
      </c>
      <c r="I728" t="str">
        <f t="shared" si="55"/>
        <v>GH2050;zomer;96;50;0.582820696467978;TRUE;0.582820696467978</v>
      </c>
    </row>
    <row r="729" spans="1:9" x14ac:dyDescent="0.25">
      <c r="A729">
        <f t="shared" si="54"/>
        <v>45.65625</v>
      </c>
      <c r="B729" t="s">
        <v>20</v>
      </c>
      <c r="C729" t="s">
        <v>11</v>
      </c>
      <c r="D729">
        <v>96</v>
      </c>
      <c r="E729">
        <f t="shared" si="56"/>
        <v>55</v>
      </c>
      <c r="F729" s="22">
        <f>STOWA2015_2050GH_Z!$N12</f>
        <v>0.41035305453670934</v>
      </c>
      <c r="G729" s="22" t="s">
        <v>33</v>
      </c>
      <c r="H729" s="22">
        <f>STOWA2015_2050GH_Z!$N12</f>
        <v>0.41035305453670934</v>
      </c>
      <c r="I729" t="str">
        <f t="shared" si="55"/>
        <v>GH2050;zomer;96;55;0.410353054536709;TRUE;0.410353054536709</v>
      </c>
    </row>
    <row r="730" spans="1:9" x14ac:dyDescent="0.25">
      <c r="A730">
        <f t="shared" si="54"/>
        <v>45.65625</v>
      </c>
      <c r="B730" t="s">
        <v>20</v>
      </c>
      <c r="C730" t="s">
        <v>11</v>
      </c>
      <c r="D730">
        <v>96</v>
      </c>
      <c r="E730">
        <f t="shared" si="56"/>
        <v>60</v>
      </c>
      <c r="F730" s="22">
        <f>STOWA2015_2050GH_Z!$N13</f>
        <v>0.28968291394371393</v>
      </c>
      <c r="G730" s="22" t="s">
        <v>33</v>
      </c>
      <c r="H730" s="22">
        <f>STOWA2015_2050GH_Z!$N13</f>
        <v>0.28968291394371393</v>
      </c>
      <c r="I730" t="str">
        <f t="shared" si="55"/>
        <v>GH2050;zomer;96;60;0.289682913943714;TRUE;0.289682913943714</v>
      </c>
    </row>
    <row r="731" spans="1:9" x14ac:dyDescent="0.25">
      <c r="A731">
        <f t="shared" si="54"/>
        <v>45.65625</v>
      </c>
      <c r="B731" t="s">
        <v>20</v>
      </c>
      <c r="C731" t="s">
        <v>11</v>
      </c>
      <c r="D731">
        <v>96</v>
      </c>
      <c r="E731">
        <f t="shared" si="56"/>
        <v>65</v>
      </c>
      <c r="F731" s="22">
        <f>STOWA2015_2050GH_Z!$N14</f>
        <v>0.20502819405765937</v>
      </c>
      <c r="G731" s="22" t="s">
        <v>33</v>
      </c>
      <c r="H731" s="22">
        <f>STOWA2015_2050GH_Z!$N14</f>
        <v>0.20502819405765937</v>
      </c>
      <c r="I731" t="str">
        <f t="shared" si="55"/>
        <v>GH2050;zomer;96;65;0.205028194057659;TRUE;0.205028194057659</v>
      </c>
    </row>
    <row r="732" spans="1:9" x14ac:dyDescent="0.25">
      <c r="A732">
        <f t="shared" si="54"/>
        <v>45.65625</v>
      </c>
      <c r="B732" t="s">
        <v>20</v>
      </c>
      <c r="C732" t="s">
        <v>11</v>
      </c>
      <c r="D732">
        <v>96</v>
      </c>
      <c r="E732">
        <f t="shared" si="56"/>
        <v>70</v>
      </c>
      <c r="F732" s="22">
        <f>STOWA2015_2050GH_Z!$N15</f>
        <v>0.1454833042754507</v>
      </c>
      <c r="G732" s="22" t="s">
        <v>33</v>
      </c>
      <c r="H732" s="22">
        <f>STOWA2015_2050GH_Z!$N15</f>
        <v>0.1454833042754507</v>
      </c>
      <c r="I732" t="str">
        <f t="shared" si="55"/>
        <v>GH2050;zomer;96;70;0.145483304275451;TRUE;0.145483304275451</v>
      </c>
    </row>
    <row r="733" spans="1:9" x14ac:dyDescent="0.25">
      <c r="A733">
        <f t="shared" si="54"/>
        <v>45.65625</v>
      </c>
      <c r="B733" t="s">
        <v>20</v>
      </c>
      <c r="C733" t="s">
        <v>11</v>
      </c>
      <c r="D733">
        <v>96</v>
      </c>
      <c r="E733">
        <f t="shared" si="56"/>
        <v>75</v>
      </c>
      <c r="F733" s="22">
        <f>STOWA2015_2050GH_Z!$N16</f>
        <v>0.10349165324693366</v>
      </c>
      <c r="G733" s="22" t="s">
        <v>33</v>
      </c>
      <c r="H733" s="22">
        <f>STOWA2015_2050GH_Z!$N16</f>
        <v>0.10349165324693366</v>
      </c>
      <c r="I733" t="str">
        <f t="shared" si="55"/>
        <v>GH2050;zomer;96;75;0.103491653246934;TRUE;0.103491653246934</v>
      </c>
    </row>
    <row r="734" spans="1:9" x14ac:dyDescent="0.25">
      <c r="A734">
        <f t="shared" si="54"/>
        <v>45.65625</v>
      </c>
      <c r="B734" t="s">
        <v>20</v>
      </c>
      <c r="C734" t="s">
        <v>11</v>
      </c>
      <c r="D734">
        <v>96</v>
      </c>
      <c r="E734">
        <f t="shared" si="56"/>
        <v>80</v>
      </c>
      <c r="F734" s="22">
        <f>STOWA2015_2050GH_Z!$N17</f>
        <v>7.3803028080856592E-2</v>
      </c>
      <c r="G734" s="22" t="s">
        <v>33</v>
      </c>
      <c r="H734" s="22">
        <f>STOWA2015_2050GH_Z!$N17</f>
        <v>7.3803028080856592E-2</v>
      </c>
      <c r="I734" t="str">
        <f t="shared" si="55"/>
        <v>GH2050;zomer;96;80;7.38030280808566E-02;TRUE;7.38030280808566E-02</v>
      </c>
    </row>
    <row r="735" spans="1:9" x14ac:dyDescent="0.25">
      <c r="A735">
        <f t="shared" si="54"/>
        <v>45.65625</v>
      </c>
      <c r="B735" t="s">
        <v>20</v>
      </c>
      <c r="C735" t="s">
        <v>11</v>
      </c>
      <c r="D735">
        <v>96</v>
      </c>
      <c r="E735">
        <f t="shared" si="56"/>
        <v>85</v>
      </c>
      <c r="F735" s="22">
        <f>STOWA2015_2050GH_Z!$N18</f>
        <v>5.2759923809721804E-2</v>
      </c>
      <c r="G735" s="22" t="s">
        <v>33</v>
      </c>
      <c r="H735" s="22">
        <f>STOWA2015_2050GH_Z!$N18</f>
        <v>5.2759923809721804E-2</v>
      </c>
      <c r="I735" t="str">
        <f t="shared" si="55"/>
        <v>GH2050;zomer;96;85;5.27599238097218E-02;TRUE;5.27599238097218E-02</v>
      </c>
    </row>
    <row r="736" spans="1:9" x14ac:dyDescent="0.25">
      <c r="A736">
        <f t="shared" si="54"/>
        <v>45.65625</v>
      </c>
      <c r="B736" t="s">
        <v>20</v>
      </c>
      <c r="C736" t="s">
        <v>11</v>
      </c>
      <c r="D736">
        <v>96</v>
      </c>
      <c r="E736">
        <f t="shared" si="56"/>
        <v>90</v>
      </c>
      <c r="F736" s="22">
        <f>STOWA2015_2050GH_Z!$N19</f>
        <v>3.7807680204124353E-2</v>
      </c>
      <c r="G736" s="22" t="s">
        <v>33</v>
      </c>
      <c r="H736" s="22">
        <f>STOWA2015_2050GH_Z!$N19</f>
        <v>3.7807680204124353E-2</v>
      </c>
      <c r="I736" t="str">
        <f t="shared" si="55"/>
        <v>GH2050;zomer;96;90;3.78076802041244E-02;TRUE;3.78076802041244E-02</v>
      </c>
    </row>
    <row r="737" spans="1:9" x14ac:dyDescent="0.25">
      <c r="A737">
        <f t="shared" si="54"/>
        <v>45.65625</v>
      </c>
      <c r="B737" t="s">
        <v>20</v>
      </c>
      <c r="C737" t="s">
        <v>11</v>
      </c>
      <c r="D737">
        <v>96</v>
      </c>
      <c r="E737">
        <f t="shared" si="56"/>
        <v>95</v>
      </c>
      <c r="F737" s="22">
        <f>STOWA2015_2050GH_Z!$N20</f>
        <v>2.715731875314123E-2</v>
      </c>
      <c r="G737" s="22" t="s">
        <v>33</v>
      </c>
      <c r="H737" s="22">
        <f>STOWA2015_2050GH_Z!$N20</f>
        <v>2.715731875314123E-2</v>
      </c>
      <c r="I737" t="str">
        <f t="shared" si="55"/>
        <v>GH2050;zomer;96;95;2.71573187531412E-02;TRUE;2.71573187531412E-02</v>
      </c>
    </row>
    <row r="738" spans="1:9" x14ac:dyDescent="0.25">
      <c r="A738">
        <f t="shared" si="54"/>
        <v>45.65625</v>
      </c>
      <c r="B738" t="s">
        <v>20</v>
      </c>
      <c r="C738" t="s">
        <v>11</v>
      </c>
      <c r="D738">
        <v>96</v>
      </c>
      <c r="E738">
        <f t="shared" si="56"/>
        <v>100</v>
      </c>
      <c r="F738" s="22">
        <f>STOWA2015_2050GH_Z!$N21</f>
        <v>1.9552853591013525E-2</v>
      </c>
      <c r="G738" s="22" t="s">
        <v>33</v>
      </c>
      <c r="H738" s="22">
        <f>STOWA2015_2050GH_Z!$N21</f>
        <v>1.9552853591013525E-2</v>
      </c>
      <c r="I738" t="str">
        <f t="shared" si="55"/>
        <v>GH2050;zomer;96;100;1.95528535910135E-02;TRUE;1.95528535910135E-02</v>
      </c>
    </row>
    <row r="739" spans="1:9" x14ac:dyDescent="0.25">
      <c r="A739">
        <f t="shared" si="54"/>
        <v>45.65625</v>
      </c>
      <c r="B739" t="s">
        <v>20</v>
      </c>
      <c r="C739" t="s">
        <v>11</v>
      </c>
      <c r="D739">
        <v>96</v>
      </c>
      <c r="E739">
        <f t="shared" si="56"/>
        <v>105</v>
      </c>
      <c r="F739" s="22">
        <f>STOWA2015_2050GH_Z!$N22</f>
        <v>1.4110276560698243E-2</v>
      </c>
      <c r="G739" s="22" t="s">
        <v>33</v>
      </c>
      <c r="H739" s="22">
        <f>STOWA2015_2050GH_Z!$N22</f>
        <v>1.4110276560698243E-2</v>
      </c>
      <c r="I739" t="str">
        <f t="shared" si="55"/>
        <v>GH2050;zomer;96;105;1.41102765606982E-02;TRUE;1.41102765606982E-02</v>
      </c>
    </row>
    <row r="740" spans="1:9" x14ac:dyDescent="0.25">
      <c r="A740">
        <f t="shared" si="54"/>
        <v>45.65625</v>
      </c>
      <c r="B740" t="s">
        <v>20</v>
      </c>
      <c r="C740" t="s">
        <v>11</v>
      </c>
      <c r="D740">
        <v>96</v>
      </c>
      <c r="E740">
        <f t="shared" si="56"/>
        <v>110</v>
      </c>
      <c r="F740" s="22">
        <f>STOWA2015_2050GH_Z!$N23</f>
        <v>1.0205846708664673E-2</v>
      </c>
      <c r="G740" s="22" t="s">
        <v>33</v>
      </c>
      <c r="H740" s="22">
        <f>STOWA2015_2050GH_Z!$N23</f>
        <v>1.0205846708664673E-2</v>
      </c>
      <c r="I740" t="str">
        <f t="shared" si="55"/>
        <v>GH2050;zomer;96;110;1.02058467086647E-02;TRUE;1.02058467086647E-02</v>
      </c>
    </row>
    <row r="741" spans="1:9" x14ac:dyDescent="0.25">
      <c r="A741">
        <f t="shared" si="54"/>
        <v>45.65625</v>
      </c>
      <c r="B741" t="s">
        <v>20</v>
      </c>
      <c r="C741" t="s">
        <v>11</v>
      </c>
      <c r="D741">
        <v>96</v>
      </c>
      <c r="E741">
        <f t="shared" si="56"/>
        <v>115</v>
      </c>
      <c r="F741" s="22">
        <f>STOWA2015_2050GH_Z!$N24</f>
        <v>7.3983862719181857E-3</v>
      </c>
      <c r="G741" s="22" t="s">
        <v>33</v>
      </c>
      <c r="H741" s="22">
        <f>STOWA2015_2050GH_Z!$N24</f>
        <v>7.3983862719181857E-3</v>
      </c>
      <c r="I741" t="str">
        <f t="shared" si="55"/>
        <v>GH2050;zomer;96;115;7.39838627191819E-03;TRUE;7.39838627191819E-03</v>
      </c>
    </row>
    <row r="742" spans="1:9" x14ac:dyDescent="0.25">
      <c r="A742">
        <f t="shared" si="54"/>
        <v>45.65625</v>
      </c>
      <c r="B742" t="s">
        <v>20</v>
      </c>
      <c r="C742" t="s">
        <v>11</v>
      </c>
      <c r="D742">
        <v>96</v>
      </c>
      <c r="E742">
        <f t="shared" si="56"/>
        <v>120</v>
      </c>
      <c r="F742" s="22">
        <f>STOWA2015_2050GH_Z!$N25</f>
        <v>2.0083500211570227E-2</v>
      </c>
      <c r="G742" s="22" t="s">
        <v>33</v>
      </c>
      <c r="H742" s="22">
        <f>STOWA2015_2050GH_Z!$N25</f>
        <v>2.0083500211570227E-2</v>
      </c>
      <c r="I742" t="str">
        <f t="shared" si="55"/>
        <v>GH2050;zomer;96;120;2.00835002115702E-02;TRUE;2.00835002115702E-02</v>
      </c>
    </row>
    <row r="743" spans="1:9" x14ac:dyDescent="0.25">
      <c r="A743">
        <f t="shared" si="54"/>
        <v>22.828125</v>
      </c>
      <c r="B743" t="s">
        <v>20</v>
      </c>
      <c r="C743" t="s">
        <v>11</v>
      </c>
      <c r="D743">
        <v>192</v>
      </c>
      <c r="E743">
        <v>20</v>
      </c>
      <c r="F743" s="22">
        <f>STOWA2015_2050GH_Z!$R5</f>
        <v>32.660056711268695</v>
      </c>
      <c r="G743" s="22" t="s">
        <v>33</v>
      </c>
      <c r="H743" s="22">
        <f>STOWA2015_2050GH_Z!$R5</f>
        <v>32.660056711268695</v>
      </c>
      <c r="I743" t="str">
        <f t="shared" si="55"/>
        <v>GH2050;zomer;192;20;32.6600567112687;TRUE;32.6600567112687</v>
      </c>
    </row>
    <row r="744" spans="1:9" x14ac:dyDescent="0.25">
      <c r="A744">
        <f t="shared" si="54"/>
        <v>22.828125</v>
      </c>
      <c r="B744" t="s">
        <v>20</v>
      </c>
      <c r="C744" t="s">
        <v>11</v>
      </c>
      <c r="D744">
        <v>192</v>
      </c>
      <c r="E744">
        <f>E743+5</f>
        <v>25</v>
      </c>
      <c r="F744" s="22">
        <f>STOWA2015_2050GH_Z!$R6</f>
        <v>2.6399692122788263</v>
      </c>
      <c r="G744" s="22" t="s">
        <v>33</v>
      </c>
      <c r="H744" s="22">
        <f>STOWA2015_2050GH_Z!$R6</f>
        <v>2.6399692122788263</v>
      </c>
      <c r="I744" t="str">
        <f t="shared" si="55"/>
        <v>GH2050;zomer;192;25;2.63996921227883;TRUE;2.63996921227883</v>
      </c>
    </row>
    <row r="745" spans="1:9" x14ac:dyDescent="0.25">
      <c r="A745">
        <f t="shared" si="54"/>
        <v>22.828125</v>
      </c>
      <c r="B745" t="s">
        <v>20</v>
      </c>
      <c r="C745" t="s">
        <v>11</v>
      </c>
      <c r="D745">
        <v>192</v>
      </c>
      <c r="E745">
        <f t="shared" ref="E745:E769" si="57">E744+5</f>
        <v>30</v>
      </c>
      <c r="F745" s="22">
        <f>STOWA2015_2050GH_Z!$R7</f>
        <v>2.1234578004091258</v>
      </c>
      <c r="G745" s="22" t="s">
        <v>33</v>
      </c>
      <c r="H745" s="22">
        <f>STOWA2015_2050GH_Z!$R7</f>
        <v>2.1234578004091258</v>
      </c>
      <c r="I745" t="str">
        <f t="shared" si="55"/>
        <v>GH2050;zomer;192;30;2.12345780040913;TRUE;2.12345780040913</v>
      </c>
    </row>
    <row r="746" spans="1:9" x14ac:dyDescent="0.25">
      <c r="A746">
        <f t="shared" si="54"/>
        <v>22.828125</v>
      </c>
      <c r="B746" t="s">
        <v>20</v>
      </c>
      <c r="C746" t="s">
        <v>11</v>
      </c>
      <c r="D746">
        <v>192</v>
      </c>
      <c r="E746">
        <f t="shared" si="57"/>
        <v>35</v>
      </c>
      <c r="F746" s="22">
        <f>STOWA2015_2050GH_Z!$R8</f>
        <v>1.7040620375159108</v>
      </c>
      <c r="G746" s="22" t="s">
        <v>33</v>
      </c>
      <c r="H746" s="22">
        <f>STOWA2015_2050GH_Z!$R8</f>
        <v>1.7040620375159108</v>
      </c>
      <c r="I746" t="str">
        <f t="shared" si="55"/>
        <v>GH2050;zomer;192;35;1.70406203751591;TRUE;1.70406203751591</v>
      </c>
    </row>
    <row r="747" spans="1:9" x14ac:dyDescent="0.25">
      <c r="A747">
        <f t="shared" si="54"/>
        <v>22.828125</v>
      </c>
      <c r="B747" t="s">
        <v>20</v>
      </c>
      <c r="C747" t="s">
        <v>11</v>
      </c>
      <c r="D747">
        <v>192</v>
      </c>
      <c r="E747">
        <f t="shared" si="57"/>
        <v>40</v>
      </c>
      <c r="F747" s="22">
        <f>STOWA2015_2050GH_Z!$R9</f>
        <v>1.3642773197629232</v>
      </c>
      <c r="G747" s="22" t="s">
        <v>33</v>
      </c>
      <c r="H747" s="22">
        <f>STOWA2015_2050GH_Z!$R9</f>
        <v>1.3642773197629232</v>
      </c>
      <c r="I747" t="str">
        <f t="shared" si="55"/>
        <v>GH2050;zomer;192;40;1.36427731976292;TRUE;1.36427731976292</v>
      </c>
    </row>
    <row r="748" spans="1:9" x14ac:dyDescent="0.25">
      <c r="A748">
        <f t="shared" si="54"/>
        <v>22.828125</v>
      </c>
      <c r="B748" t="s">
        <v>20</v>
      </c>
      <c r="C748" t="s">
        <v>11</v>
      </c>
      <c r="D748">
        <v>192</v>
      </c>
      <c r="E748">
        <f t="shared" si="57"/>
        <v>45</v>
      </c>
      <c r="F748" s="22">
        <f>STOWA2015_2050GH_Z!$R10</f>
        <v>1.0896153329579299</v>
      </c>
      <c r="G748" s="22" t="s">
        <v>33</v>
      </c>
      <c r="H748" s="22">
        <f>STOWA2015_2050GH_Z!$R10</f>
        <v>1.0896153329579299</v>
      </c>
      <c r="I748" t="str">
        <f t="shared" si="55"/>
        <v>GH2050;zomer;192;45;1.08961533295793;TRUE;1.08961533295793</v>
      </c>
    </row>
    <row r="749" spans="1:9" x14ac:dyDescent="0.25">
      <c r="A749">
        <f t="shared" si="54"/>
        <v>22.828125</v>
      </c>
      <c r="B749" t="s">
        <v>20</v>
      </c>
      <c r="C749" t="s">
        <v>11</v>
      </c>
      <c r="D749">
        <v>192</v>
      </c>
      <c r="E749">
        <f t="shared" si="57"/>
        <v>50</v>
      </c>
      <c r="F749" s="22">
        <f>STOWA2015_2050GH_Z!$R11</f>
        <v>0.86810870220167402</v>
      </c>
      <c r="G749" s="22" t="s">
        <v>33</v>
      </c>
      <c r="H749" s="22">
        <f>STOWA2015_2050GH_Z!$R11</f>
        <v>0.86810870220167402</v>
      </c>
      <c r="I749" t="str">
        <f t="shared" si="55"/>
        <v>GH2050;zomer;192;50;0.868108702201674;TRUE;0.868108702201674</v>
      </c>
    </row>
    <row r="750" spans="1:9" x14ac:dyDescent="0.25">
      <c r="A750">
        <f t="shared" si="54"/>
        <v>22.828125</v>
      </c>
      <c r="B750" t="s">
        <v>20</v>
      </c>
      <c r="C750" t="s">
        <v>11</v>
      </c>
      <c r="D750">
        <v>192</v>
      </c>
      <c r="E750">
        <f t="shared" si="57"/>
        <v>55</v>
      </c>
      <c r="F750" s="22">
        <f>STOWA2015_2050GH_Z!$R12</f>
        <v>0.68989290285915361</v>
      </c>
      <c r="G750" s="22" t="s">
        <v>33</v>
      </c>
      <c r="H750" s="22">
        <f>STOWA2015_2050GH_Z!$R12</f>
        <v>0.68989290285915361</v>
      </c>
      <c r="I750" t="str">
        <f t="shared" si="55"/>
        <v>GH2050;zomer;192;55;0.689892902859154;TRUE;0.689892902859154</v>
      </c>
    </row>
    <row r="751" spans="1:9" x14ac:dyDescent="0.25">
      <c r="A751">
        <f t="shared" si="54"/>
        <v>22.828125</v>
      </c>
      <c r="B751" t="s">
        <v>20</v>
      </c>
      <c r="C751" t="s">
        <v>11</v>
      </c>
      <c r="D751">
        <v>192</v>
      </c>
      <c r="E751">
        <f t="shared" si="57"/>
        <v>60</v>
      </c>
      <c r="F751" s="22">
        <f>STOWA2015_2050GH_Z!$R13</f>
        <v>0.54685403269086397</v>
      </c>
      <c r="G751" s="22" t="s">
        <v>33</v>
      </c>
      <c r="H751" s="22">
        <f>STOWA2015_2050GH_Z!$R13</f>
        <v>0.54685403269086397</v>
      </c>
      <c r="I751" t="str">
        <f t="shared" si="55"/>
        <v>GH2050;zomer;192;60;0.546854032690864;TRUE;0.546854032690864</v>
      </c>
    </row>
    <row r="752" spans="1:9" x14ac:dyDescent="0.25">
      <c r="A752">
        <f t="shared" si="54"/>
        <v>22.828125</v>
      </c>
      <c r="B752" t="s">
        <v>20</v>
      </c>
      <c r="C752" t="s">
        <v>11</v>
      </c>
      <c r="D752">
        <v>192</v>
      </c>
      <c r="E752">
        <f t="shared" si="57"/>
        <v>65</v>
      </c>
      <c r="F752" s="22">
        <f>STOWA2015_2050GH_Z!$R14</f>
        <v>0.43233262916760928</v>
      </c>
      <c r="G752" s="22" t="s">
        <v>33</v>
      </c>
      <c r="H752" s="22">
        <f>STOWA2015_2050GH_Z!$R14</f>
        <v>0.43233262916760928</v>
      </c>
      <c r="I752" t="str">
        <f t="shared" si="55"/>
        <v>GH2050;zomer;192;65;0.432332629167609;TRUE;0.432332629167609</v>
      </c>
    </row>
    <row r="753" spans="1:9" x14ac:dyDescent="0.25">
      <c r="A753">
        <f t="shared" si="54"/>
        <v>22.828125</v>
      </c>
      <c r="B753" t="s">
        <v>20</v>
      </c>
      <c r="C753" t="s">
        <v>11</v>
      </c>
      <c r="D753">
        <v>192</v>
      </c>
      <c r="E753">
        <f t="shared" si="57"/>
        <v>70</v>
      </c>
      <c r="F753" s="22">
        <f>STOWA2015_2050GH_Z!$R15</f>
        <v>0.34087509391311666</v>
      </c>
      <c r="G753" s="22" t="s">
        <v>33</v>
      </c>
      <c r="H753" s="22">
        <f>STOWA2015_2050GH_Z!$R15</f>
        <v>0.34087509391311666</v>
      </c>
      <c r="I753" t="str">
        <f t="shared" si="55"/>
        <v>GH2050;zomer;192;70;0.340875093913117;TRUE;0.340875093913117</v>
      </c>
    </row>
    <row r="754" spans="1:9" x14ac:dyDescent="0.25">
      <c r="A754">
        <f t="shared" si="54"/>
        <v>22.828125</v>
      </c>
      <c r="B754" t="s">
        <v>20</v>
      </c>
      <c r="C754" t="s">
        <v>11</v>
      </c>
      <c r="D754">
        <v>192</v>
      </c>
      <c r="E754">
        <f t="shared" si="57"/>
        <v>75</v>
      </c>
      <c r="F754" s="22">
        <f>STOWA2015_2050GH_Z!$R16</f>
        <v>0.26802548290496842</v>
      </c>
      <c r="G754" s="22" t="s">
        <v>33</v>
      </c>
      <c r="H754" s="22">
        <f>STOWA2015_2050GH_Z!$R16</f>
        <v>0.26802548290496842</v>
      </c>
      <c r="I754" t="str">
        <f t="shared" si="55"/>
        <v>GH2050;zomer;192;75;0.268025482904968;TRUE;0.268025482904968</v>
      </c>
    </row>
    <row r="755" spans="1:9" x14ac:dyDescent="0.25">
      <c r="A755">
        <f t="shared" si="54"/>
        <v>22.828125</v>
      </c>
      <c r="B755" t="s">
        <v>20</v>
      </c>
      <c r="C755" t="s">
        <v>11</v>
      </c>
      <c r="D755">
        <v>192</v>
      </c>
      <c r="E755">
        <f t="shared" si="57"/>
        <v>80</v>
      </c>
      <c r="F755" s="22">
        <f>STOWA2015_2050GH_Z!$R17</f>
        <v>0.21015145871494345</v>
      </c>
      <c r="G755" s="22" t="s">
        <v>33</v>
      </c>
      <c r="H755" s="22">
        <f>STOWA2015_2050GH_Z!$R17</f>
        <v>0.21015145871494345</v>
      </c>
      <c r="I755" t="str">
        <f t="shared" si="55"/>
        <v>GH2050;zomer;192;80;0.210151458714943;TRUE;0.210151458714943</v>
      </c>
    </row>
    <row r="756" spans="1:9" x14ac:dyDescent="0.25">
      <c r="A756">
        <f t="shared" si="54"/>
        <v>22.828125</v>
      </c>
      <c r="B756" t="s">
        <v>20</v>
      </c>
      <c r="C756" t="s">
        <v>11</v>
      </c>
      <c r="D756">
        <v>192</v>
      </c>
      <c r="E756">
        <f t="shared" si="57"/>
        <v>85</v>
      </c>
      <c r="F756" s="22">
        <f>STOWA2015_2050GH_Z!$R18</f>
        <v>0.16429909937062981</v>
      </c>
      <c r="G756" s="22" t="s">
        <v>33</v>
      </c>
      <c r="H756" s="22">
        <f>STOWA2015_2050GH_Z!$R18</f>
        <v>0.16429909937062981</v>
      </c>
      <c r="I756" t="str">
        <f t="shared" si="55"/>
        <v>GH2050;zomer;192;85;0.16429909937063;TRUE;0.16429909937063</v>
      </c>
    </row>
    <row r="757" spans="1:9" x14ac:dyDescent="0.25">
      <c r="A757">
        <f t="shared" si="54"/>
        <v>22.828125</v>
      </c>
      <c r="B757" t="s">
        <v>20</v>
      </c>
      <c r="C757" t="s">
        <v>11</v>
      </c>
      <c r="D757">
        <v>192</v>
      </c>
      <c r="E757">
        <f t="shared" si="57"/>
        <v>90</v>
      </c>
      <c r="F757" s="22">
        <f>STOWA2015_2050GH_Z!$R19</f>
        <v>0.12807203480333562</v>
      </c>
      <c r="G757" s="22" t="s">
        <v>33</v>
      </c>
      <c r="H757" s="22">
        <f>STOWA2015_2050GH_Z!$R19</f>
        <v>0.12807203480333562</v>
      </c>
      <c r="I757" t="str">
        <f t="shared" si="55"/>
        <v>GH2050;zomer;192;90;0.128072034803336;TRUE;0.128072034803336</v>
      </c>
    </row>
    <row r="758" spans="1:9" x14ac:dyDescent="0.25">
      <c r="A758">
        <f t="shared" si="54"/>
        <v>22.828125</v>
      </c>
      <c r="B758" t="s">
        <v>20</v>
      </c>
      <c r="C758" t="s">
        <v>11</v>
      </c>
      <c r="D758">
        <v>192</v>
      </c>
      <c r="E758">
        <f t="shared" si="57"/>
        <v>95</v>
      </c>
      <c r="F758" s="22">
        <f>STOWA2015_2050GH_Z!$R20</f>
        <v>9.9531051728144027E-2</v>
      </c>
      <c r="G758" s="22" t="s">
        <v>33</v>
      </c>
      <c r="H758" s="22">
        <f>STOWA2015_2050GH_Z!$R20</f>
        <v>9.9531051728144027E-2</v>
      </c>
      <c r="I758" t="str">
        <f t="shared" si="55"/>
        <v>GH2050;zomer;192;95;0.099531051728144;TRUE;0.099531051728144</v>
      </c>
    </row>
    <row r="759" spans="1:9" x14ac:dyDescent="0.25">
      <c r="A759">
        <f t="shared" si="54"/>
        <v>22.828125</v>
      </c>
      <c r="B759" t="s">
        <v>20</v>
      </c>
      <c r="C759" t="s">
        <v>11</v>
      </c>
      <c r="D759">
        <v>192</v>
      </c>
      <c r="E759">
        <f t="shared" si="57"/>
        <v>100</v>
      </c>
      <c r="F759" s="22">
        <f>STOWA2015_2050GH_Z!$R21</f>
        <v>7.7110884793213541E-2</v>
      </c>
      <c r="G759" s="22" t="s">
        <v>33</v>
      </c>
      <c r="H759" s="22">
        <f>STOWA2015_2050GH_Z!$R21</f>
        <v>7.7110884793213541E-2</v>
      </c>
      <c r="I759" t="str">
        <f t="shared" si="55"/>
        <v>GH2050;zomer;192;100;7.71108847932135E-02;TRUE;7.71108847932135E-02</v>
      </c>
    </row>
    <row r="760" spans="1:9" x14ac:dyDescent="0.25">
      <c r="A760">
        <f t="shared" si="54"/>
        <v>22.828125</v>
      </c>
      <c r="B760" t="s">
        <v>20</v>
      </c>
      <c r="C760" t="s">
        <v>11</v>
      </c>
      <c r="D760">
        <v>192</v>
      </c>
      <c r="E760">
        <f t="shared" si="57"/>
        <v>105</v>
      </c>
      <c r="F760" s="22">
        <f>STOWA2015_2050GH_Z!$R22</f>
        <v>5.9551407939601508E-2</v>
      </c>
      <c r="G760" s="22" t="s">
        <v>33</v>
      </c>
      <c r="H760" s="22">
        <f>STOWA2015_2050GH_Z!$R22</f>
        <v>5.9551407939601508E-2</v>
      </c>
      <c r="I760" t="str">
        <f t="shared" si="55"/>
        <v>GH2050;zomer;192;105;5.95514079396015E-02;TRUE;5.95514079396015E-02</v>
      </c>
    </row>
    <row r="761" spans="1:9" x14ac:dyDescent="0.25">
      <c r="A761">
        <f t="shared" si="54"/>
        <v>22.828125</v>
      </c>
      <c r="B761" t="s">
        <v>20</v>
      </c>
      <c r="C761" t="s">
        <v>11</v>
      </c>
      <c r="D761">
        <v>192</v>
      </c>
      <c r="E761">
        <f t="shared" si="57"/>
        <v>110</v>
      </c>
      <c r="F761" s="22">
        <f>STOWA2015_2050GH_Z!$R23</f>
        <v>4.5840865698304117E-2</v>
      </c>
      <c r="G761" s="22" t="s">
        <v>33</v>
      </c>
      <c r="H761" s="22">
        <f>STOWA2015_2050GH_Z!$R23</f>
        <v>4.5840865698304117E-2</v>
      </c>
      <c r="I761" t="str">
        <f t="shared" si="55"/>
        <v>GH2050;zomer;192;110;4.58408656983041E-02;TRUE;4.58408656983041E-02</v>
      </c>
    </row>
    <row r="762" spans="1:9" x14ac:dyDescent="0.25">
      <c r="A762">
        <f t="shared" si="54"/>
        <v>22.828125</v>
      </c>
      <c r="B762" t="s">
        <v>20</v>
      </c>
      <c r="C762" t="s">
        <v>11</v>
      </c>
      <c r="D762">
        <v>192</v>
      </c>
      <c r="E762">
        <f t="shared" si="57"/>
        <v>115</v>
      </c>
      <c r="F762" s="22">
        <f>STOWA2015_2050GH_Z!$R24</f>
        <v>3.5169148907951989E-2</v>
      </c>
      <c r="G762" s="22" t="s">
        <v>33</v>
      </c>
      <c r="H762" s="22">
        <f>STOWA2015_2050GH_Z!$R24</f>
        <v>3.5169148907951989E-2</v>
      </c>
      <c r="I762" t="str">
        <f t="shared" si="55"/>
        <v>GH2050;zomer;192;115;0.035169148907952;TRUE;0.035169148907952</v>
      </c>
    </row>
    <row r="763" spans="1:9" x14ac:dyDescent="0.25">
      <c r="A763">
        <f t="shared" si="54"/>
        <v>22.828125</v>
      </c>
      <c r="B763" t="s">
        <v>20</v>
      </c>
      <c r="C763" t="s">
        <v>11</v>
      </c>
      <c r="D763">
        <v>192</v>
      </c>
      <c r="E763">
        <f t="shared" si="57"/>
        <v>120</v>
      </c>
      <c r="F763" s="22">
        <f>STOWA2015_2050GH_Z!$R25</f>
        <v>2.6889431219175031E-2</v>
      </c>
      <c r="G763" s="22" t="s">
        <v>33</v>
      </c>
      <c r="H763" s="22">
        <f>STOWA2015_2050GH_Z!$R25</f>
        <v>2.6889431219175031E-2</v>
      </c>
      <c r="I763" t="str">
        <f t="shared" si="55"/>
        <v>GH2050;zomer;192;120;0.026889431219175;TRUE;0.026889431219175</v>
      </c>
    </row>
    <row r="764" spans="1:9" x14ac:dyDescent="0.25">
      <c r="A764">
        <f t="shared" si="54"/>
        <v>22.828125</v>
      </c>
      <c r="B764" t="s">
        <v>20</v>
      </c>
      <c r="C764" t="s">
        <v>11</v>
      </c>
      <c r="D764">
        <v>192</v>
      </c>
      <c r="E764">
        <f t="shared" si="57"/>
        <v>125</v>
      </c>
      <c r="F764" s="22">
        <f>STOWA2015_2050GH_Z!$R26</f>
        <v>2.0486748905968161E-2</v>
      </c>
      <c r="G764" s="22" t="s">
        <v>33</v>
      </c>
      <c r="H764" s="22">
        <f>STOWA2015_2050GH_Z!$R26</f>
        <v>2.0486748905968161E-2</v>
      </c>
      <c r="I764" t="str">
        <f t="shared" si="55"/>
        <v>GH2050;zomer;192;125;2.04867489059682E-02;TRUE;2.04867489059682E-02</v>
      </c>
    </row>
    <row r="765" spans="1:9" x14ac:dyDescent="0.25">
      <c r="A765">
        <f t="shared" si="54"/>
        <v>22.828125</v>
      </c>
      <c r="B765" t="s">
        <v>20</v>
      </c>
      <c r="C765" t="s">
        <v>11</v>
      </c>
      <c r="D765">
        <v>192</v>
      </c>
      <c r="E765">
        <f t="shared" si="57"/>
        <v>130</v>
      </c>
      <c r="F765" s="22">
        <f>STOWA2015_2050GH_Z!$R27</f>
        <v>1.5552333182358095E-2</v>
      </c>
      <c r="G765" s="22" t="s">
        <v>33</v>
      </c>
      <c r="H765" s="22">
        <f>STOWA2015_2050GH_Z!$R27</f>
        <v>1.5552333182358095E-2</v>
      </c>
      <c r="I765" t="str">
        <f t="shared" si="55"/>
        <v>GH2050;zomer;192;130;1.55523331823581E-02;TRUE;1.55523331823581E-02</v>
      </c>
    </row>
    <row r="766" spans="1:9" x14ac:dyDescent="0.25">
      <c r="A766">
        <f t="shared" si="54"/>
        <v>22.828125</v>
      </c>
      <c r="B766" t="s">
        <v>20</v>
      </c>
      <c r="C766" t="s">
        <v>11</v>
      </c>
      <c r="D766">
        <v>192</v>
      </c>
      <c r="E766">
        <f t="shared" si="57"/>
        <v>135</v>
      </c>
      <c r="F766" s="22">
        <f>STOWA2015_2050GH_Z!$R28</f>
        <v>1.176269688485989E-2</v>
      </c>
      <c r="G766" s="22" t="s">
        <v>33</v>
      </c>
      <c r="H766" s="22">
        <f>STOWA2015_2050GH_Z!$R28</f>
        <v>1.176269688485989E-2</v>
      </c>
      <c r="I766" t="str">
        <f t="shared" si="55"/>
        <v>GH2050;zomer;192;135;1.17626968848599E-02;TRUE;1.17626968848599E-02</v>
      </c>
    </row>
    <row r="767" spans="1:9" x14ac:dyDescent="0.25">
      <c r="A767">
        <f t="shared" si="54"/>
        <v>22.828125</v>
      </c>
      <c r="B767" t="s">
        <v>20</v>
      </c>
      <c r="C767" t="s">
        <v>11</v>
      </c>
      <c r="D767">
        <v>192</v>
      </c>
      <c r="E767">
        <f t="shared" si="57"/>
        <v>140</v>
      </c>
      <c r="F767" s="22">
        <f>STOWA2015_2050GH_Z!$R29</f>
        <v>8.8626407887309779E-3</v>
      </c>
      <c r="G767" s="22" t="s">
        <v>33</v>
      </c>
      <c r="H767" s="22">
        <f>STOWA2015_2050GH_Z!$R29</f>
        <v>8.8626407887309779E-3</v>
      </c>
      <c r="I767" t="str">
        <f t="shared" si="55"/>
        <v>GH2050;zomer;192;140;8.86264078873098E-03;TRUE;8.86264078873098E-03</v>
      </c>
    </row>
    <row r="768" spans="1:9" x14ac:dyDescent="0.25">
      <c r="A768">
        <f t="shared" si="54"/>
        <v>22.828125</v>
      </c>
      <c r="B768" t="s">
        <v>20</v>
      </c>
      <c r="C768" t="s">
        <v>11</v>
      </c>
      <c r="D768">
        <v>192</v>
      </c>
      <c r="E768">
        <f t="shared" si="57"/>
        <v>145</v>
      </c>
      <c r="F768" s="22">
        <f>STOWA2015_2050GH_Z!$R30</f>
        <v>6.6514831228732911E-3</v>
      </c>
      <c r="G768" s="22" t="s">
        <v>33</v>
      </c>
      <c r="H768" s="22">
        <f>STOWA2015_2050GH_Z!$R30</f>
        <v>6.6514831228732911E-3</v>
      </c>
      <c r="I768" t="str">
        <f t="shared" si="55"/>
        <v>GH2050;zomer;192;145;6.65148312287329E-03;TRUE;6.65148312287329E-03</v>
      </c>
    </row>
    <row r="769" spans="1:9" x14ac:dyDescent="0.25">
      <c r="A769">
        <f t="shared" si="54"/>
        <v>22.828125</v>
      </c>
      <c r="B769" t="s">
        <v>20</v>
      </c>
      <c r="C769" t="s">
        <v>11</v>
      </c>
      <c r="D769">
        <v>192</v>
      </c>
      <c r="E769">
        <f t="shared" si="57"/>
        <v>150</v>
      </c>
      <c r="F769" s="22">
        <f>STOWA2015_2050GH_Z!$R31</f>
        <v>1.8791456009110405E-2</v>
      </c>
      <c r="G769" s="22" t="s">
        <v>33</v>
      </c>
      <c r="H769" s="22">
        <f>STOWA2015_2050GH_Z!$R31</f>
        <v>1.8791456009110405E-2</v>
      </c>
      <c r="I769" t="str">
        <f t="shared" si="55"/>
        <v>GH2050;zomer;192;150;1.87914560091104E-02;TRUE;1.87914560091104E-02</v>
      </c>
    </row>
    <row r="770" spans="1:9" x14ac:dyDescent="0.25">
      <c r="A770">
        <f t="shared" ref="A770:A833" si="58">IF(C770="zomer",24/D770*365.25 * 6/12,24/D770*365.25 * 6/12)</f>
        <v>20.291666666666664</v>
      </c>
      <c r="B770" t="s">
        <v>20</v>
      </c>
      <c r="C770" t="s">
        <v>11</v>
      </c>
      <c r="D770">
        <v>216</v>
      </c>
      <c r="E770">
        <v>20</v>
      </c>
      <c r="F770" s="22">
        <f>STOWA2015_2050GH_Z!$V5</f>
        <v>27.784951123737613</v>
      </c>
      <c r="G770" s="22" t="s">
        <v>33</v>
      </c>
      <c r="H770" s="22">
        <f>STOWA2015_2050GH_Z!$V5</f>
        <v>27.784951123737613</v>
      </c>
      <c r="I770" t="str">
        <f t="shared" ref="I770:I833" si="59">CONCATENATEWITHDELIMITER(B770:H770,";")</f>
        <v>GH2050;zomer;216;20;27.7849511237376;TRUE;27.7849511237376</v>
      </c>
    </row>
    <row r="771" spans="1:9" x14ac:dyDescent="0.25">
      <c r="A771">
        <f t="shared" si="58"/>
        <v>20.291666666666664</v>
      </c>
      <c r="B771" t="s">
        <v>20</v>
      </c>
      <c r="C771" t="s">
        <v>11</v>
      </c>
      <c r="D771">
        <v>216</v>
      </c>
      <c r="E771">
        <f>E770+5</f>
        <v>25</v>
      </c>
      <c r="F771" s="22">
        <f>STOWA2015_2050GH_Z!$V6</f>
        <v>2.3819220365841058</v>
      </c>
      <c r="G771" s="22" t="s">
        <v>33</v>
      </c>
      <c r="H771" s="22">
        <f>STOWA2015_2050GH_Z!$V6</f>
        <v>2.3819220365841058</v>
      </c>
      <c r="I771" t="str">
        <f t="shared" si="59"/>
        <v>GH2050;zomer;216;25;2.38192203658411;TRUE;2.38192203658411</v>
      </c>
    </row>
    <row r="772" spans="1:9" x14ac:dyDescent="0.25">
      <c r="A772">
        <f t="shared" si="58"/>
        <v>20.291666666666664</v>
      </c>
      <c r="B772" t="s">
        <v>20</v>
      </c>
      <c r="C772" t="s">
        <v>11</v>
      </c>
      <c r="D772">
        <v>216</v>
      </c>
      <c r="E772">
        <f t="shared" ref="E772:E797" si="60">E771+5</f>
        <v>30</v>
      </c>
      <c r="F772" s="22">
        <f>STOWA2015_2050GH_Z!$V7</f>
        <v>1.9615368962913315</v>
      </c>
      <c r="G772" s="22" t="s">
        <v>33</v>
      </c>
      <c r="H772" s="22">
        <f>STOWA2015_2050GH_Z!$V7</f>
        <v>1.9615368962913315</v>
      </c>
      <c r="I772" t="str">
        <f t="shared" si="59"/>
        <v>GH2050;zomer;216;30;1.96153689629133;TRUE;1.96153689629133</v>
      </c>
    </row>
    <row r="773" spans="1:9" x14ac:dyDescent="0.25">
      <c r="A773">
        <f t="shared" si="58"/>
        <v>20.291666666666664</v>
      </c>
      <c r="B773" t="s">
        <v>20</v>
      </c>
      <c r="C773" t="s">
        <v>11</v>
      </c>
      <c r="D773">
        <v>216</v>
      </c>
      <c r="E773">
        <f t="shared" si="60"/>
        <v>35</v>
      </c>
      <c r="F773" s="22">
        <f>STOWA2015_2050GH_Z!$V8</f>
        <v>1.6112022283301242</v>
      </c>
      <c r="G773" s="22" t="s">
        <v>33</v>
      </c>
      <c r="H773" s="22">
        <f>STOWA2015_2050GH_Z!$V8</f>
        <v>1.6112022283301242</v>
      </c>
      <c r="I773" t="str">
        <f t="shared" si="59"/>
        <v>GH2050;zomer;216;35;1.61120222833012;TRUE;1.61120222833012</v>
      </c>
    </row>
    <row r="774" spans="1:9" x14ac:dyDescent="0.25">
      <c r="A774">
        <f t="shared" si="58"/>
        <v>20.291666666666664</v>
      </c>
      <c r="B774" t="s">
        <v>20</v>
      </c>
      <c r="C774" t="s">
        <v>11</v>
      </c>
      <c r="D774">
        <v>216</v>
      </c>
      <c r="E774">
        <f t="shared" si="60"/>
        <v>40</v>
      </c>
      <c r="F774" s="22">
        <f>STOWA2015_2050GH_Z!$V9</f>
        <v>1.3199526908005002</v>
      </c>
      <c r="G774" s="22" t="s">
        <v>33</v>
      </c>
      <c r="H774" s="22">
        <f>STOWA2015_2050GH_Z!$V9</f>
        <v>1.3199526908005002</v>
      </c>
      <c r="I774" t="str">
        <f t="shared" si="59"/>
        <v>GH2050;zomer;216;40;1.3199526908005;TRUE;1.3199526908005</v>
      </c>
    </row>
    <row r="775" spans="1:9" x14ac:dyDescent="0.25">
      <c r="A775">
        <f t="shared" si="58"/>
        <v>20.291666666666664</v>
      </c>
      <c r="B775" t="s">
        <v>20</v>
      </c>
      <c r="C775" t="s">
        <v>11</v>
      </c>
      <c r="D775">
        <v>216</v>
      </c>
      <c r="E775">
        <f t="shared" si="60"/>
        <v>45</v>
      </c>
      <c r="F775" s="22">
        <f>STOWA2015_2050GH_Z!$V10</f>
        <v>1.0784258904509914</v>
      </c>
      <c r="G775" s="22" t="s">
        <v>33</v>
      </c>
      <c r="H775" s="22">
        <f>STOWA2015_2050GH_Z!$V10</f>
        <v>1.0784258904509914</v>
      </c>
      <c r="I775" t="str">
        <f t="shared" si="59"/>
        <v>GH2050;zomer;216;45;1.07842589045099;TRUE;1.07842589045099</v>
      </c>
    </row>
    <row r="776" spans="1:9" x14ac:dyDescent="0.25">
      <c r="A776">
        <f t="shared" si="58"/>
        <v>20.291666666666664</v>
      </c>
      <c r="B776" t="s">
        <v>20</v>
      </c>
      <c r="C776" t="s">
        <v>11</v>
      </c>
      <c r="D776">
        <v>216</v>
      </c>
      <c r="E776">
        <f t="shared" si="60"/>
        <v>50</v>
      </c>
      <c r="F776" s="22">
        <f>STOWA2015_2050GH_Z!$V11</f>
        <v>0.87864507206428533</v>
      </c>
      <c r="G776" s="22" t="s">
        <v>33</v>
      </c>
      <c r="H776" s="22">
        <f>STOWA2015_2050GH_Z!$V11</f>
        <v>0.87864507206428533</v>
      </c>
      <c r="I776" t="str">
        <f t="shared" si="59"/>
        <v>GH2050;zomer;216;50;0.878645072064285;TRUE;0.878645072064285</v>
      </c>
    </row>
    <row r="777" spans="1:9" x14ac:dyDescent="0.25">
      <c r="A777">
        <f t="shared" si="58"/>
        <v>20.291666666666664</v>
      </c>
      <c r="B777" t="s">
        <v>20</v>
      </c>
      <c r="C777" t="s">
        <v>11</v>
      </c>
      <c r="D777">
        <v>216</v>
      </c>
      <c r="E777">
        <f t="shared" si="60"/>
        <v>55</v>
      </c>
      <c r="F777" s="22">
        <f>STOWA2015_2050GH_Z!$V12</f>
        <v>0.71382890277796029</v>
      </c>
      <c r="G777" s="22" t="s">
        <v>33</v>
      </c>
      <c r="H777" s="22">
        <f>STOWA2015_2050GH_Z!$V12</f>
        <v>0.71382890277796029</v>
      </c>
      <c r="I777" t="str">
        <f t="shared" si="59"/>
        <v>GH2050;zomer;216;55;0.71382890277796;TRUE;0.71382890277796</v>
      </c>
    </row>
    <row r="778" spans="1:9" x14ac:dyDescent="0.25">
      <c r="A778">
        <f t="shared" si="58"/>
        <v>20.291666666666664</v>
      </c>
      <c r="B778" t="s">
        <v>20</v>
      </c>
      <c r="C778" t="s">
        <v>11</v>
      </c>
      <c r="D778">
        <v>216</v>
      </c>
      <c r="E778">
        <f t="shared" si="60"/>
        <v>60</v>
      </c>
      <c r="F778" s="22">
        <f>STOWA2015_2050GH_Z!$V13</f>
        <v>0.57822527570261251</v>
      </c>
      <c r="G778" s="22" t="s">
        <v>33</v>
      </c>
      <c r="H778" s="22">
        <f>STOWA2015_2050GH_Z!$V13</f>
        <v>0.57822527570261251</v>
      </c>
      <c r="I778" t="str">
        <f t="shared" si="59"/>
        <v>GH2050;zomer;216;60;0.578225275702613;TRUE;0.578225275702613</v>
      </c>
    </row>
    <row r="779" spans="1:9" x14ac:dyDescent="0.25">
      <c r="A779">
        <f t="shared" si="58"/>
        <v>20.291666666666664</v>
      </c>
      <c r="B779" t="s">
        <v>20</v>
      </c>
      <c r="C779" t="s">
        <v>11</v>
      </c>
      <c r="D779">
        <v>216</v>
      </c>
      <c r="E779">
        <f t="shared" si="60"/>
        <v>65</v>
      </c>
      <c r="F779" s="22">
        <f>STOWA2015_2050GH_Z!$V14</f>
        <v>0.46696637106129524</v>
      </c>
      <c r="G779" s="22" t="s">
        <v>33</v>
      </c>
      <c r="H779" s="22">
        <f>STOWA2015_2050GH_Z!$V14</f>
        <v>0.46696637106129524</v>
      </c>
      <c r="I779" t="str">
        <f t="shared" si="59"/>
        <v>GH2050;zomer;216;65;0.466966371061295;TRUE;0.466966371061295</v>
      </c>
    </row>
    <row r="780" spans="1:9" x14ac:dyDescent="0.25">
      <c r="A780">
        <f t="shared" si="58"/>
        <v>20.291666666666664</v>
      </c>
      <c r="B780" t="s">
        <v>20</v>
      </c>
      <c r="C780" t="s">
        <v>11</v>
      </c>
      <c r="D780">
        <v>216</v>
      </c>
      <c r="E780">
        <f t="shared" si="60"/>
        <v>70</v>
      </c>
      <c r="F780" s="22">
        <f>STOWA2015_2050GH_Z!$V15</f>
        <v>0.37594249860829865</v>
      </c>
      <c r="G780" s="22" t="s">
        <v>33</v>
      </c>
      <c r="H780" s="22">
        <f>STOWA2015_2050GH_Z!$V15</f>
        <v>0.37594249860829865</v>
      </c>
      <c r="I780" t="str">
        <f t="shared" si="59"/>
        <v>GH2050;zomer;216;70;0.375942498608299;TRUE;0.375942498608299</v>
      </c>
    </row>
    <row r="781" spans="1:9" x14ac:dyDescent="0.25">
      <c r="A781">
        <f t="shared" si="58"/>
        <v>20.291666666666664</v>
      </c>
      <c r="B781" t="s">
        <v>20</v>
      </c>
      <c r="C781" t="s">
        <v>11</v>
      </c>
      <c r="D781">
        <v>216</v>
      </c>
      <c r="E781">
        <f t="shared" si="60"/>
        <v>75</v>
      </c>
      <c r="F781" s="22">
        <f>STOWA2015_2050GH_Z!$V16</f>
        <v>0.30169250449678664</v>
      </c>
      <c r="G781" s="22" t="s">
        <v>33</v>
      </c>
      <c r="H781" s="22">
        <f>STOWA2015_2050GH_Z!$V16</f>
        <v>0.30169250449678664</v>
      </c>
      <c r="I781" t="str">
        <f t="shared" si="59"/>
        <v>GH2050;zomer;216;75;0.301692504496787;TRUE;0.301692504496787</v>
      </c>
    </row>
    <row r="782" spans="1:9" x14ac:dyDescent="0.25">
      <c r="A782">
        <f t="shared" si="58"/>
        <v>20.291666666666664</v>
      </c>
      <c r="B782" t="s">
        <v>20</v>
      </c>
      <c r="C782" t="s">
        <v>11</v>
      </c>
      <c r="D782">
        <v>216</v>
      </c>
      <c r="E782">
        <f t="shared" si="60"/>
        <v>80</v>
      </c>
      <c r="F782" s="22">
        <f>STOWA2015_2050GH_Z!$V17</f>
        <v>0.24130876112759037</v>
      </c>
      <c r="G782" s="22" t="s">
        <v>33</v>
      </c>
      <c r="H782" s="22">
        <f>STOWA2015_2050GH_Z!$V17</f>
        <v>0.24130876112759037</v>
      </c>
      <c r="I782" t="str">
        <f t="shared" si="59"/>
        <v>GH2050;zomer;216;80;0.24130876112759;TRUE;0.24130876112759</v>
      </c>
    </row>
    <row r="783" spans="1:9" x14ac:dyDescent="0.25">
      <c r="A783">
        <f t="shared" si="58"/>
        <v>20.291666666666664</v>
      </c>
      <c r="B783" t="s">
        <v>20</v>
      </c>
      <c r="C783" t="s">
        <v>11</v>
      </c>
      <c r="D783">
        <v>216</v>
      </c>
      <c r="E783">
        <f t="shared" si="60"/>
        <v>85</v>
      </c>
      <c r="F783" s="22">
        <f>STOWA2015_2050GH_Z!$V18</f>
        <v>0.19235497175424587</v>
      </c>
      <c r="G783" s="22" t="s">
        <v>33</v>
      </c>
      <c r="H783" s="22">
        <f>STOWA2015_2050GH_Z!$V18</f>
        <v>0.19235497175424587</v>
      </c>
      <c r="I783" t="str">
        <f t="shared" si="59"/>
        <v>GH2050;zomer;216;85;0.192354971754246;TRUE;0.192354971754246</v>
      </c>
    </row>
    <row r="784" spans="1:9" x14ac:dyDescent="0.25">
      <c r="A784">
        <f t="shared" si="58"/>
        <v>20.291666666666664</v>
      </c>
      <c r="B784" t="s">
        <v>20</v>
      </c>
      <c r="C784" t="s">
        <v>11</v>
      </c>
      <c r="D784">
        <v>216</v>
      </c>
      <c r="E784">
        <f t="shared" si="60"/>
        <v>90</v>
      </c>
      <c r="F784" s="22">
        <f>STOWA2015_2050GH_Z!$V19</f>
        <v>0.15279521454586131</v>
      </c>
      <c r="G784" s="22" t="s">
        <v>33</v>
      </c>
      <c r="H784" s="22">
        <f>STOWA2015_2050GH_Z!$V19</f>
        <v>0.15279521454586131</v>
      </c>
      <c r="I784" t="str">
        <f t="shared" si="59"/>
        <v>GH2050;zomer;216;90;0.152795214545861;TRUE;0.152795214545861</v>
      </c>
    </row>
    <row r="785" spans="1:9" x14ac:dyDescent="0.25">
      <c r="A785">
        <f t="shared" si="58"/>
        <v>20.291666666666664</v>
      </c>
      <c r="B785" t="s">
        <v>20</v>
      </c>
      <c r="C785" t="s">
        <v>11</v>
      </c>
      <c r="D785">
        <v>216</v>
      </c>
      <c r="E785">
        <f t="shared" si="60"/>
        <v>95</v>
      </c>
      <c r="F785" s="22">
        <f>STOWA2015_2050GH_Z!$V20</f>
        <v>0.12093282509600939</v>
      </c>
      <c r="G785" s="22" t="s">
        <v>33</v>
      </c>
      <c r="H785" s="22">
        <f>STOWA2015_2050GH_Z!$V20</f>
        <v>0.12093282509600939</v>
      </c>
      <c r="I785" t="str">
        <f t="shared" si="59"/>
        <v>GH2050;zomer;216;95;0.120932825096009;TRUE;0.120932825096009</v>
      </c>
    </row>
    <row r="786" spans="1:9" x14ac:dyDescent="0.25">
      <c r="A786">
        <f t="shared" si="58"/>
        <v>20.291666666666664</v>
      </c>
      <c r="B786" t="s">
        <v>20</v>
      </c>
      <c r="C786" t="s">
        <v>11</v>
      </c>
      <c r="D786">
        <v>216</v>
      </c>
      <c r="E786">
        <f t="shared" si="60"/>
        <v>100</v>
      </c>
      <c r="F786" s="22">
        <f>STOWA2015_2050GH_Z!$V21</f>
        <v>9.5357873574435037E-2</v>
      </c>
      <c r="G786" s="22" t="s">
        <v>33</v>
      </c>
      <c r="H786" s="22">
        <f>STOWA2015_2050GH_Z!$V21</f>
        <v>9.5357873574435037E-2</v>
      </c>
      <c r="I786" t="str">
        <f t="shared" si="59"/>
        <v>GH2050;zomer;216;100;0.095357873574435;TRUE;0.095357873574435</v>
      </c>
    </row>
    <row r="787" spans="1:9" x14ac:dyDescent="0.25">
      <c r="A787">
        <f t="shared" si="58"/>
        <v>20.291666666666664</v>
      </c>
      <c r="B787" t="s">
        <v>20</v>
      </c>
      <c r="C787" t="s">
        <v>11</v>
      </c>
      <c r="D787">
        <v>216</v>
      </c>
      <c r="E787">
        <f t="shared" si="60"/>
        <v>105</v>
      </c>
      <c r="F787" s="22">
        <f>STOWA2015_2050GH_Z!$V22</f>
        <v>7.4902134299820899E-2</v>
      </c>
      <c r="G787" s="22" t="s">
        <v>33</v>
      </c>
      <c r="H787" s="22">
        <f>STOWA2015_2050GH_Z!$V22</f>
        <v>7.4902134299820899E-2</v>
      </c>
      <c r="I787" t="str">
        <f t="shared" si="59"/>
        <v>GH2050;zomer;216;105;7.49021342998209E-02;TRUE;7.49021342998209E-02</v>
      </c>
    </row>
    <row r="788" spans="1:9" x14ac:dyDescent="0.25">
      <c r="A788">
        <f t="shared" si="58"/>
        <v>20.291666666666664</v>
      </c>
      <c r="B788" t="s">
        <v>20</v>
      </c>
      <c r="C788" t="s">
        <v>11</v>
      </c>
      <c r="D788">
        <v>216</v>
      </c>
      <c r="E788">
        <f t="shared" si="60"/>
        <v>110</v>
      </c>
      <c r="F788" s="22">
        <f>STOWA2015_2050GH_Z!$V23</f>
        <v>5.8600572813403057E-2</v>
      </c>
      <c r="G788" s="22" t="s">
        <v>33</v>
      </c>
      <c r="H788" s="22">
        <f>STOWA2015_2050GH_Z!$V23</f>
        <v>5.8600572813403057E-2</v>
      </c>
      <c r="I788" t="str">
        <f t="shared" si="59"/>
        <v>GH2050;zomer;216;110;5.86005728134031E-02;TRUE;5.86005728134031E-02</v>
      </c>
    </row>
    <row r="789" spans="1:9" x14ac:dyDescent="0.25">
      <c r="A789">
        <f t="shared" si="58"/>
        <v>20.291666666666664</v>
      </c>
      <c r="B789" t="s">
        <v>20</v>
      </c>
      <c r="C789" t="s">
        <v>11</v>
      </c>
      <c r="D789">
        <v>216</v>
      </c>
      <c r="E789">
        <f t="shared" si="60"/>
        <v>115</v>
      </c>
      <c r="F789" s="22">
        <f>STOWA2015_2050GH_Z!$V24</f>
        <v>4.5658489804459496E-2</v>
      </c>
      <c r="G789" s="22" t="s">
        <v>33</v>
      </c>
      <c r="H789" s="22">
        <f>STOWA2015_2050GH_Z!$V24</f>
        <v>4.5658489804459496E-2</v>
      </c>
      <c r="I789" t="str">
        <f t="shared" si="59"/>
        <v>GH2050;zomer;216;115;4.56584898044595E-02;TRUE;4.56584898044595E-02</v>
      </c>
    </row>
    <row r="790" spans="1:9" x14ac:dyDescent="0.25">
      <c r="A790">
        <f t="shared" si="58"/>
        <v>20.291666666666664</v>
      </c>
      <c r="B790" t="s">
        <v>20</v>
      </c>
      <c r="C790" t="s">
        <v>11</v>
      </c>
      <c r="D790">
        <v>216</v>
      </c>
      <c r="E790">
        <f t="shared" si="60"/>
        <v>120</v>
      </c>
      <c r="F790" s="22">
        <f>STOWA2015_2050GH_Z!$V25</f>
        <v>3.5423563636781341E-2</v>
      </c>
      <c r="G790" s="22" t="s">
        <v>33</v>
      </c>
      <c r="H790" s="22">
        <f>STOWA2015_2050GH_Z!$V25</f>
        <v>3.5423563636781341E-2</v>
      </c>
      <c r="I790" t="str">
        <f t="shared" si="59"/>
        <v>GH2050;zomer;216;120;3.54235636367813E-02;TRUE;3.54235636367813E-02</v>
      </c>
    </row>
    <row r="791" spans="1:9" x14ac:dyDescent="0.25">
      <c r="A791">
        <f t="shared" si="58"/>
        <v>20.291666666666664</v>
      </c>
      <c r="B791" t="s">
        <v>20</v>
      </c>
      <c r="C791" t="s">
        <v>11</v>
      </c>
      <c r="D791">
        <v>216</v>
      </c>
      <c r="E791">
        <f t="shared" si="60"/>
        <v>125</v>
      </c>
      <c r="F791" s="22">
        <f>STOWA2015_2050GH_Z!$V26</f>
        <v>2.736212482087752E-2</v>
      </c>
      <c r="G791" s="22" t="s">
        <v>33</v>
      </c>
      <c r="H791" s="22">
        <f>STOWA2015_2050GH_Z!$V26</f>
        <v>2.736212482087752E-2</v>
      </c>
      <c r="I791" t="str">
        <f t="shared" si="59"/>
        <v>GH2050;zomer;216;125;2.73621248208775E-02;TRUE;2.73621248208775E-02</v>
      </c>
    </row>
    <row r="792" spans="1:9" x14ac:dyDescent="0.25">
      <c r="A792">
        <f t="shared" si="58"/>
        <v>20.291666666666664</v>
      </c>
      <c r="B792" t="s">
        <v>20</v>
      </c>
      <c r="C792" t="s">
        <v>11</v>
      </c>
      <c r="D792">
        <v>216</v>
      </c>
      <c r="E792">
        <f t="shared" si="60"/>
        <v>130</v>
      </c>
      <c r="F792" s="22">
        <f>STOWA2015_2050GH_Z!$V27</f>
        <v>2.1039077559298278E-2</v>
      </c>
      <c r="G792" s="22" t="s">
        <v>33</v>
      </c>
      <c r="H792" s="22">
        <f>STOWA2015_2050GH_Z!$V27</f>
        <v>2.1039077559298278E-2</v>
      </c>
      <c r="I792" t="str">
        <f t="shared" si="59"/>
        <v>GH2050;zomer;216;130;2.10390775592983E-02;TRUE;2.10390775592983E-02</v>
      </c>
    </row>
    <row r="793" spans="1:9" x14ac:dyDescent="0.25">
      <c r="A793">
        <f t="shared" si="58"/>
        <v>20.291666666666664</v>
      </c>
      <c r="B793" t="s">
        <v>20</v>
      </c>
      <c r="C793" t="s">
        <v>11</v>
      </c>
      <c r="D793">
        <v>216</v>
      </c>
      <c r="E793">
        <f t="shared" si="60"/>
        <v>135</v>
      </c>
      <c r="F793" s="22">
        <f>STOWA2015_2050GH_Z!$V28</f>
        <v>1.6100956374787465E-2</v>
      </c>
      <c r="G793" s="22" t="s">
        <v>33</v>
      </c>
      <c r="H793" s="22">
        <f>STOWA2015_2050GH_Z!$V28</f>
        <v>1.6100956374787465E-2</v>
      </c>
      <c r="I793" t="str">
        <f t="shared" si="59"/>
        <v>GH2050;zomer;216;135;1.61009563747875E-02;TRUE;1.61009563747875E-02</v>
      </c>
    </row>
    <row r="794" spans="1:9" x14ac:dyDescent="0.25">
      <c r="A794">
        <f t="shared" si="58"/>
        <v>20.291666666666664</v>
      </c>
      <c r="B794" t="s">
        <v>20</v>
      </c>
      <c r="C794" t="s">
        <v>11</v>
      </c>
      <c r="D794">
        <v>216</v>
      </c>
      <c r="E794">
        <f t="shared" si="60"/>
        <v>140</v>
      </c>
      <c r="F794" s="22">
        <f>STOWA2015_2050GH_Z!$V29</f>
        <v>1.2261670654486703E-2</v>
      </c>
      <c r="G794" s="22" t="s">
        <v>33</v>
      </c>
      <c r="H794" s="22">
        <f>STOWA2015_2050GH_Z!$V29</f>
        <v>1.2261670654486703E-2</v>
      </c>
      <c r="I794" t="str">
        <f t="shared" si="59"/>
        <v>GH2050;zomer;216;140;1.22616706544867E-02;TRUE;1.22616706544867E-02</v>
      </c>
    </row>
    <row r="795" spans="1:9" x14ac:dyDescent="0.25">
      <c r="A795">
        <f t="shared" si="58"/>
        <v>20.291666666666664</v>
      </c>
      <c r="B795" t="s">
        <v>20</v>
      </c>
      <c r="C795" t="s">
        <v>11</v>
      </c>
      <c r="D795">
        <v>216</v>
      </c>
      <c r="E795">
        <f t="shared" si="60"/>
        <v>145</v>
      </c>
      <c r="F795" s="22">
        <f>STOWA2015_2050GH_Z!$V30</f>
        <v>9.2905474821305539E-3</v>
      </c>
      <c r="G795" s="22" t="s">
        <v>33</v>
      </c>
      <c r="H795" s="22">
        <f>STOWA2015_2050GH_Z!$V30</f>
        <v>9.2905474821305539E-3</v>
      </c>
      <c r="I795" t="str">
        <f t="shared" si="59"/>
        <v>GH2050;zomer;216;145;9.29054748213055E-03;TRUE;9.29054748213055E-03</v>
      </c>
    </row>
    <row r="796" spans="1:9" x14ac:dyDescent="0.25">
      <c r="A796">
        <f t="shared" si="58"/>
        <v>20.291666666666664</v>
      </c>
      <c r="B796" t="s">
        <v>20</v>
      </c>
      <c r="C796" t="s">
        <v>11</v>
      </c>
      <c r="D796">
        <v>216</v>
      </c>
      <c r="E796">
        <f t="shared" si="60"/>
        <v>150</v>
      </c>
      <c r="F796" s="22">
        <f>STOWA2015_2050GH_Z!$V31</f>
        <v>7.0023340956652663E-3</v>
      </c>
      <c r="G796" s="22" t="s">
        <v>33</v>
      </c>
      <c r="H796" s="22">
        <f>STOWA2015_2050GH_Z!$V31</f>
        <v>7.0023340956652663E-3</v>
      </c>
      <c r="I796" t="str">
        <f t="shared" si="59"/>
        <v>GH2050;zomer;216;150;7.00233409566527E-03;TRUE;7.00233409566527E-03</v>
      </c>
    </row>
    <row r="797" spans="1:9" x14ac:dyDescent="0.25">
      <c r="A797">
        <f t="shared" si="58"/>
        <v>20.291666666666664</v>
      </c>
      <c r="B797" t="s">
        <v>20</v>
      </c>
      <c r="C797" t="s">
        <v>11</v>
      </c>
      <c r="D797">
        <v>216</v>
      </c>
      <c r="E797">
        <f t="shared" si="60"/>
        <v>155</v>
      </c>
      <c r="F797" s="22">
        <f>STOWA2015_2050GH_Z!$V32</f>
        <v>1.9650724787570892E-2</v>
      </c>
      <c r="G797" s="22" t="s">
        <v>33</v>
      </c>
      <c r="H797" s="22">
        <f>STOWA2015_2050GH_Z!$V32</f>
        <v>1.9650724787570892E-2</v>
      </c>
      <c r="I797" t="str">
        <f t="shared" si="59"/>
        <v>GH2050;zomer;216;155;1.96507247875709E-02;TRUE;1.96507247875709E-02</v>
      </c>
    </row>
    <row r="798" spans="1:9" x14ac:dyDescent="0.25">
      <c r="A798">
        <f t="shared" si="58"/>
        <v>182.625</v>
      </c>
      <c r="B798" t="s">
        <v>20</v>
      </c>
      <c r="C798" t="s">
        <v>7</v>
      </c>
      <c r="D798">
        <v>24</v>
      </c>
      <c r="E798">
        <v>15</v>
      </c>
      <c r="F798" s="22">
        <f>STOWA2015_2050GH_W!$F4</f>
        <v>360.79268990388613</v>
      </c>
      <c r="G798" s="22" t="s">
        <v>33</v>
      </c>
      <c r="H798" s="22">
        <f>STOWA2015_2050GH_W!$F4</f>
        <v>360.79268990388613</v>
      </c>
      <c r="I798" t="str">
        <f t="shared" si="59"/>
        <v>GH2050;winter;24;15;360.792689903886;TRUE;360.792689903886</v>
      </c>
    </row>
    <row r="799" spans="1:9" x14ac:dyDescent="0.25">
      <c r="A799">
        <f t="shared" si="58"/>
        <v>182.625</v>
      </c>
      <c r="B799" t="s">
        <v>20</v>
      </c>
      <c r="C799" t="s">
        <v>7</v>
      </c>
      <c r="D799">
        <v>24</v>
      </c>
      <c r="E799">
        <f>E798+5</f>
        <v>20</v>
      </c>
      <c r="F799" s="22">
        <f>STOWA2015_2050GH_W!$F5</f>
        <v>2.6013710871481761</v>
      </c>
      <c r="G799" s="22" t="s">
        <v>33</v>
      </c>
      <c r="H799" s="22">
        <f>STOWA2015_2050GH_W!$F5</f>
        <v>2.6013710871481761</v>
      </c>
      <c r="I799" t="str">
        <f t="shared" si="59"/>
        <v>GH2050;winter;24;20;2.60137108714818;TRUE;2.60137108714818</v>
      </c>
    </row>
    <row r="800" spans="1:9" x14ac:dyDescent="0.25">
      <c r="A800">
        <f t="shared" si="58"/>
        <v>182.625</v>
      </c>
      <c r="B800" t="s">
        <v>20</v>
      </c>
      <c r="C800" t="s">
        <v>7</v>
      </c>
      <c r="D800">
        <v>24</v>
      </c>
      <c r="E800">
        <f t="shared" ref="E800:E814" si="61">E799+5</f>
        <v>25</v>
      </c>
      <c r="F800" s="22">
        <f>STOWA2015_2050GH_W!$F6</f>
        <v>1.0413556649001676</v>
      </c>
      <c r="G800" s="22" t="s">
        <v>33</v>
      </c>
      <c r="H800" s="22">
        <f>STOWA2015_2050GH_W!$F6</f>
        <v>1.0413556649001676</v>
      </c>
      <c r="I800" t="str">
        <f t="shared" si="59"/>
        <v>GH2050;winter;24;25;1.04135566490017;TRUE;1.04135566490017</v>
      </c>
    </row>
    <row r="801" spans="1:9" x14ac:dyDescent="0.25">
      <c r="A801">
        <f t="shared" si="58"/>
        <v>182.625</v>
      </c>
      <c r="B801" t="s">
        <v>20</v>
      </c>
      <c r="C801" t="s">
        <v>7</v>
      </c>
      <c r="D801">
        <v>24</v>
      </c>
      <c r="E801">
        <f t="shared" si="61"/>
        <v>30</v>
      </c>
      <c r="F801" s="22">
        <f>STOWA2015_2050GH_W!$F7</f>
        <v>0.43996250260084874</v>
      </c>
      <c r="G801" s="22" t="s">
        <v>33</v>
      </c>
      <c r="H801" s="22">
        <f>STOWA2015_2050GH_W!$F7</f>
        <v>0.43996250260084874</v>
      </c>
      <c r="I801" t="str">
        <f t="shared" si="59"/>
        <v>GH2050;winter;24;30;0.439962502600849;TRUE;0.439962502600849</v>
      </c>
    </row>
    <row r="802" spans="1:9" x14ac:dyDescent="0.25">
      <c r="A802">
        <f t="shared" si="58"/>
        <v>182.625</v>
      </c>
      <c r="B802" t="s">
        <v>20</v>
      </c>
      <c r="C802" t="s">
        <v>7</v>
      </c>
      <c r="D802">
        <v>24</v>
      </c>
      <c r="E802">
        <f t="shared" si="61"/>
        <v>35</v>
      </c>
      <c r="F802" s="22">
        <f>STOWA2015_2050GH_W!$F8</f>
        <v>0.19500077906836891</v>
      </c>
      <c r="G802" s="22" t="s">
        <v>33</v>
      </c>
      <c r="H802" s="22">
        <f>STOWA2015_2050GH_W!$F8</f>
        <v>0.19500077906836891</v>
      </c>
      <c r="I802" t="str">
        <f t="shared" si="59"/>
        <v>GH2050;winter;24;35;0.195000779068369;TRUE;0.195000779068369</v>
      </c>
    </row>
    <row r="803" spans="1:9" x14ac:dyDescent="0.25">
      <c r="A803">
        <f t="shared" si="58"/>
        <v>182.625</v>
      </c>
      <c r="B803" t="s">
        <v>20</v>
      </c>
      <c r="C803" t="s">
        <v>7</v>
      </c>
      <c r="D803">
        <v>24</v>
      </c>
      <c r="E803">
        <f t="shared" si="61"/>
        <v>40</v>
      </c>
      <c r="F803" s="22">
        <f>STOWA2015_2050GH_W!$F9</f>
        <v>9.0211487253805095E-2</v>
      </c>
      <c r="G803" s="22" t="s">
        <v>33</v>
      </c>
      <c r="H803" s="22">
        <f>STOWA2015_2050GH_W!$F9</f>
        <v>9.0211487253805095E-2</v>
      </c>
      <c r="I803" t="str">
        <f t="shared" si="59"/>
        <v>GH2050;winter;24;40;9.02114872538051E-02;TRUE;9.02114872538051E-02</v>
      </c>
    </row>
    <row r="804" spans="1:9" x14ac:dyDescent="0.25">
      <c r="A804">
        <f t="shared" si="58"/>
        <v>182.625</v>
      </c>
      <c r="B804" t="s">
        <v>20</v>
      </c>
      <c r="C804" t="s">
        <v>7</v>
      </c>
      <c r="D804">
        <v>24</v>
      </c>
      <c r="E804">
        <f t="shared" si="61"/>
        <v>45</v>
      </c>
      <c r="F804" s="22">
        <f>STOWA2015_2050GH_W!$F10</f>
        <v>4.3373563710671012E-2</v>
      </c>
      <c r="G804" s="22" t="s">
        <v>33</v>
      </c>
      <c r="H804" s="22">
        <f>STOWA2015_2050GH_W!$F10</f>
        <v>4.3373563710671012E-2</v>
      </c>
      <c r="I804" t="str">
        <f t="shared" si="59"/>
        <v>GH2050;winter;24;45;0.043373563710671;TRUE;0.043373563710671</v>
      </c>
    </row>
    <row r="805" spans="1:9" x14ac:dyDescent="0.25">
      <c r="A805">
        <f t="shared" si="58"/>
        <v>182.625</v>
      </c>
      <c r="B805" t="s">
        <v>20</v>
      </c>
      <c r="C805" t="s">
        <v>7</v>
      </c>
      <c r="D805">
        <v>24</v>
      </c>
      <c r="E805">
        <f t="shared" si="61"/>
        <v>50</v>
      </c>
      <c r="F805" s="22">
        <f>STOWA2015_2050GH_W!$F11</f>
        <v>2.1593719541772079E-2</v>
      </c>
      <c r="G805" s="22" t="s">
        <v>33</v>
      </c>
      <c r="H805" s="22">
        <f>STOWA2015_2050GH_W!$F11</f>
        <v>2.1593719541772079E-2</v>
      </c>
      <c r="I805" t="str">
        <f t="shared" si="59"/>
        <v>GH2050;winter;24;50;2.15937195417721E-02;TRUE;2.15937195417721E-02</v>
      </c>
    </row>
    <row r="806" spans="1:9" x14ac:dyDescent="0.25">
      <c r="A806">
        <f t="shared" si="58"/>
        <v>182.625</v>
      </c>
      <c r="B806" t="s">
        <v>20</v>
      </c>
      <c r="C806" t="s">
        <v>7</v>
      </c>
      <c r="D806">
        <v>24</v>
      </c>
      <c r="E806">
        <f t="shared" si="61"/>
        <v>55</v>
      </c>
      <c r="F806" s="22">
        <f>STOWA2015_2050GH_W!$F12</f>
        <v>1.1096585832753025E-2</v>
      </c>
      <c r="G806" s="22" t="s">
        <v>33</v>
      </c>
      <c r="H806" s="22">
        <f>STOWA2015_2050GH_W!$F12</f>
        <v>1.1096585832753025E-2</v>
      </c>
      <c r="I806" t="str">
        <f t="shared" si="59"/>
        <v>GH2050;winter;24;55;0.011096585832753;TRUE;0.011096585832753</v>
      </c>
    </row>
    <row r="807" spans="1:9" x14ac:dyDescent="0.25">
      <c r="A807">
        <f t="shared" si="58"/>
        <v>182.625</v>
      </c>
      <c r="B807" t="s">
        <v>20</v>
      </c>
      <c r="C807" t="s">
        <v>7</v>
      </c>
      <c r="D807">
        <v>24</v>
      </c>
      <c r="E807">
        <f t="shared" si="61"/>
        <v>60</v>
      </c>
      <c r="F807" s="22">
        <f>STOWA2015_2050GH_W!$F13</f>
        <v>5.8696488706550132E-3</v>
      </c>
      <c r="G807" s="22" t="s">
        <v>33</v>
      </c>
      <c r="H807" s="22">
        <f>STOWA2015_2050GH_W!$F13</f>
        <v>5.8696488706550132E-3</v>
      </c>
      <c r="I807" t="str">
        <f t="shared" si="59"/>
        <v>GH2050;winter;24;60;5.86964887065501E-03;TRUE;5.86964887065501E-03</v>
      </c>
    </row>
    <row r="808" spans="1:9" x14ac:dyDescent="0.25">
      <c r="A808">
        <f t="shared" si="58"/>
        <v>182.625</v>
      </c>
      <c r="B808" t="s">
        <v>20</v>
      </c>
      <c r="C808" t="s">
        <v>7</v>
      </c>
      <c r="D808">
        <v>24</v>
      </c>
      <c r="E808">
        <f t="shared" si="61"/>
        <v>65</v>
      </c>
      <c r="F808" s="22">
        <f>STOWA2015_2050GH_W!$F14</f>
        <v>3.1882134638343725E-3</v>
      </c>
      <c r="G808" s="22" t="s">
        <v>33</v>
      </c>
      <c r="H808" s="22">
        <f>STOWA2015_2050GH_W!$F14</f>
        <v>3.1882134638343725E-3</v>
      </c>
      <c r="I808" t="str">
        <f t="shared" si="59"/>
        <v>GH2050;winter;24;65;3.18821346383437E-03;TRUE;3.18821346383437E-03</v>
      </c>
    </row>
    <row r="809" spans="1:9" x14ac:dyDescent="0.25">
      <c r="A809">
        <f t="shared" si="58"/>
        <v>182.625</v>
      </c>
      <c r="B809" t="s">
        <v>20</v>
      </c>
      <c r="C809" t="s">
        <v>7</v>
      </c>
      <c r="D809">
        <v>24</v>
      </c>
      <c r="E809">
        <f t="shared" si="61"/>
        <v>70</v>
      </c>
      <c r="F809" s="22">
        <f>STOWA2015_2050GH_W!$F15</f>
        <v>1.774488211610858E-3</v>
      </c>
      <c r="G809" s="22" t="s">
        <v>33</v>
      </c>
      <c r="H809" s="22">
        <f>STOWA2015_2050GH_W!$F15</f>
        <v>1.774488211610858E-3</v>
      </c>
      <c r="I809" t="str">
        <f t="shared" si="59"/>
        <v>GH2050;winter;24;70;1.77448821161086E-03;TRUE;1.77448821161086E-03</v>
      </c>
    </row>
    <row r="810" spans="1:9" x14ac:dyDescent="0.25">
      <c r="A810">
        <f t="shared" si="58"/>
        <v>182.625</v>
      </c>
      <c r="B810" t="s">
        <v>20</v>
      </c>
      <c r="C810" t="s">
        <v>7</v>
      </c>
      <c r="D810">
        <v>24</v>
      </c>
      <c r="E810">
        <f t="shared" si="61"/>
        <v>75</v>
      </c>
      <c r="F810" s="22">
        <f>STOWA2015_2050GH_W!$F16</f>
        <v>1.0101222785047132E-3</v>
      </c>
      <c r="G810" s="22" t="s">
        <v>33</v>
      </c>
      <c r="H810" s="22">
        <f>STOWA2015_2050GH_W!$F16</f>
        <v>1.0101222785047132E-3</v>
      </c>
      <c r="I810" t="str">
        <f t="shared" si="59"/>
        <v>GH2050;winter;24;75;1.01012227850471E-03;TRUE;1.01012227850471E-03</v>
      </c>
    </row>
    <row r="811" spans="1:9" x14ac:dyDescent="0.25">
      <c r="A811">
        <f t="shared" si="58"/>
        <v>182.625</v>
      </c>
      <c r="B811" t="s">
        <v>20</v>
      </c>
      <c r="C811" t="s">
        <v>7</v>
      </c>
      <c r="D811">
        <v>24</v>
      </c>
      <c r="E811">
        <f t="shared" si="61"/>
        <v>80</v>
      </c>
      <c r="F811" s="22">
        <f>STOWA2015_2050GH_W!$F17</f>
        <v>5.8711795520838132E-4</v>
      </c>
      <c r="G811" s="22" t="s">
        <v>33</v>
      </c>
      <c r="H811" s="22">
        <f>STOWA2015_2050GH_W!$F17</f>
        <v>5.8711795520838132E-4</v>
      </c>
      <c r="I811" t="str">
        <f t="shared" si="59"/>
        <v>GH2050;winter;24;80;5.87117955208381E-04;TRUE;5.87117955208381E-04</v>
      </c>
    </row>
    <row r="812" spans="1:9" x14ac:dyDescent="0.25">
      <c r="A812">
        <f t="shared" si="58"/>
        <v>182.625</v>
      </c>
      <c r="B812" t="s">
        <v>20</v>
      </c>
      <c r="C812" t="s">
        <v>7</v>
      </c>
      <c r="D812">
        <v>24</v>
      </c>
      <c r="E812">
        <f t="shared" si="61"/>
        <v>85</v>
      </c>
      <c r="F812" s="22">
        <f>STOWA2015_2050GH_W!$F18</f>
        <v>3.4792099361855347E-4</v>
      </c>
      <c r="G812" s="22" t="s">
        <v>33</v>
      </c>
      <c r="H812" s="22">
        <f>STOWA2015_2050GH_W!$F18</f>
        <v>3.4792099361855347E-4</v>
      </c>
      <c r="I812" t="str">
        <f t="shared" si="59"/>
        <v>GH2050;winter;24;85;3.47920993618553E-04;TRUE;3.47920993618553E-04</v>
      </c>
    </row>
    <row r="813" spans="1:9" x14ac:dyDescent="0.25">
      <c r="A813">
        <f t="shared" si="58"/>
        <v>182.625</v>
      </c>
      <c r="B813" t="s">
        <v>20</v>
      </c>
      <c r="C813" t="s">
        <v>7</v>
      </c>
      <c r="D813">
        <v>24</v>
      </c>
      <c r="E813">
        <f t="shared" si="61"/>
        <v>90</v>
      </c>
      <c r="F813" s="22">
        <f>STOWA2015_2050GH_W!$F19</f>
        <v>2.0992302608137305E-4</v>
      </c>
      <c r="G813" s="22" t="s">
        <v>33</v>
      </c>
      <c r="H813" s="22">
        <f>STOWA2015_2050GH_W!$F19</f>
        <v>2.0992302608137305E-4</v>
      </c>
      <c r="I813" t="str">
        <f t="shared" si="59"/>
        <v>GH2050;winter;24;90;2.09923026081373E-04;TRUE;2.09923026081373E-04</v>
      </c>
    </row>
    <row r="814" spans="1:9" x14ac:dyDescent="0.25">
      <c r="A814">
        <f t="shared" si="58"/>
        <v>182.625</v>
      </c>
      <c r="B814" t="s">
        <v>20</v>
      </c>
      <c r="C814" t="s">
        <v>7</v>
      </c>
      <c r="D814">
        <v>24</v>
      </c>
      <c r="E814">
        <f t="shared" si="61"/>
        <v>95</v>
      </c>
      <c r="F814" s="22">
        <f>STOWA2015_2050GH_W!$F20</f>
        <v>3.5727125780588595E-4</v>
      </c>
      <c r="G814" s="22" t="s">
        <v>33</v>
      </c>
      <c r="H814" s="22">
        <f>STOWA2015_2050GH_W!$F20</f>
        <v>3.5727125780588595E-4</v>
      </c>
      <c r="I814" t="str">
        <f t="shared" si="59"/>
        <v>GH2050;winter;24;95;3.57271257805886E-04;TRUE;3.57271257805886E-04</v>
      </c>
    </row>
    <row r="815" spans="1:9" x14ac:dyDescent="0.25">
      <c r="A815">
        <f t="shared" si="58"/>
        <v>91.3125</v>
      </c>
      <c r="B815" t="s">
        <v>20</v>
      </c>
      <c r="C815" t="s">
        <v>7</v>
      </c>
      <c r="D815">
        <v>48</v>
      </c>
      <c r="E815">
        <v>15</v>
      </c>
      <c r="F815" s="22">
        <f>STOWA2015_2050GH_W!$J4</f>
        <v>172.7835332813039</v>
      </c>
      <c r="G815" s="22" t="s">
        <v>33</v>
      </c>
      <c r="H815" s="22">
        <f>STOWA2015_2050GH_W!$J4</f>
        <v>172.7835332813039</v>
      </c>
      <c r="I815" t="str">
        <f t="shared" si="59"/>
        <v>GH2050;winter;48;15;172.783533281304;TRUE;172.783533281304</v>
      </c>
    </row>
    <row r="816" spans="1:9" x14ac:dyDescent="0.25">
      <c r="A816">
        <f t="shared" si="58"/>
        <v>91.3125</v>
      </c>
      <c r="B816" t="s">
        <v>20</v>
      </c>
      <c r="C816" t="s">
        <v>7</v>
      </c>
      <c r="D816">
        <v>48</v>
      </c>
      <c r="E816">
        <f>E815+5</f>
        <v>20</v>
      </c>
      <c r="F816" s="22">
        <f>STOWA2015_2050GH_W!$J5</f>
        <v>4.8160672538014362</v>
      </c>
      <c r="G816" s="22" t="s">
        <v>33</v>
      </c>
      <c r="H816" s="22">
        <f>STOWA2015_2050GH_W!$J5</f>
        <v>4.8160672538014362</v>
      </c>
      <c r="I816" t="str">
        <f t="shared" si="59"/>
        <v>GH2050;winter;48;20;4.81606725380144;TRUE;4.81606725380144</v>
      </c>
    </row>
    <row r="817" spans="1:9" x14ac:dyDescent="0.25">
      <c r="A817">
        <f t="shared" si="58"/>
        <v>91.3125</v>
      </c>
      <c r="B817" t="s">
        <v>20</v>
      </c>
      <c r="C817" t="s">
        <v>7</v>
      </c>
      <c r="D817">
        <v>48</v>
      </c>
      <c r="E817">
        <f t="shared" ref="E817:E833" si="62">E816+5</f>
        <v>25</v>
      </c>
      <c r="F817" s="22">
        <f>STOWA2015_2050GH_W!$J6</f>
        <v>2.395918509297541</v>
      </c>
      <c r="G817" s="22" t="s">
        <v>33</v>
      </c>
      <c r="H817" s="22">
        <f>STOWA2015_2050GH_W!$J6</f>
        <v>2.395918509297541</v>
      </c>
      <c r="I817" t="str">
        <f t="shared" si="59"/>
        <v>GH2050;winter;48;25;2.39591850929754;TRUE;2.39591850929754</v>
      </c>
    </row>
    <row r="818" spans="1:9" x14ac:dyDescent="0.25">
      <c r="A818">
        <f t="shared" si="58"/>
        <v>91.3125</v>
      </c>
      <c r="B818" t="s">
        <v>20</v>
      </c>
      <c r="C818" t="s">
        <v>7</v>
      </c>
      <c r="D818">
        <v>48</v>
      </c>
      <c r="E818">
        <f t="shared" si="62"/>
        <v>30</v>
      </c>
      <c r="F818" s="22">
        <f>STOWA2015_2050GH_W!$J7</f>
        <v>1.2220836027830739</v>
      </c>
      <c r="G818" s="22" t="s">
        <v>33</v>
      </c>
      <c r="H818" s="22">
        <f>STOWA2015_2050GH_W!$J7</f>
        <v>1.2220836027830739</v>
      </c>
      <c r="I818" t="str">
        <f t="shared" si="59"/>
        <v>GH2050;winter;48;30;1.22208360278307;TRUE;1.22208360278307</v>
      </c>
    </row>
    <row r="819" spans="1:9" x14ac:dyDescent="0.25">
      <c r="A819">
        <f t="shared" si="58"/>
        <v>91.3125</v>
      </c>
      <c r="B819" t="s">
        <v>20</v>
      </c>
      <c r="C819" t="s">
        <v>7</v>
      </c>
      <c r="D819">
        <v>48</v>
      </c>
      <c r="E819">
        <f t="shared" si="62"/>
        <v>35</v>
      </c>
      <c r="F819" s="22">
        <f>STOWA2015_2050GH_W!$J8</f>
        <v>0.63801093723967806</v>
      </c>
      <c r="G819" s="22" t="s">
        <v>33</v>
      </c>
      <c r="H819" s="22">
        <f>STOWA2015_2050GH_W!$J8</f>
        <v>0.63801093723967806</v>
      </c>
      <c r="I819" t="str">
        <f t="shared" si="59"/>
        <v>GH2050;winter;48;35;0.638010937239678;TRUE;0.638010937239678</v>
      </c>
    </row>
    <row r="820" spans="1:9" x14ac:dyDescent="0.25">
      <c r="A820">
        <f t="shared" si="58"/>
        <v>91.3125</v>
      </c>
      <c r="B820" t="s">
        <v>20</v>
      </c>
      <c r="C820" t="s">
        <v>7</v>
      </c>
      <c r="D820">
        <v>48</v>
      </c>
      <c r="E820">
        <f t="shared" si="62"/>
        <v>40</v>
      </c>
      <c r="F820" s="22">
        <f>STOWA2015_2050GH_W!$J9</f>
        <v>0.34039104856374536</v>
      </c>
      <c r="G820" s="22" t="s">
        <v>33</v>
      </c>
      <c r="H820" s="22">
        <f>STOWA2015_2050GH_W!$J9</f>
        <v>0.34039104856374536</v>
      </c>
      <c r="I820" t="str">
        <f t="shared" si="59"/>
        <v>GH2050;winter;48;40;0.340391048563745;TRUE;0.340391048563745</v>
      </c>
    </row>
    <row r="821" spans="1:9" x14ac:dyDescent="0.25">
      <c r="A821">
        <f t="shared" si="58"/>
        <v>91.3125</v>
      </c>
      <c r="B821" t="s">
        <v>20</v>
      </c>
      <c r="C821" t="s">
        <v>7</v>
      </c>
      <c r="D821">
        <v>48</v>
      </c>
      <c r="E821">
        <f t="shared" si="62"/>
        <v>45</v>
      </c>
      <c r="F821" s="22">
        <f>STOWA2015_2050GH_W!$J10</f>
        <v>0.18532802865831935</v>
      </c>
      <c r="G821" s="22" t="s">
        <v>33</v>
      </c>
      <c r="H821" s="22">
        <f>STOWA2015_2050GH_W!$J10</f>
        <v>0.18532802865831935</v>
      </c>
      <c r="I821" t="str">
        <f t="shared" si="59"/>
        <v>GH2050;winter;48;45;0.185328028658319;TRUE;0.185328028658319</v>
      </c>
    </row>
    <row r="822" spans="1:9" x14ac:dyDescent="0.25">
      <c r="A822">
        <f t="shared" si="58"/>
        <v>91.3125</v>
      </c>
      <c r="B822" t="s">
        <v>20</v>
      </c>
      <c r="C822" t="s">
        <v>7</v>
      </c>
      <c r="D822">
        <v>48</v>
      </c>
      <c r="E822">
        <f t="shared" si="62"/>
        <v>50</v>
      </c>
      <c r="F822" s="22">
        <f>STOWA2015_2050GH_W!$J11</f>
        <v>0.10284061244138901</v>
      </c>
      <c r="G822" s="22" t="s">
        <v>33</v>
      </c>
      <c r="H822" s="22">
        <f>STOWA2015_2050GH_W!$J11</f>
        <v>0.10284061244138901</v>
      </c>
      <c r="I822" t="str">
        <f t="shared" si="59"/>
        <v>GH2050;winter;48;50;0.102840612441389;TRUE;0.102840612441389</v>
      </c>
    </row>
    <row r="823" spans="1:9" x14ac:dyDescent="0.25">
      <c r="A823">
        <f t="shared" si="58"/>
        <v>91.3125</v>
      </c>
      <c r="B823" t="s">
        <v>20</v>
      </c>
      <c r="C823" t="s">
        <v>7</v>
      </c>
      <c r="D823">
        <v>48</v>
      </c>
      <c r="E823">
        <f t="shared" si="62"/>
        <v>55</v>
      </c>
      <c r="F823" s="22">
        <f>STOWA2015_2050GH_W!$J12</f>
        <v>5.8096077657221176E-2</v>
      </c>
      <c r="G823" s="22" t="s">
        <v>33</v>
      </c>
      <c r="H823" s="22">
        <f>STOWA2015_2050GH_W!$J12</f>
        <v>5.8096077657221176E-2</v>
      </c>
      <c r="I823" t="str">
        <f t="shared" si="59"/>
        <v>GH2050;winter;48;55;5.80960776572212E-02;TRUE;5.80960776572212E-02</v>
      </c>
    </row>
    <row r="824" spans="1:9" x14ac:dyDescent="0.25">
      <c r="A824">
        <f t="shared" si="58"/>
        <v>91.3125</v>
      </c>
      <c r="B824" t="s">
        <v>20</v>
      </c>
      <c r="C824" t="s">
        <v>7</v>
      </c>
      <c r="D824">
        <v>48</v>
      </c>
      <c r="E824">
        <f t="shared" si="62"/>
        <v>60</v>
      </c>
      <c r="F824" s="22">
        <f>STOWA2015_2050GH_W!$J13</f>
        <v>3.3375676957588474E-2</v>
      </c>
      <c r="G824" s="22" t="s">
        <v>33</v>
      </c>
      <c r="H824" s="22">
        <f>STOWA2015_2050GH_W!$J13</f>
        <v>3.3375676957588474E-2</v>
      </c>
      <c r="I824" t="str">
        <f t="shared" si="59"/>
        <v>GH2050;winter;48;60;3.33756769575885E-02;TRUE;3.33756769575885E-02</v>
      </c>
    </row>
    <row r="825" spans="1:9" x14ac:dyDescent="0.25">
      <c r="A825">
        <f t="shared" si="58"/>
        <v>91.3125</v>
      </c>
      <c r="B825" t="s">
        <v>20</v>
      </c>
      <c r="C825" t="s">
        <v>7</v>
      </c>
      <c r="D825">
        <v>48</v>
      </c>
      <c r="E825">
        <f t="shared" si="62"/>
        <v>65</v>
      </c>
      <c r="F825" s="22">
        <f>STOWA2015_2050GH_W!$J14</f>
        <v>1.9480330923986287E-2</v>
      </c>
      <c r="G825" s="22" t="s">
        <v>33</v>
      </c>
      <c r="H825" s="22">
        <f>STOWA2015_2050GH_W!$J14</f>
        <v>1.9480330923986287E-2</v>
      </c>
      <c r="I825" t="str">
        <f t="shared" si="59"/>
        <v>GH2050;winter;48;65;1.94803309239863E-02;TRUE;1.94803309239863E-02</v>
      </c>
    </row>
    <row r="826" spans="1:9" x14ac:dyDescent="0.25">
      <c r="A826">
        <f t="shared" si="58"/>
        <v>91.3125</v>
      </c>
      <c r="B826" t="s">
        <v>20</v>
      </c>
      <c r="C826" t="s">
        <v>7</v>
      </c>
      <c r="D826">
        <v>48</v>
      </c>
      <c r="E826">
        <f t="shared" si="62"/>
        <v>70</v>
      </c>
      <c r="F826" s="22">
        <f>STOWA2015_2050GH_W!$J15</f>
        <v>1.1541503297990162E-2</v>
      </c>
      <c r="G826" s="22" t="s">
        <v>33</v>
      </c>
      <c r="H826" s="22">
        <f>STOWA2015_2050GH_W!$J15</f>
        <v>1.1541503297990162E-2</v>
      </c>
      <c r="I826" t="str">
        <f t="shared" si="59"/>
        <v>GH2050;winter;48;70;1.15415032979902E-02;TRUE;1.15415032979902E-02</v>
      </c>
    </row>
    <row r="827" spans="1:9" x14ac:dyDescent="0.25">
      <c r="A827">
        <f t="shared" si="58"/>
        <v>91.3125</v>
      </c>
      <c r="B827" t="s">
        <v>20</v>
      </c>
      <c r="C827" t="s">
        <v>7</v>
      </c>
      <c r="D827">
        <v>48</v>
      </c>
      <c r="E827">
        <f t="shared" si="62"/>
        <v>75</v>
      </c>
      <c r="F827" s="22">
        <f>STOWA2015_2050GH_W!$J16</f>
        <v>6.9354752631580353E-3</v>
      </c>
      <c r="G827" s="22" t="s">
        <v>33</v>
      </c>
      <c r="H827" s="22">
        <f>STOWA2015_2050GH_W!$J16</f>
        <v>6.9354752631580353E-3</v>
      </c>
      <c r="I827" t="str">
        <f t="shared" si="59"/>
        <v>GH2050;winter;48;75;6.93547526315804E-03;TRUE;6.93547526315804E-03</v>
      </c>
    </row>
    <row r="828" spans="1:9" x14ac:dyDescent="0.25">
      <c r="A828">
        <f t="shared" si="58"/>
        <v>91.3125</v>
      </c>
      <c r="B828" t="s">
        <v>20</v>
      </c>
      <c r="C828" t="s">
        <v>7</v>
      </c>
      <c r="D828">
        <v>48</v>
      </c>
      <c r="E828">
        <f t="shared" si="62"/>
        <v>80</v>
      </c>
      <c r="F828" s="22">
        <f>STOWA2015_2050GH_W!$J17</f>
        <v>4.2239010789379815E-3</v>
      </c>
      <c r="G828" s="22" t="s">
        <v>33</v>
      </c>
      <c r="H828" s="22">
        <f>STOWA2015_2050GH_W!$J17</f>
        <v>4.2239010789379815E-3</v>
      </c>
      <c r="I828" t="str">
        <f t="shared" si="59"/>
        <v>GH2050;winter;48;80;4.22390107893798E-03;TRUE;4.22390107893798E-03</v>
      </c>
    </row>
    <row r="829" spans="1:9" x14ac:dyDescent="0.25">
      <c r="A829">
        <f t="shared" si="58"/>
        <v>91.3125</v>
      </c>
      <c r="B829" t="s">
        <v>20</v>
      </c>
      <c r="C829" t="s">
        <v>7</v>
      </c>
      <c r="D829">
        <v>48</v>
      </c>
      <c r="E829">
        <f t="shared" si="62"/>
        <v>85</v>
      </c>
      <c r="F829" s="22">
        <f>STOWA2015_2050GH_W!$J18</f>
        <v>2.6054082569454441E-3</v>
      </c>
      <c r="G829" s="22" t="s">
        <v>33</v>
      </c>
      <c r="H829" s="22">
        <f>STOWA2015_2050GH_W!$J18</f>
        <v>2.6054082569454441E-3</v>
      </c>
      <c r="I829" t="str">
        <f t="shared" si="59"/>
        <v>GH2050;winter;48;85;2.60540825694544E-03;TRUE;2.60540825694544E-03</v>
      </c>
    </row>
    <row r="830" spans="1:9" x14ac:dyDescent="0.25">
      <c r="A830">
        <f t="shared" si="58"/>
        <v>91.3125</v>
      </c>
      <c r="B830" t="s">
        <v>20</v>
      </c>
      <c r="C830" t="s">
        <v>7</v>
      </c>
      <c r="D830">
        <v>48</v>
      </c>
      <c r="E830">
        <f t="shared" si="62"/>
        <v>90</v>
      </c>
      <c r="F830" s="22">
        <f>STOWA2015_2050GH_W!$J19</f>
        <v>1.6266185833296908E-3</v>
      </c>
      <c r="G830" s="22" t="s">
        <v>33</v>
      </c>
      <c r="H830" s="22">
        <f>STOWA2015_2050GH_W!$J19</f>
        <v>1.6266185833296908E-3</v>
      </c>
      <c r="I830" t="str">
        <f t="shared" si="59"/>
        <v>GH2050;winter;48;90;1.62661858332969E-03;TRUE;1.62661858332969E-03</v>
      </c>
    </row>
    <row r="831" spans="1:9" x14ac:dyDescent="0.25">
      <c r="A831">
        <f t="shared" si="58"/>
        <v>91.3125</v>
      </c>
      <c r="B831" t="s">
        <v>20</v>
      </c>
      <c r="C831" t="s">
        <v>7</v>
      </c>
      <c r="D831">
        <v>48</v>
      </c>
      <c r="E831">
        <f t="shared" si="62"/>
        <v>95</v>
      </c>
      <c r="F831" s="22">
        <f>STOWA2015_2050GH_W!$J20</f>
        <v>1.0272761998017014E-3</v>
      </c>
      <c r="G831" s="22" t="s">
        <v>33</v>
      </c>
      <c r="H831" s="22">
        <f>STOWA2015_2050GH_W!$J20</f>
        <v>1.0272761998017014E-3</v>
      </c>
      <c r="I831" t="str">
        <f t="shared" si="59"/>
        <v>GH2050;winter;48;95;1.0272761998017E-03;TRUE;1.0272761998017E-03</v>
      </c>
    </row>
    <row r="832" spans="1:9" x14ac:dyDescent="0.25">
      <c r="A832">
        <f t="shared" si="58"/>
        <v>91.3125</v>
      </c>
      <c r="B832" t="s">
        <v>20</v>
      </c>
      <c r="C832" t="s">
        <v>7</v>
      </c>
      <c r="D832">
        <v>48</v>
      </c>
      <c r="E832">
        <f t="shared" si="62"/>
        <v>100</v>
      </c>
      <c r="F832" s="22">
        <f>STOWA2015_2050GH_W!$J21</f>
        <v>6.5590702446282571E-4</v>
      </c>
      <c r="G832" s="22" t="s">
        <v>33</v>
      </c>
      <c r="H832" s="22">
        <f>STOWA2015_2050GH_W!$J21</f>
        <v>6.5590702446282571E-4</v>
      </c>
      <c r="I832" t="str">
        <f t="shared" si="59"/>
        <v>GH2050;winter;48;100;6.55907024462826E-04;TRUE;6.55907024462826E-04</v>
      </c>
    </row>
    <row r="833" spans="1:9" x14ac:dyDescent="0.25">
      <c r="A833">
        <f t="shared" si="58"/>
        <v>91.3125</v>
      </c>
      <c r="B833" t="s">
        <v>20</v>
      </c>
      <c r="C833" t="s">
        <v>7</v>
      </c>
      <c r="D833">
        <v>48</v>
      </c>
      <c r="E833">
        <f t="shared" si="62"/>
        <v>105</v>
      </c>
      <c r="F833" s="22">
        <f>STOWA2015_2050GH_W!$J22</f>
        <v>1.2585506674886661E-3</v>
      </c>
      <c r="G833" s="22" t="s">
        <v>33</v>
      </c>
      <c r="H833" s="22">
        <f>STOWA2015_2050GH_W!$J22</f>
        <v>1.2585506674886661E-3</v>
      </c>
      <c r="I833" t="str">
        <f t="shared" si="59"/>
        <v>GH2050;winter;48;105;1.25855066748867E-03;TRUE;1.25855066748867E-03</v>
      </c>
    </row>
    <row r="834" spans="1:9" x14ac:dyDescent="0.25">
      <c r="A834">
        <f t="shared" ref="A834:A897" si="63">IF(C834="zomer",24/D834*365.25 * 6/12,24/D834*365.25 * 6/12)</f>
        <v>45.65625</v>
      </c>
      <c r="B834" t="s">
        <v>20</v>
      </c>
      <c r="C834" t="s">
        <v>7</v>
      </c>
      <c r="D834">
        <v>96</v>
      </c>
      <c r="E834">
        <v>20</v>
      </c>
      <c r="F834" s="22">
        <f>STOWA2015_2050GH_W!$N5</f>
        <v>80.958470987916456</v>
      </c>
      <c r="G834" s="22" t="s">
        <v>33</v>
      </c>
      <c r="H834" s="22">
        <f>STOWA2015_2050GH_W!$N5</f>
        <v>80.958470987916456</v>
      </c>
      <c r="I834" t="str">
        <f t="shared" ref="I834:I897" si="64">CONCATENATEWITHDELIMITER(B834:H834,";")</f>
        <v>GH2050;winter;96;20;80.9584709879165;TRUE;80.9584709879165</v>
      </c>
    </row>
    <row r="835" spans="1:9" x14ac:dyDescent="0.25">
      <c r="A835">
        <f t="shared" si="63"/>
        <v>45.65625</v>
      </c>
      <c r="B835" t="s">
        <v>20</v>
      </c>
      <c r="C835" t="s">
        <v>7</v>
      </c>
      <c r="D835">
        <v>96</v>
      </c>
      <c r="E835">
        <f>E834+5</f>
        <v>25</v>
      </c>
      <c r="F835" s="22">
        <f>STOWA2015_2050GH_W!$N6</f>
        <v>3.8189012936390592</v>
      </c>
      <c r="G835" s="22" t="s">
        <v>33</v>
      </c>
      <c r="H835" s="22">
        <f>STOWA2015_2050GH_W!$N6</f>
        <v>3.8189012936390592</v>
      </c>
      <c r="I835" t="str">
        <f t="shared" si="64"/>
        <v>GH2050;winter;96;25;3.81890129363906;TRUE;3.81890129363906</v>
      </c>
    </row>
    <row r="836" spans="1:9" x14ac:dyDescent="0.25">
      <c r="A836">
        <f t="shared" si="63"/>
        <v>45.65625</v>
      </c>
      <c r="B836" t="s">
        <v>20</v>
      </c>
      <c r="C836" t="s">
        <v>7</v>
      </c>
      <c r="D836">
        <v>96</v>
      </c>
      <c r="E836">
        <f t="shared" ref="E836:E854" si="65">E835+5</f>
        <v>30</v>
      </c>
      <c r="F836" s="22">
        <f>STOWA2015_2050GH_W!$N7</f>
        <v>2.3912983585934384</v>
      </c>
      <c r="G836" s="22" t="s">
        <v>33</v>
      </c>
      <c r="H836" s="22">
        <f>STOWA2015_2050GH_W!$N7</f>
        <v>2.3912983585934384</v>
      </c>
      <c r="I836" t="str">
        <f t="shared" si="64"/>
        <v>GH2050;winter;96;30;2.39129835859344;TRUE;2.39129835859344</v>
      </c>
    </row>
    <row r="837" spans="1:9" x14ac:dyDescent="0.25">
      <c r="A837">
        <f t="shared" si="63"/>
        <v>45.65625</v>
      </c>
      <c r="B837" t="s">
        <v>20</v>
      </c>
      <c r="C837" t="s">
        <v>7</v>
      </c>
      <c r="D837">
        <v>96</v>
      </c>
      <c r="E837">
        <f t="shared" si="65"/>
        <v>35</v>
      </c>
      <c r="F837" s="22">
        <f>STOWA2015_2050GH_W!$N8</f>
        <v>1.5043821887884437</v>
      </c>
      <c r="G837" s="22" t="s">
        <v>33</v>
      </c>
      <c r="H837" s="22">
        <f>STOWA2015_2050GH_W!$N8</f>
        <v>1.5043821887884437</v>
      </c>
      <c r="I837" t="str">
        <f t="shared" si="64"/>
        <v>GH2050;winter;96;35;1.50438218878844;TRUE;1.50438218878844</v>
      </c>
    </row>
    <row r="838" spans="1:9" x14ac:dyDescent="0.25">
      <c r="A838">
        <f t="shared" si="63"/>
        <v>45.65625</v>
      </c>
      <c r="B838" t="s">
        <v>20</v>
      </c>
      <c r="C838" t="s">
        <v>7</v>
      </c>
      <c r="D838">
        <v>96</v>
      </c>
      <c r="E838">
        <f t="shared" si="65"/>
        <v>40</v>
      </c>
      <c r="F838" s="22">
        <f>STOWA2015_2050GH_W!$N9</f>
        <v>0.95076145615836238</v>
      </c>
      <c r="G838" s="22" t="s">
        <v>33</v>
      </c>
      <c r="H838" s="22">
        <f>STOWA2015_2050GH_W!$N9</f>
        <v>0.95076145615836238</v>
      </c>
      <c r="I838" t="str">
        <f t="shared" si="64"/>
        <v>GH2050;winter;96;40;0.950761456158362;TRUE;0.950761456158362</v>
      </c>
    </row>
    <row r="839" spans="1:9" x14ac:dyDescent="0.25">
      <c r="A839">
        <f t="shared" si="63"/>
        <v>45.65625</v>
      </c>
      <c r="B839" t="s">
        <v>20</v>
      </c>
      <c r="C839" t="s">
        <v>7</v>
      </c>
      <c r="D839">
        <v>96</v>
      </c>
      <c r="E839">
        <f t="shared" si="65"/>
        <v>45</v>
      </c>
      <c r="F839" s="22">
        <f>STOWA2015_2050GH_W!$N10</f>
        <v>0.60358019230824334</v>
      </c>
      <c r="G839" s="22" t="s">
        <v>33</v>
      </c>
      <c r="H839" s="22">
        <f>STOWA2015_2050GH_W!$N10</f>
        <v>0.60358019230824334</v>
      </c>
      <c r="I839" t="str">
        <f t="shared" si="64"/>
        <v>GH2050;winter;96;45;0.603580192308243;TRUE;0.603580192308243</v>
      </c>
    </row>
    <row r="840" spans="1:9" x14ac:dyDescent="0.25">
      <c r="A840">
        <f t="shared" si="63"/>
        <v>45.65625</v>
      </c>
      <c r="B840" t="s">
        <v>20</v>
      </c>
      <c r="C840" t="s">
        <v>7</v>
      </c>
      <c r="D840">
        <v>96</v>
      </c>
      <c r="E840">
        <f t="shared" si="65"/>
        <v>50</v>
      </c>
      <c r="F840" s="22">
        <f>STOWA2015_2050GH_W!$N11</f>
        <v>0.38486694490808249</v>
      </c>
      <c r="G840" s="22" t="s">
        <v>33</v>
      </c>
      <c r="H840" s="22">
        <f>STOWA2015_2050GH_W!$N11</f>
        <v>0.38486694490808249</v>
      </c>
      <c r="I840" t="str">
        <f t="shared" si="64"/>
        <v>GH2050;winter;96;50;0.384866944908082;TRUE;0.384866944908082</v>
      </c>
    </row>
    <row r="841" spans="1:9" x14ac:dyDescent="0.25">
      <c r="A841">
        <f t="shared" si="63"/>
        <v>45.65625</v>
      </c>
      <c r="B841" t="s">
        <v>20</v>
      </c>
      <c r="C841" t="s">
        <v>7</v>
      </c>
      <c r="D841">
        <v>96</v>
      </c>
      <c r="E841">
        <f t="shared" si="65"/>
        <v>55</v>
      </c>
      <c r="F841" s="22">
        <f>STOWA2015_2050GH_W!$N12</f>
        <v>0.24646868614201639</v>
      </c>
      <c r="G841" s="22" t="s">
        <v>33</v>
      </c>
      <c r="H841" s="22">
        <f>STOWA2015_2050GH_W!$N12</f>
        <v>0.24646868614201639</v>
      </c>
      <c r="I841" t="str">
        <f t="shared" si="64"/>
        <v>GH2050;winter;96;55;0.246468686142016;TRUE;0.246468686142016</v>
      </c>
    </row>
    <row r="842" spans="1:9" x14ac:dyDescent="0.25">
      <c r="A842">
        <f t="shared" si="63"/>
        <v>45.65625</v>
      </c>
      <c r="B842" t="s">
        <v>20</v>
      </c>
      <c r="C842" t="s">
        <v>7</v>
      </c>
      <c r="D842">
        <v>96</v>
      </c>
      <c r="E842">
        <f t="shared" si="65"/>
        <v>60</v>
      </c>
      <c r="F842" s="22">
        <f>STOWA2015_2050GH_W!$N13</f>
        <v>0.15850856071240133</v>
      </c>
      <c r="G842" s="22" t="s">
        <v>33</v>
      </c>
      <c r="H842" s="22">
        <f>STOWA2015_2050GH_W!$N13</f>
        <v>0.15850856071240133</v>
      </c>
      <c r="I842" t="str">
        <f t="shared" si="64"/>
        <v>GH2050;winter;96;60;0.158508560712401;TRUE;0.158508560712401</v>
      </c>
    </row>
    <row r="843" spans="1:9" x14ac:dyDescent="0.25">
      <c r="A843">
        <f t="shared" si="63"/>
        <v>45.65625</v>
      </c>
      <c r="B843" t="s">
        <v>20</v>
      </c>
      <c r="C843" t="s">
        <v>7</v>
      </c>
      <c r="D843">
        <v>96</v>
      </c>
      <c r="E843">
        <f t="shared" si="65"/>
        <v>65</v>
      </c>
      <c r="F843" s="22">
        <f>STOWA2015_2050GH_W!$N14</f>
        <v>0.10236438205396373</v>
      </c>
      <c r="G843" s="22" t="s">
        <v>33</v>
      </c>
      <c r="H843" s="22">
        <f>STOWA2015_2050GH_W!$N14</f>
        <v>0.10236438205396373</v>
      </c>
      <c r="I843" t="str">
        <f t="shared" si="64"/>
        <v>GH2050;winter;96;65;0.102364382053964;TRUE;0.102364382053964</v>
      </c>
    </row>
    <row r="844" spans="1:9" x14ac:dyDescent="0.25">
      <c r="A844">
        <f t="shared" si="63"/>
        <v>45.65625</v>
      </c>
      <c r="B844" t="s">
        <v>20</v>
      </c>
      <c r="C844" t="s">
        <v>7</v>
      </c>
      <c r="D844">
        <v>96</v>
      </c>
      <c r="E844">
        <f t="shared" si="65"/>
        <v>70</v>
      </c>
      <c r="F844" s="22">
        <f>STOWA2015_2050GH_W!$N15</f>
        <v>6.6376828721904924E-2</v>
      </c>
      <c r="G844" s="22" t="s">
        <v>33</v>
      </c>
      <c r="H844" s="22">
        <f>STOWA2015_2050GH_W!$N15</f>
        <v>6.6376828721904924E-2</v>
      </c>
      <c r="I844" t="str">
        <f t="shared" si="64"/>
        <v>GH2050;winter;96;70;6.63768287219049E-02;TRUE;6.63768287219049E-02</v>
      </c>
    </row>
    <row r="845" spans="1:9" x14ac:dyDescent="0.25">
      <c r="A845">
        <f t="shared" si="63"/>
        <v>45.65625</v>
      </c>
      <c r="B845" t="s">
        <v>20</v>
      </c>
      <c r="C845" t="s">
        <v>7</v>
      </c>
      <c r="D845">
        <v>96</v>
      </c>
      <c r="E845">
        <f t="shared" si="65"/>
        <v>75</v>
      </c>
      <c r="F845" s="22">
        <f>STOWA2015_2050GH_W!$N16</f>
        <v>4.3213839817978619E-2</v>
      </c>
      <c r="G845" s="22" t="s">
        <v>33</v>
      </c>
      <c r="H845" s="22">
        <f>STOWA2015_2050GH_W!$N16</f>
        <v>4.3213839817978619E-2</v>
      </c>
      <c r="I845" t="str">
        <f t="shared" si="64"/>
        <v>GH2050;winter;96;75;4.32138398179786E-02;TRUE;4.32138398179786E-02</v>
      </c>
    </row>
    <row r="846" spans="1:9" x14ac:dyDescent="0.25">
      <c r="A846">
        <f t="shared" si="63"/>
        <v>45.65625</v>
      </c>
      <c r="B846" t="s">
        <v>20</v>
      </c>
      <c r="C846" t="s">
        <v>7</v>
      </c>
      <c r="D846">
        <v>96</v>
      </c>
      <c r="E846">
        <f t="shared" si="65"/>
        <v>80</v>
      </c>
      <c r="F846" s="22">
        <f>STOWA2015_2050GH_W!$N17</f>
        <v>2.8244642970090029E-2</v>
      </c>
      <c r="G846" s="22" t="s">
        <v>33</v>
      </c>
      <c r="H846" s="22">
        <f>STOWA2015_2050GH_W!$N17</f>
        <v>2.8244642970090029E-2</v>
      </c>
      <c r="I846" t="str">
        <f t="shared" si="64"/>
        <v>GH2050;winter;96;80;0.02824464297009;TRUE;0.02824464297009</v>
      </c>
    </row>
    <row r="847" spans="1:9" x14ac:dyDescent="0.25">
      <c r="A847">
        <f t="shared" si="63"/>
        <v>45.65625</v>
      </c>
      <c r="B847" t="s">
        <v>20</v>
      </c>
      <c r="C847" t="s">
        <v>7</v>
      </c>
      <c r="D847">
        <v>96</v>
      </c>
      <c r="E847">
        <f t="shared" si="65"/>
        <v>85</v>
      </c>
      <c r="F847" s="22">
        <f>STOWA2015_2050GH_W!$N18</f>
        <v>1.8532124395524326E-2</v>
      </c>
      <c r="G847" s="22" t="s">
        <v>33</v>
      </c>
      <c r="H847" s="22">
        <f>STOWA2015_2050GH_W!$N18</f>
        <v>1.8532124395524326E-2</v>
      </c>
      <c r="I847" t="str">
        <f t="shared" si="64"/>
        <v>GH2050;winter;96;85;1.85321243955243E-02;TRUE;1.85321243955243E-02</v>
      </c>
    </row>
    <row r="848" spans="1:9" x14ac:dyDescent="0.25">
      <c r="A848">
        <f t="shared" si="63"/>
        <v>45.65625</v>
      </c>
      <c r="B848" t="s">
        <v>20</v>
      </c>
      <c r="C848" t="s">
        <v>7</v>
      </c>
      <c r="D848">
        <v>96</v>
      </c>
      <c r="E848">
        <f t="shared" si="65"/>
        <v>90</v>
      </c>
      <c r="F848" s="22">
        <f>STOWA2015_2050GH_W!$N19</f>
        <v>1.2205626019766169E-2</v>
      </c>
      <c r="G848" s="22" t="s">
        <v>33</v>
      </c>
      <c r="H848" s="22">
        <f>STOWA2015_2050GH_W!$N19</f>
        <v>1.2205626019766169E-2</v>
      </c>
      <c r="I848" t="str">
        <f t="shared" si="64"/>
        <v>GH2050;winter;96;90;1.22056260197662E-02;TRUE;1.22056260197662E-02</v>
      </c>
    </row>
    <row r="849" spans="1:9" x14ac:dyDescent="0.25">
      <c r="A849">
        <f t="shared" si="63"/>
        <v>45.65625</v>
      </c>
      <c r="B849" t="s">
        <v>20</v>
      </c>
      <c r="C849" t="s">
        <v>7</v>
      </c>
      <c r="D849">
        <v>96</v>
      </c>
      <c r="E849">
        <f t="shared" si="65"/>
        <v>95</v>
      </c>
      <c r="F849" s="22">
        <f>STOWA2015_2050GH_W!$N20</f>
        <v>8.0688436869309314E-3</v>
      </c>
      <c r="G849" s="22" t="s">
        <v>33</v>
      </c>
      <c r="H849" s="22">
        <f>STOWA2015_2050GH_W!$N20</f>
        <v>8.0688436869309314E-3</v>
      </c>
      <c r="I849" t="str">
        <f t="shared" si="64"/>
        <v>GH2050;winter;96;95;8.06884368693093E-03;TRUE;8.06884368693093E-03</v>
      </c>
    </row>
    <row r="850" spans="1:9" x14ac:dyDescent="0.25">
      <c r="A850">
        <f t="shared" si="63"/>
        <v>45.65625</v>
      </c>
      <c r="B850" t="s">
        <v>20</v>
      </c>
      <c r="C850" t="s">
        <v>7</v>
      </c>
      <c r="D850">
        <v>96</v>
      </c>
      <c r="E850">
        <f t="shared" si="65"/>
        <v>100</v>
      </c>
      <c r="F850" s="22">
        <f>STOWA2015_2050GH_W!$N21</f>
        <v>5.3536548670528421E-3</v>
      </c>
      <c r="G850" s="22" t="s">
        <v>33</v>
      </c>
      <c r="H850" s="22">
        <f>STOWA2015_2050GH_W!$N21</f>
        <v>5.3536548670528421E-3</v>
      </c>
      <c r="I850" t="str">
        <f t="shared" si="64"/>
        <v>GH2050;winter;96;100;5.35365486705284E-03;TRUE;5.35365486705284E-03</v>
      </c>
    </row>
    <row r="851" spans="1:9" x14ac:dyDescent="0.25">
      <c r="A851">
        <f t="shared" si="63"/>
        <v>45.65625</v>
      </c>
      <c r="B851" t="s">
        <v>20</v>
      </c>
      <c r="C851" t="s">
        <v>7</v>
      </c>
      <c r="D851">
        <v>96</v>
      </c>
      <c r="E851">
        <f t="shared" si="65"/>
        <v>105</v>
      </c>
      <c r="F851" s="22">
        <f>STOWA2015_2050GH_W!$N22</f>
        <v>3.5649172045935261E-3</v>
      </c>
      <c r="G851" s="22" t="s">
        <v>33</v>
      </c>
      <c r="H851" s="22">
        <f>STOWA2015_2050GH_W!$N22</f>
        <v>3.5649172045935261E-3</v>
      </c>
      <c r="I851" t="str">
        <f t="shared" si="64"/>
        <v>GH2050;winter;96;105;3.56491720459353E-03;TRUE;3.56491720459353E-03</v>
      </c>
    </row>
    <row r="852" spans="1:9" x14ac:dyDescent="0.25">
      <c r="A852">
        <f t="shared" si="63"/>
        <v>45.65625</v>
      </c>
      <c r="B852" t="s">
        <v>20</v>
      </c>
      <c r="C852" t="s">
        <v>7</v>
      </c>
      <c r="D852">
        <v>96</v>
      </c>
      <c r="E852">
        <f t="shared" si="65"/>
        <v>110</v>
      </c>
      <c r="F852" s="22">
        <f>STOWA2015_2050GH_W!$N23</f>
        <v>2.3822176861507073E-3</v>
      </c>
      <c r="G852" s="22" t="s">
        <v>33</v>
      </c>
      <c r="H852" s="22">
        <f>STOWA2015_2050GH_W!$N23</f>
        <v>2.3822176861507073E-3</v>
      </c>
      <c r="I852" t="str">
        <f t="shared" si="64"/>
        <v>GH2050;winter;96;110;2.38221768615071E-03;TRUE;2.38221768615071E-03</v>
      </c>
    </row>
    <row r="853" spans="1:9" x14ac:dyDescent="0.25">
      <c r="A853">
        <f t="shared" si="63"/>
        <v>45.65625</v>
      </c>
      <c r="B853" t="s">
        <v>20</v>
      </c>
      <c r="C853" t="s">
        <v>7</v>
      </c>
      <c r="D853">
        <v>96</v>
      </c>
      <c r="E853">
        <f t="shared" si="65"/>
        <v>115</v>
      </c>
      <c r="F853" s="22">
        <f>STOWA2015_2050GH_W!$N24</f>
        <v>1.5974231356028017E-3</v>
      </c>
      <c r="G853" s="22" t="s">
        <v>33</v>
      </c>
      <c r="H853" s="22">
        <f>STOWA2015_2050GH_W!$N24</f>
        <v>1.5974231356028017E-3</v>
      </c>
      <c r="I853" t="str">
        <f t="shared" si="64"/>
        <v>GH2050;winter;96;115;1.5974231356028E-03;TRUE;1.5974231356028E-03</v>
      </c>
    </row>
    <row r="854" spans="1:9" x14ac:dyDescent="0.25">
      <c r="A854">
        <f t="shared" si="63"/>
        <v>45.65625</v>
      </c>
      <c r="B854" t="s">
        <v>20</v>
      </c>
      <c r="C854" t="s">
        <v>7</v>
      </c>
      <c r="D854">
        <v>96</v>
      </c>
      <c r="E854">
        <f t="shared" si="65"/>
        <v>120</v>
      </c>
      <c r="F854" s="22">
        <f>STOWA2015_2050GH_W!$N25</f>
        <v>3.3568302739432104E-3</v>
      </c>
      <c r="G854" s="22" t="s">
        <v>33</v>
      </c>
      <c r="H854" s="22">
        <f>STOWA2015_2050GH_W!$N25</f>
        <v>3.3568302739432104E-3</v>
      </c>
      <c r="I854" t="str">
        <f t="shared" si="64"/>
        <v>GH2050;winter;96;120;3.35683027394321E-03;TRUE;3.35683027394321E-03</v>
      </c>
    </row>
    <row r="855" spans="1:9" x14ac:dyDescent="0.25">
      <c r="A855">
        <f t="shared" si="63"/>
        <v>22.828125</v>
      </c>
      <c r="B855" t="s">
        <v>20</v>
      </c>
      <c r="C855" t="s">
        <v>7</v>
      </c>
      <c r="D855">
        <v>192</v>
      </c>
      <c r="E855">
        <v>25</v>
      </c>
      <c r="F855" s="22">
        <f>STOWA2015_2050GH_W!$R6</f>
        <v>34.703279420023904</v>
      </c>
      <c r="G855" s="22" t="s">
        <v>33</v>
      </c>
      <c r="H855" s="22">
        <f>STOWA2015_2050GH_W!$R6</f>
        <v>34.703279420023904</v>
      </c>
      <c r="I855" t="str">
        <f t="shared" si="64"/>
        <v>GH2050;winter;192;25;34.7032794200239;TRUE;34.7032794200239</v>
      </c>
    </row>
    <row r="856" spans="1:9" x14ac:dyDescent="0.25">
      <c r="A856">
        <f t="shared" si="63"/>
        <v>22.828125</v>
      </c>
      <c r="B856" t="s">
        <v>20</v>
      </c>
      <c r="C856" t="s">
        <v>7</v>
      </c>
      <c r="D856">
        <v>192</v>
      </c>
      <c r="E856">
        <f>E855+5</f>
        <v>30</v>
      </c>
      <c r="F856" s="22">
        <f>STOWA2015_2050GH_W!$R7</f>
        <v>2.6977167711316667</v>
      </c>
      <c r="G856" s="22" t="s">
        <v>33</v>
      </c>
      <c r="H856" s="22">
        <f>STOWA2015_2050GH_W!$R7</f>
        <v>2.6977167711316667</v>
      </c>
      <c r="I856" t="str">
        <f t="shared" si="64"/>
        <v>GH2050;winter;192;30;2.69771677113167;TRUE;2.69771677113167</v>
      </c>
    </row>
    <row r="857" spans="1:9" x14ac:dyDescent="0.25">
      <c r="A857">
        <f t="shared" si="63"/>
        <v>22.828125</v>
      </c>
      <c r="B857" t="s">
        <v>20</v>
      </c>
      <c r="C857" t="s">
        <v>7</v>
      </c>
      <c r="D857">
        <v>192</v>
      </c>
      <c r="E857">
        <f t="shared" ref="E857:E881" si="66">E856+5</f>
        <v>35</v>
      </c>
      <c r="F857" s="22">
        <f>STOWA2015_2050GH_W!$R8</f>
        <v>2.0564115185596537</v>
      </c>
      <c r="G857" s="22" t="s">
        <v>33</v>
      </c>
      <c r="H857" s="22">
        <f>STOWA2015_2050GH_W!$R8</f>
        <v>2.0564115185596537</v>
      </c>
      <c r="I857" t="str">
        <f t="shared" si="64"/>
        <v>GH2050;winter;192;35;2.05641151855965;TRUE;2.05641151855965</v>
      </c>
    </row>
    <row r="858" spans="1:9" x14ac:dyDescent="0.25">
      <c r="A858">
        <f t="shared" si="63"/>
        <v>22.828125</v>
      </c>
      <c r="B858" t="s">
        <v>20</v>
      </c>
      <c r="C858" t="s">
        <v>7</v>
      </c>
      <c r="D858">
        <v>192</v>
      </c>
      <c r="E858">
        <f t="shared" si="66"/>
        <v>40</v>
      </c>
      <c r="F858" s="22">
        <f>STOWA2015_2050GH_W!$R9</f>
        <v>1.5619269506587283</v>
      </c>
      <c r="G858" s="22" t="s">
        <v>33</v>
      </c>
      <c r="H858" s="22">
        <f>STOWA2015_2050GH_W!$R9</f>
        <v>1.5619269506587283</v>
      </c>
      <c r="I858" t="str">
        <f t="shared" si="64"/>
        <v>GH2050;winter;192;40;1.56192695065873;TRUE;1.56192695065873</v>
      </c>
    </row>
    <row r="859" spans="1:9" x14ac:dyDescent="0.25">
      <c r="A859">
        <f t="shared" si="63"/>
        <v>22.828125</v>
      </c>
      <c r="B859" t="s">
        <v>20</v>
      </c>
      <c r="C859" t="s">
        <v>7</v>
      </c>
      <c r="D859">
        <v>192</v>
      </c>
      <c r="E859">
        <f t="shared" si="66"/>
        <v>45</v>
      </c>
      <c r="F859" s="22">
        <f>STOWA2015_2050GH_W!$R10</f>
        <v>1.1819699457474182</v>
      </c>
      <c r="G859" s="22" t="s">
        <v>33</v>
      </c>
      <c r="H859" s="22">
        <f>STOWA2015_2050GH_W!$R10</f>
        <v>1.1819699457474182</v>
      </c>
      <c r="I859" t="str">
        <f t="shared" si="64"/>
        <v>GH2050;winter;192;45;1.18196994574742;TRUE;1.18196994574742</v>
      </c>
    </row>
    <row r="860" spans="1:9" x14ac:dyDescent="0.25">
      <c r="A860">
        <f t="shared" si="63"/>
        <v>22.828125</v>
      </c>
      <c r="B860" t="s">
        <v>20</v>
      </c>
      <c r="C860" t="s">
        <v>7</v>
      </c>
      <c r="D860">
        <v>192</v>
      </c>
      <c r="E860">
        <f t="shared" si="66"/>
        <v>50</v>
      </c>
      <c r="F860" s="22">
        <f>STOWA2015_2050GH_W!$R11</f>
        <v>0.89105285915545673</v>
      </c>
      <c r="G860" s="22" t="s">
        <v>33</v>
      </c>
      <c r="H860" s="22">
        <f>STOWA2015_2050GH_W!$R11</f>
        <v>0.89105285915545673</v>
      </c>
      <c r="I860" t="str">
        <f t="shared" si="64"/>
        <v>GH2050;winter;192;50;0.891052859155457;TRUE;0.891052859155457</v>
      </c>
    </row>
    <row r="861" spans="1:9" x14ac:dyDescent="0.25">
      <c r="A861">
        <f t="shared" si="63"/>
        <v>22.828125</v>
      </c>
      <c r="B861" t="s">
        <v>20</v>
      </c>
      <c r="C861" t="s">
        <v>7</v>
      </c>
      <c r="D861">
        <v>192</v>
      </c>
      <c r="E861">
        <f t="shared" si="66"/>
        <v>55</v>
      </c>
      <c r="F861" s="22">
        <f>STOWA2015_2050GH_W!$R12</f>
        <v>0.66912353728903406</v>
      </c>
      <c r="G861" s="22" t="s">
        <v>33</v>
      </c>
      <c r="H861" s="22">
        <f>STOWA2015_2050GH_W!$R12</f>
        <v>0.66912353728903406</v>
      </c>
      <c r="I861" t="str">
        <f t="shared" si="64"/>
        <v>GH2050;winter;192;55;0.669123537289034;TRUE;0.669123537289034</v>
      </c>
    </row>
    <row r="862" spans="1:9" x14ac:dyDescent="0.25">
      <c r="A862">
        <f t="shared" si="63"/>
        <v>22.828125</v>
      </c>
      <c r="B862" t="s">
        <v>20</v>
      </c>
      <c r="C862" t="s">
        <v>7</v>
      </c>
      <c r="D862">
        <v>192</v>
      </c>
      <c r="E862">
        <f t="shared" si="66"/>
        <v>60</v>
      </c>
      <c r="F862" s="22">
        <f>STOWA2015_2050GH_W!$R13</f>
        <v>0.50045787271036879</v>
      </c>
      <c r="G862" s="22" t="s">
        <v>33</v>
      </c>
      <c r="H862" s="22">
        <f>STOWA2015_2050GH_W!$R13</f>
        <v>0.50045787271036879</v>
      </c>
      <c r="I862" t="str">
        <f t="shared" si="64"/>
        <v>GH2050;winter;192;60;0.500457872710369;TRUE;0.500457872710369</v>
      </c>
    </row>
    <row r="863" spans="1:9" x14ac:dyDescent="0.25">
      <c r="A863">
        <f t="shared" si="63"/>
        <v>22.828125</v>
      </c>
      <c r="B863" t="s">
        <v>20</v>
      </c>
      <c r="C863" t="s">
        <v>7</v>
      </c>
      <c r="D863">
        <v>192</v>
      </c>
      <c r="E863">
        <f t="shared" si="66"/>
        <v>65</v>
      </c>
      <c r="F863" s="22">
        <f>STOWA2015_2050GH_W!$R14</f>
        <v>0.37276718972697043</v>
      </c>
      <c r="G863" s="22" t="s">
        <v>33</v>
      </c>
      <c r="H863" s="22">
        <f>STOWA2015_2050GH_W!$R14</f>
        <v>0.37276718972697043</v>
      </c>
      <c r="I863" t="str">
        <f t="shared" si="64"/>
        <v>GH2050;winter;192;65;0.37276718972697;TRUE;0.37276718972697</v>
      </c>
    </row>
    <row r="864" spans="1:9" x14ac:dyDescent="0.25">
      <c r="A864">
        <f t="shared" si="63"/>
        <v>22.828125</v>
      </c>
      <c r="B864" t="s">
        <v>20</v>
      </c>
      <c r="C864" t="s">
        <v>7</v>
      </c>
      <c r="D864">
        <v>192</v>
      </c>
      <c r="E864">
        <f t="shared" si="66"/>
        <v>70</v>
      </c>
      <c r="F864" s="22">
        <f>STOWA2015_2050GH_W!$R15</f>
        <v>0.2764809352712434</v>
      </c>
      <c r="G864" s="22" t="s">
        <v>33</v>
      </c>
      <c r="H864" s="22">
        <f>STOWA2015_2050GH_W!$R15</f>
        <v>0.2764809352712434</v>
      </c>
      <c r="I864" t="str">
        <f t="shared" si="64"/>
        <v>GH2050;winter;192;70;0.276480935271243;TRUE;0.276480935271243</v>
      </c>
    </row>
    <row r="865" spans="1:9" x14ac:dyDescent="0.25">
      <c r="A865">
        <f t="shared" si="63"/>
        <v>22.828125</v>
      </c>
      <c r="B865" t="s">
        <v>20</v>
      </c>
      <c r="C865" t="s">
        <v>7</v>
      </c>
      <c r="D865">
        <v>192</v>
      </c>
      <c r="E865">
        <f t="shared" si="66"/>
        <v>75</v>
      </c>
      <c r="F865" s="22">
        <f>STOWA2015_2050GH_W!$R16</f>
        <v>0.20417201620205494</v>
      </c>
      <c r="G865" s="22" t="s">
        <v>33</v>
      </c>
      <c r="H865" s="22">
        <f>STOWA2015_2050GH_W!$R16</f>
        <v>0.20417201620205494</v>
      </c>
      <c r="I865" t="str">
        <f t="shared" si="64"/>
        <v>GH2050;winter;192;75;0.204172016202055;TRUE;0.204172016202055</v>
      </c>
    </row>
    <row r="866" spans="1:9" x14ac:dyDescent="0.25">
      <c r="A866">
        <f t="shared" si="63"/>
        <v>22.828125</v>
      </c>
      <c r="B866" t="s">
        <v>20</v>
      </c>
      <c r="C866" t="s">
        <v>7</v>
      </c>
      <c r="D866">
        <v>192</v>
      </c>
      <c r="E866">
        <f t="shared" si="66"/>
        <v>80</v>
      </c>
      <c r="F866" s="22">
        <f>STOWA2015_2050GH_W!$R17</f>
        <v>0.15009786999319191</v>
      </c>
      <c r="G866" s="22" t="s">
        <v>33</v>
      </c>
      <c r="H866" s="22">
        <f>STOWA2015_2050GH_W!$R17</f>
        <v>0.15009786999319191</v>
      </c>
      <c r="I866" t="str">
        <f t="shared" si="64"/>
        <v>GH2050;winter;192;80;0.150097869993192;TRUE;0.150097869993192</v>
      </c>
    </row>
    <row r="867" spans="1:9" x14ac:dyDescent="0.25">
      <c r="A867">
        <f t="shared" si="63"/>
        <v>22.828125</v>
      </c>
      <c r="B867" t="s">
        <v>20</v>
      </c>
      <c r="C867" t="s">
        <v>7</v>
      </c>
      <c r="D867">
        <v>192</v>
      </c>
      <c r="E867">
        <f t="shared" si="66"/>
        <v>85</v>
      </c>
      <c r="F867" s="22">
        <f>STOWA2015_2050GH_W!$R18</f>
        <v>0.10983515183246034</v>
      </c>
      <c r="G867" s="22" t="s">
        <v>33</v>
      </c>
      <c r="H867" s="22">
        <f>STOWA2015_2050GH_W!$R18</f>
        <v>0.10983515183246034</v>
      </c>
      <c r="I867" t="str">
        <f t="shared" si="64"/>
        <v>GH2050;winter;192;85;0.10983515183246;TRUE;0.10983515183246</v>
      </c>
    </row>
    <row r="868" spans="1:9" x14ac:dyDescent="0.25">
      <c r="A868">
        <f t="shared" si="63"/>
        <v>22.828125</v>
      </c>
      <c r="B868" t="s">
        <v>20</v>
      </c>
      <c r="C868" t="s">
        <v>7</v>
      </c>
      <c r="D868">
        <v>192</v>
      </c>
      <c r="E868">
        <f t="shared" si="66"/>
        <v>90</v>
      </c>
      <c r="F868" s="22">
        <f>STOWA2015_2050GH_W!$R19</f>
        <v>7.9989914061448009E-2</v>
      </c>
      <c r="G868" s="22" t="s">
        <v>33</v>
      </c>
      <c r="H868" s="22">
        <f>STOWA2015_2050GH_W!$R19</f>
        <v>7.9989914061448009E-2</v>
      </c>
      <c r="I868" t="str">
        <f t="shared" si="64"/>
        <v>GH2050;winter;192;90;0.079989914061448;TRUE;0.079989914061448</v>
      </c>
    </row>
    <row r="869" spans="1:9" x14ac:dyDescent="0.25">
      <c r="A869">
        <f t="shared" si="63"/>
        <v>22.828125</v>
      </c>
      <c r="B869" t="s">
        <v>20</v>
      </c>
      <c r="C869" t="s">
        <v>7</v>
      </c>
      <c r="D869">
        <v>192</v>
      </c>
      <c r="E869">
        <f t="shared" si="66"/>
        <v>95</v>
      </c>
      <c r="F869" s="22">
        <f>STOWA2015_2050GH_W!$R20</f>
        <v>5.7968469271181572E-2</v>
      </c>
      <c r="G869" s="22" t="s">
        <v>33</v>
      </c>
      <c r="H869" s="22">
        <f>STOWA2015_2050GH_W!$R20</f>
        <v>5.7968469271181572E-2</v>
      </c>
      <c r="I869" t="str">
        <f t="shared" si="64"/>
        <v>GH2050;winter;192;95;5.79684692711816E-02;TRUE;5.79684692711816E-02</v>
      </c>
    </row>
    <row r="870" spans="1:9" x14ac:dyDescent="0.25">
      <c r="A870">
        <f t="shared" si="63"/>
        <v>22.828125</v>
      </c>
      <c r="B870" t="s">
        <v>20</v>
      </c>
      <c r="C870" t="s">
        <v>7</v>
      </c>
      <c r="D870">
        <v>192</v>
      </c>
      <c r="E870">
        <f t="shared" si="66"/>
        <v>100</v>
      </c>
      <c r="F870" s="22">
        <f>STOWA2015_2050GH_W!$R21</f>
        <v>4.1796873638587057E-2</v>
      </c>
      <c r="G870" s="22" t="s">
        <v>33</v>
      </c>
      <c r="H870" s="22">
        <f>STOWA2015_2050GH_W!$R21</f>
        <v>4.1796873638587057E-2</v>
      </c>
      <c r="I870" t="str">
        <f t="shared" si="64"/>
        <v>GH2050;winter;192;100;4.17968736385871E-02;TRUE;4.17968736385871E-02</v>
      </c>
    </row>
    <row r="871" spans="1:9" x14ac:dyDescent="0.25">
      <c r="A871">
        <f t="shared" si="63"/>
        <v>22.828125</v>
      </c>
      <c r="B871" t="s">
        <v>20</v>
      </c>
      <c r="C871" t="s">
        <v>7</v>
      </c>
      <c r="D871">
        <v>192</v>
      </c>
      <c r="E871">
        <f t="shared" si="66"/>
        <v>105</v>
      </c>
      <c r="F871" s="22">
        <f>STOWA2015_2050GH_W!$R22</f>
        <v>2.997923385272741E-2</v>
      </c>
      <c r="G871" s="22" t="s">
        <v>33</v>
      </c>
      <c r="H871" s="22">
        <f>STOWA2015_2050GH_W!$R22</f>
        <v>2.997923385272741E-2</v>
      </c>
      <c r="I871" t="str">
        <f t="shared" si="64"/>
        <v>GH2050;winter;192;105;2.99792338527274E-02;TRUE;2.99792338527274E-02</v>
      </c>
    </row>
    <row r="872" spans="1:9" x14ac:dyDescent="0.25">
      <c r="A872">
        <f t="shared" si="63"/>
        <v>22.828125</v>
      </c>
      <c r="B872" t="s">
        <v>20</v>
      </c>
      <c r="C872" t="s">
        <v>7</v>
      </c>
      <c r="D872">
        <v>192</v>
      </c>
      <c r="E872">
        <f t="shared" si="66"/>
        <v>110</v>
      </c>
      <c r="F872" s="22">
        <f>STOWA2015_2050GH_W!$R23</f>
        <v>2.1386907190172368E-2</v>
      </c>
      <c r="G872" s="22" t="s">
        <v>33</v>
      </c>
      <c r="H872" s="22">
        <f>STOWA2015_2050GH_W!$R23</f>
        <v>2.1386907190172368E-2</v>
      </c>
      <c r="I872" t="str">
        <f t="shared" si="64"/>
        <v>GH2050;winter;192;110;2.13869071901724E-02;TRUE;2.13869071901724E-02</v>
      </c>
    </row>
    <row r="873" spans="1:9" x14ac:dyDescent="0.25">
      <c r="A873">
        <f t="shared" si="63"/>
        <v>22.828125</v>
      </c>
      <c r="B873" t="s">
        <v>20</v>
      </c>
      <c r="C873" t="s">
        <v>7</v>
      </c>
      <c r="D873">
        <v>192</v>
      </c>
      <c r="E873">
        <f t="shared" si="66"/>
        <v>115</v>
      </c>
      <c r="F873" s="22">
        <f>STOWA2015_2050GH_W!$R24</f>
        <v>1.5172196122109828E-2</v>
      </c>
      <c r="G873" s="22" t="s">
        <v>33</v>
      </c>
      <c r="H873" s="22">
        <f>STOWA2015_2050GH_W!$R24</f>
        <v>1.5172196122109828E-2</v>
      </c>
      <c r="I873" t="str">
        <f t="shared" si="64"/>
        <v>GH2050;winter;192;115;1.51721961221098E-02;TRUE;1.51721961221098E-02</v>
      </c>
    </row>
    <row r="874" spans="1:9" x14ac:dyDescent="0.25">
      <c r="A874">
        <f t="shared" si="63"/>
        <v>22.828125</v>
      </c>
      <c r="B874" t="s">
        <v>20</v>
      </c>
      <c r="C874" t="s">
        <v>7</v>
      </c>
      <c r="D874">
        <v>192</v>
      </c>
      <c r="E874">
        <f t="shared" si="66"/>
        <v>120</v>
      </c>
      <c r="F874" s="22">
        <f>STOWA2015_2050GH_W!$R25</f>
        <v>1.0701392293352617E-2</v>
      </c>
      <c r="G874" s="22" t="s">
        <v>33</v>
      </c>
      <c r="H874" s="22">
        <f>STOWA2015_2050GH_W!$R25</f>
        <v>1.0701392293352617E-2</v>
      </c>
      <c r="I874" t="str">
        <f t="shared" si="64"/>
        <v>GH2050;winter;192;120;1.07013922933526E-02;TRUE;1.07013922933526E-02</v>
      </c>
    </row>
    <row r="875" spans="1:9" x14ac:dyDescent="0.25">
      <c r="A875">
        <f t="shared" si="63"/>
        <v>22.828125</v>
      </c>
      <c r="B875" t="s">
        <v>20</v>
      </c>
      <c r="C875" t="s">
        <v>7</v>
      </c>
      <c r="D875">
        <v>192</v>
      </c>
      <c r="E875">
        <f t="shared" si="66"/>
        <v>125</v>
      </c>
      <c r="F875" s="22">
        <f>STOWA2015_2050GH_W!$R26</f>
        <v>7.5030471126528234E-3</v>
      </c>
      <c r="G875" s="22" t="s">
        <v>33</v>
      </c>
      <c r="H875" s="22">
        <f>STOWA2015_2050GH_W!$R26</f>
        <v>7.5030471126528234E-3</v>
      </c>
      <c r="I875" t="str">
        <f t="shared" si="64"/>
        <v>GH2050;winter;192;125;7.50304711265282E-03;TRUE;7.50304711265282E-03</v>
      </c>
    </row>
    <row r="876" spans="1:9" x14ac:dyDescent="0.25">
      <c r="A876">
        <f t="shared" si="63"/>
        <v>22.828125</v>
      </c>
      <c r="B876" t="s">
        <v>20</v>
      </c>
      <c r="C876" t="s">
        <v>7</v>
      </c>
      <c r="D876">
        <v>192</v>
      </c>
      <c r="E876">
        <f t="shared" si="66"/>
        <v>130</v>
      </c>
      <c r="F876" s="22">
        <f>STOWA2015_2050GH_W!$R27</f>
        <v>5.2281773762806148E-3</v>
      </c>
      <c r="G876" s="22" t="s">
        <v>33</v>
      </c>
      <c r="H876" s="22">
        <f>STOWA2015_2050GH_W!$R27</f>
        <v>5.2281773762806148E-3</v>
      </c>
      <c r="I876" t="str">
        <f t="shared" si="64"/>
        <v>GH2050;winter;192;130;5.22817737628061E-03;TRUE;5.22817737628061E-03</v>
      </c>
    </row>
    <row r="877" spans="1:9" x14ac:dyDescent="0.25">
      <c r="A877">
        <f t="shared" si="63"/>
        <v>22.828125</v>
      </c>
      <c r="B877" t="s">
        <v>20</v>
      </c>
      <c r="C877" t="s">
        <v>7</v>
      </c>
      <c r="D877">
        <v>192</v>
      </c>
      <c r="E877">
        <f t="shared" si="66"/>
        <v>135</v>
      </c>
      <c r="F877" s="22">
        <f>STOWA2015_2050GH_W!$R28</f>
        <v>3.6197877731411286E-3</v>
      </c>
      <c r="G877" s="22" t="s">
        <v>33</v>
      </c>
      <c r="H877" s="22">
        <f>STOWA2015_2050GH_W!$R28</f>
        <v>3.6197877731411286E-3</v>
      </c>
      <c r="I877" t="str">
        <f t="shared" si="64"/>
        <v>GH2050;winter;192;135;3.61978777314113E-03;TRUE;3.61978777314113E-03</v>
      </c>
    </row>
    <row r="878" spans="1:9" x14ac:dyDescent="0.25">
      <c r="A878">
        <f t="shared" si="63"/>
        <v>22.828125</v>
      </c>
      <c r="B878" t="s">
        <v>20</v>
      </c>
      <c r="C878" t="s">
        <v>7</v>
      </c>
      <c r="D878">
        <v>192</v>
      </c>
      <c r="E878">
        <f t="shared" si="66"/>
        <v>140</v>
      </c>
      <c r="F878" s="22">
        <f>STOWA2015_2050GH_W!$R29</f>
        <v>2.4896358104701116E-3</v>
      </c>
      <c r="G878" s="22" t="s">
        <v>33</v>
      </c>
      <c r="H878" s="22">
        <f>STOWA2015_2050GH_W!$R29</f>
        <v>2.4896358104701116E-3</v>
      </c>
      <c r="I878" t="str">
        <f t="shared" si="64"/>
        <v>GH2050;winter;192;140;2.48963581047011E-03;TRUE;2.48963581047011E-03</v>
      </c>
    </row>
    <row r="879" spans="1:9" x14ac:dyDescent="0.25">
      <c r="A879">
        <f t="shared" si="63"/>
        <v>22.828125</v>
      </c>
      <c r="B879" t="s">
        <v>20</v>
      </c>
      <c r="C879" t="s">
        <v>7</v>
      </c>
      <c r="D879">
        <v>192</v>
      </c>
      <c r="E879">
        <f t="shared" si="66"/>
        <v>145</v>
      </c>
      <c r="F879" s="22">
        <f>STOWA2015_2050GH_W!$R30</f>
        <v>1.7006020500094738E-3</v>
      </c>
      <c r="G879" s="22" t="s">
        <v>33</v>
      </c>
      <c r="H879" s="22">
        <f>STOWA2015_2050GH_W!$R30</f>
        <v>1.7006020500094738E-3</v>
      </c>
      <c r="I879" t="str">
        <f t="shared" si="64"/>
        <v>GH2050;winter;192;145;1.70060205000947E-03;TRUE;1.70060205000947E-03</v>
      </c>
    </row>
    <row r="880" spans="1:9" x14ac:dyDescent="0.25">
      <c r="A880">
        <f t="shared" si="63"/>
        <v>22.828125</v>
      </c>
      <c r="B880" t="s">
        <v>20</v>
      </c>
      <c r="C880" t="s">
        <v>7</v>
      </c>
      <c r="D880">
        <v>192</v>
      </c>
      <c r="E880">
        <f t="shared" si="66"/>
        <v>150</v>
      </c>
      <c r="F880" s="22">
        <f>STOWA2015_2050GH_W!$R31</f>
        <v>1.1533790295023012E-3</v>
      </c>
      <c r="G880" s="22" t="s">
        <v>33</v>
      </c>
      <c r="H880" s="22">
        <f>STOWA2015_2050GH_W!$R31</f>
        <v>1.1533790295023012E-3</v>
      </c>
      <c r="I880" t="str">
        <f t="shared" si="64"/>
        <v>GH2050;winter;192;150;1.1533790295023E-03;TRUE;1.1533790295023E-03</v>
      </c>
    </row>
    <row r="881" spans="1:9" x14ac:dyDescent="0.25">
      <c r="A881">
        <f t="shared" si="63"/>
        <v>22.828125</v>
      </c>
      <c r="B881" t="s">
        <v>20</v>
      </c>
      <c r="C881" t="s">
        <v>7</v>
      </c>
      <c r="D881">
        <v>192</v>
      </c>
      <c r="E881">
        <f t="shared" si="66"/>
        <v>155</v>
      </c>
      <c r="F881" s="22">
        <f>STOWA2015_2050GH_W!$R32</f>
        <v>2.2683461162168296E-3</v>
      </c>
      <c r="G881" s="22" t="s">
        <v>33</v>
      </c>
      <c r="H881" s="22">
        <f>STOWA2015_2050GH_W!$R32</f>
        <v>2.2683461162168296E-3</v>
      </c>
      <c r="I881" t="str">
        <f t="shared" si="64"/>
        <v>GH2050;winter;192;155;2.26834611621683E-03;TRUE;2.26834611621683E-03</v>
      </c>
    </row>
    <row r="882" spans="1:9" x14ac:dyDescent="0.25">
      <c r="A882">
        <f t="shared" si="63"/>
        <v>20.291666666666664</v>
      </c>
      <c r="B882" t="s">
        <v>20</v>
      </c>
      <c r="C882" t="s">
        <v>7</v>
      </c>
      <c r="D882">
        <v>216</v>
      </c>
      <c r="E882">
        <v>25</v>
      </c>
      <c r="F882" s="22">
        <f>STOWA2015_2050GH_W!$V6</f>
        <v>29.182878637029454</v>
      </c>
      <c r="G882" s="22" t="s">
        <v>33</v>
      </c>
      <c r="H882" s="22">
        <f>STOWA2015_2050GH_W!$V6</f>
        <v>29.182878637029454</v>
      </c>
      <c r="I882" t="str">
        <f t="shared" si="64"/>
        <v>GH2050;winter;216;25;29.1828786370295;TRUE;29.1828786370295</v>
      </c>
    </row>
    <row r="883" spans="1:9" x14ac:dyDescent="0.25">
      <c r="A883">
        <f t="shared" si="63"/>
        <v>20.291666666666664</v>
      </c>
      <c r="B883" t="s">
        <v>20</v>
      </c>
      <c r="C883" t="s">
        <v>7</v>
      </c>
      <c r="D883">
        <v>216</v>
      </c>
      <c r="E883">
        <f>E882+5</f>
        <v>30</v>
      </c>
      <c r="F883" s="22">
        <f>STOWA2015_2050GH_W!$V7</f>
        <v>2.5707590955086701</v>
      </c>
      <c r="G883" s="22" t="s">
        <v>33</v>
      </c>
      <c r="H883" s="22">
        <f>STOWA2015_2050GH_W!$V7</f>
        <v>2.5707590955086701</v>
      </c>
      <c r="I883" t="str">
        <f t="shared" si="64"/>
        <v>GH2050;winter;216;30;2.57075909550867;TRUE;2.57075909550867</v>
      </c>
    </row>
    <row r="884" spans="1:9" x14ac:dyDescent="0.25">
      <c r="A884">
        <f t="shared" si="63"/>
        <v>20.291666666666664</v>
      </c>
      <c r="B884" t="s">
        <v>20</v>
      </c>
      <c r="C884" t="s">
        <v>7</v>
      </c>
      <c r="D884">
        <v>216</v>
      </c>
      <c r="E884">
        <f t="shared" ref="E884:E909" si="67">E883+5</f>
        <v>35</v>
      </c>
      <c r="F884" s="22">
        <f>STOWA2015_2050GH_W!$V8</f>
        <v>2.0195960998258604</v>
      </c>
      <c r="G884" s="22" t="s">
        <v>33</v>
      </c>
      <c r="H884" s="22">
        <f>STOWA2015_2050GH_W!$V8</f>
        <v>2.0195960998258604</v>
      </c>
      <c r="I884" t="str">
        <f t="shared" si="64"/>
        <v>GH2050;winter;216;35;2.01959609982586;TRUE;2.01959609982586</v>
      </c>
    </row>
    <row r="885" spans="1:9" x14ac:dyDescent="0.25">
      <c r="A885">
        <f t="shared" si="63"/>
        <v>20.291666666666664</v>
      </c>
      <c r="B885" t="s">
        <v>20</v>
      </c>
      <c r="C885" t="s">
        <v>7</v>
      </c>
      <c r="D885">
        <v>216</v>
      </c>
      <c r="E885">
        <f t="shared" si="67"/>
        <v>40</v>
      </c>
      <c r="F885" s="22">
        <f>STOWA2015_2050GH_W!$V9</f>
        <v>1.5803012257540026</v>
      </c>
      <c r="G885" s="22" t="s">
        <v>33</v>
      </c>
      <c r="H885" s="22">
        <f>STOWA2015_2050GH_W!$V9</f>
        <v>1.5803012257540026</v>
      </c>
      <c r="I885" t="str">
        <f t="shared" si="64"/>
        <v>GH2050;winter;216;40;1.580301225754;TRUE;1.580301225754</v>
      </c>
    </row>
    <row r="886" spans="1:9" x14ac:dyDescent="0.25">
      <c r="A886">
        <f t="shared" si="63"/>
        <v>20.291666666666664</v>
      </c>
      <c r="B886" t="s">
        <v>20</v>
      </c>
      <c r="C886" t="s">
        <v>7</v>
      </c>
      <c r="D886">
        <v>216</v>
      </c>
      <c r="E886">
        <f t="shared" si="67"/>
        <v>45</v>
      </c>
      <c r="F886" s="22">
        <f>STOWA2015_2050GH_W!$V10</f>
        <v>1.2314861506119392</v>
      </c>
      <c r="G886" s="22" t="s">
        <v>33</v>
      </c>
      <c r="H886" s="22">
        <f>STOWA2015_2050GH_W!$V10</f>
        <v>1.2314861506119392</v>
      </c>
      <c r="I886" t="str">
        <f t="shared" si="64"/>
        <v>GH2050;winter;216;45;1.23148615061194;TRUE;1.23148615061194</v>
      </c>
    </row>
    <row r="887" spans="1:9" x14ac:dyDescent="0.25">
      <c r="A887">
        <f t="shared" si="63"/>
        <v>20.291666666666664</v>
      </c>
      <c r="B887" t="s">
        <v>20</v>
      </c>
      <c r="C887" t="s">
        <v>7</v>
      </c>
      <c r="D887">
        <v>216</v>
      </c>
      <c r="E887">
        <f t="shared" si="67"/>
        <v>50</v>
      </c>
      <c r="F887" s="22">
        <f>STOWA2015_2050GH_W!$V11</f>
        <v>0.95559224965927703</v>
      </c>
      <c r="G887" s="22" t="s">
        <v>33</v>
      </c>
      <c r="H887" s="22">
        <f>STOWA2015_2050GH_W!$V11</f>
        <v>0.95559224965927703</v>
      </c>
      <c r="I887" t="str">
        <f t="shared" si="64"/>
        <v>GH2050;winter;216;50;0.955592249659277;TRUE;0.955592249659277</v>
      </c>
    </row>
    <row r="888" spans="1:9" x14ac:dyDescent="0.25">
      <c r="A888">
        <f t="shared" si="63"/>
        <v>20.291666666666664</v>
      </c>
      <c r="B888" t="s">
        <v>20</v>
      </c>
      <c r="C888" t="s">
        <v>7</v>
      </c>
      <c r="D888">
        <v>216</v>
      </c>
      <c r="E888">
        <f t="shared" si="67"/>
        <v>55</v>
      </c>
      <c r="F888" s="22">
        <f>STOWA2015_2050GH_W!$V12</f>
        <v>0.73825279799131405</v>
      </c>
      <c r="G888" s="22" t="s">
        <v>33</v>
      </c>
      <c r="H888" s="22">
        <f>STOWA2015_2050GH_W!$V12</f>
        <v>0.73825279799131405</v>
      </c>
      <c r="I888" t="str">
        <f t="shared" si="64"/>
        <v>GH2050;winter;216;55;0.738252797991314;TRUE;0.738252797991314</v>
      </c>
    </row>
    <row r="889" spans="1:9" x14ac:dyDescent="0.25">
      <c r="A889">
        <f t="shared" si="63"/>
        <v>20.291666666666664</v>
      </c>
      <c r="B889" t="s">
        <v>20</v>
      </c>
      <c r="C889" t="s">
        <v>7</v>
      </c>
      <c r="D889">
        <v>216</v>
      </c>
      <c r="E889">
        <f t="shared" si="67"/>
        <v>60</v>
      </c>
      <c r="F889" s="22">
        <f>STOWA2015_2050GH_W!$V13</f>
        <v>0.56775315580021957</v>
      </c>
      <c r="G889" s="22" t="s">
        <v>33</v>
      </c>
      <c r="H889" s="22">
        <f>STOWA2015_2050GH_W!$V13</f>
        <v>0.56775315580021957</v>
      </c>
      <c r="I889" t="str">
        <f t="shared" si="64"/>
        <v>GH2050;winter;216;60;0.56775315580022;TRUE;0.56775315580022</v>
      </c>
    </row>
    <row r="890" spans="1:9" x14ac:dyDescent="0.25">
      <c r="A890">
        <f t="shared" si="63"/>
        <v>20.291666666666664</v>
      </c>
      <c r="B890" t="s">
        <v>20</v>
      </c>
      <c r="C890" t="s">
        <v>7</v>
      </c>
      <c r="D890">
        <v>216</v>
      </c>
      <c r="E890">
        <f t="shared" si="67"/>
        <v>65</v>
      </c>
      <c r="F890" s="22">
        <f>STOWA2015_2050GH_W!$V14</f>
        <v>0.43457519007429601</v>
      </c>
      <c r="G890" s="22" t="s">
        <v>33</v>
      </c>
      <c r="H890" s="22">
        <f>STOWA2015_2050GH_W!$V14</f>
        <v>0.43457519007429601</v>
      </c>
      <c r="I890" t="str">
        <f t="shared" si="64"/>
        <v>GH2050;winter;216;65;0.434575190074296;TRUE;0.434575190074296</v>
      </c>
    </row>
    <row r="891" spans="1:9" x14ac:dyDescent="0.25">
      <c r="A891">
        <f t="shared" si="63"/>
        <v>20.291666666666664</v>
      </c>
      <c r="B891" t="s">
        <v>20</v>
      </c>
      <c r="C891" t="s">
        <v>7</v>
      </c>
      <c r="D891">
        <v>216</v>
      </c>
      <c r="E891">
        <f t="shared" si="67"/>
        <v>70</v>
      </c>
      <c r="F891" s="22">
        <f>STOWA2015_2050GH_W!$V15</f>
        <v>0.33101392523458062</v>
      </c>
      <c r="G891" s="22" t="s">
        <v>33</v>
      </c>
      <c r="H891" s="22">
        <f>STOWA2015_2050GH_W!$V15</f>
        <v>0.33101392523458062</v>
      </c>
      <c r="I891" t="str">
        <f t="shared" si="64"/>
        <v>GH2050;winter;216;70;0.331013925234581;TRUE;0.331013925234581</v>
      </c>
    </row>
    <row r="892" spans="1:9" x14ac:dyDescent="0.25">
      <c r="A892">
        <f t="shared" si="63"/>
        <v>20.291666666666664</v>
      </c>
      <c r="B892" t="s">
        <v>20</v>
      </c>
      <c r="C892" t="s">
        <v>7</v>
      </c>
      <c r="D892">
        <v>216</v>
      </c>
      <c r="E892">
        <f t="shared" si="67"/>
        <v>75</v>
      </c>
      <c r="F892" s="22">
        <f>STOWA2015_2050GH_W!$V16</f>
        <v>0.25085595929252213</v>
      </c>
      <c r="G892" s="22" t="s">
        <v>33</v>
      </c>
      <c r="H892" s="22">
        <f>STOWA2015_2050GH_W!$V16</f>
        <v>0.25085595929252213</v>
      </c>
      <c r="I892" t="str">
        <f t="shared" si="64"/>
        <v>GH2050;winter;216;75;0.250855959292522;TRUE;0.250855959292522</v>
      </c>
    </row>
    <row r="893" spans="1:9" x14ac:dyDescent="0.25">
      <c r="A893">
        <f t="shared" si="63"/>
        <v>20.291666666666664</v>
      </c>
      <c r="B893" t="s">
        <v>20</v>
      </c>
      <c r="C893" t="s">
        <v>7</v>
      </c>
      <c r="D893">
        <v>216</v>
      </c>
      <c r="E893">
        <f t="shared" si="67"/>
        <v>80</v>
      </c>
      <c r="F893" s="22">
        <f>STOWA2015_2050GH_W!$V17</f>
        <v>0.18911054991156451</v>
      </c>
      <c r="G893" s="22" t="s">
        <v>33</v>
      </c>
      <c r="H893" s="22">
        <f>STOWA2015_2050GH_W!$V17</f>
        <v>0.18911054991156451</v>
      </c>
      <c r="I893" t="str">
        <f t="shared" si="64"/>
        <v>GH2050;winter;216;80;0.189110549911565;TRUE;0.189110549911565</v>
      </c>
    </row>
    <row r="894" spans="1:9" x14ac:dyDescent="0.25">
      <c r="A894">
        <f t="shared" si="63"/>
        <v>20.291666666666664</v>
      </c>
      <c r="B894" t="s">
        <v>20</v>
      </c>
      <c r="C894" t="s">
        <v>7</v>
      </c>
      <c r="D894">
        <v>216</v>
      </c>
      <c r="E894">
        <f t="shared" si="67"/>
        <v>85</v>
      </c>
      <c r="F894" s="22">
        <f>STOWA2015_2050GH_W!$V18</f>
        <v>0.14178548376510736</v>
      </c>
      <c r="G894" s="22" t="s">
        <v>33</v>
      </c>
      <c r="H894" s="22">
        <f>STOWA2015_2050GH_W!$V18</f>
        <v>0.14178548376510736</v>
      </c>
      <c r="I894" t="str">
        <f t="shared" si="64"/>
        <v>GH2050;winter;216;85;0.141785483765107;TRUE;0.141785483765107</v>
      </c>
    </row>
    <row r="895" spans="1:9" x14ac:dyDescent="0.25">
      <c r="A895">
        <f t="shared" si="63"/>
        <v>20.291666666666664</v>
      </c>
      <c r="B895" t="s">
        <v>20</v>
      </c>
      <c r="C895" t="s">
        <v>7</v>
      </c>
      <c r="D895">
        <v>216</v>
      </c>
      <c r="E895">
        <f t="shared" si="67"/>
        <v>90</v>
      </c>
      <c r="F895" s="22">
        <f>STOWA2015_2050GH_W!$V19</f>
        <v>0.1057009088320901</v>
      </c>
      <c r="G895" s="22" t="s">
        <v>33</v>
      </c>
      <c r="H895" s="22">
        <f>STOWA2015_2050GH_W!$V19</f>
        <v>0.1057009088320901</v>
      </c>
      <c r="I895" t="str">
        <f t="shared" si="64"/>
        <v>GH2050;winter;216;90;0.10570090883209;TRUE;0.10570090883209</v>
      </c>
    </row>
    <row r="896" spans="1:9" x14ac:dyDescent="0.25">
      <c r="A896">
        <f t="shared" si="63"/>
        <v>20.291666666666664</v>
      </c>
      <c r="B896" t="s">
        <v>20</v>
      </c>
      <c r="C896" t="s">
        <v>7</v>
      </c>
      <c r="D896">
        <v>216</v>
      </c>
      <c r="E896">
        <f t="shared" si="67"/>
        <v>95</v>
      </c>
      <c r="F896" s="22">
        <f>STOWA2015_2050GH_W!$V20</f>
        <v>7.8335247422597065E-2</v>
      </c>
      <c r="G896" s="22" t="s">
        <v>33</v>
      </c>
      <c r="H896" s="22">
        <f>STOWA2015_2050GH_W!$V20</f>
        <v>7.8335247422597065E-2</v>
      </c>
      <c r="I896" t="str">
        <f t="shared" si="64"/>
        <v>GH2050;winter;216;95;7.83352474225971E-02;TRUE;7.83352474225971E-02</v>
      </c>
    </row>
    <row r="897" spans="1:9" x14ac:dyDescent="0.25">
      <c r="A897">
        <f t="shared" si="63"/>
        <v>20.291666666666664</v>
      </c>
      <c r="B897" t="s">
        <v>20</v>
      </c>
      <c r="C897" t="s">
        <v>7</v>
      </c>
      <c r="D897">
        <v>216</v>
      </c>
      <c r="E897">
        <f t="shared" si="67"/>
        <v>100</v>
      </c>
      <c r="F897" s="22">
        <f>STOWA2015_2050GH_W!$V21</f>
        <v>5.7698131169531569E-2</v>
      </c>
      <c r="G897" s="22" t="s">
        <v>33</v>
      </c>
      <c r="H897" s="22">
        <f>STOWA2015_2050GH_W!$V21</f>
        <v>5.7698131169531569E-2</v>
      </c>
      <c r="I897" t="str">
        <f t="shared" si="64"/>
        <v>GH2050;winter;216;100;5.76981311695316E-02;TRUE;5.76981311695316E-02</v>
      </c>
    </row>
    <row r="898" spans="1:9" x14ac:dyDescent="0.25">
      <c r="A898">
        <f t="shared" ref="A898:A961" si="68">IF(C898="zomer",24/D898*365.25 * 6/12,24/D898*365.25 * 6/12)</f>
        <v>20.291666666666664</v>
      </c>
      <c r="B898" t="s">
        <v>20</v>
      </c>
      <c r="C898" t="s">
        <v>7</v>
      </c>
      <c r="D898">
        <v>216</v>
      </c>
      <c r="E898">
        <f t="shared" si="67"/>
        <v>105</v>
      </c>
      <c r="F898" s="22">
        <f>STOWA2015_2050GH_W!$V22</f>
        <v>4.2226020165768888E-2</v>
      </c>
      <c r="G898" s="22" t="s">
        <v>33</v>
      </c>
      <c r="H898" s="22">
        <f>STOWA2015_2050GH_W!$V22</f>
        <v>4.2226020165768888E-2</v>
      </c>
      <c r="I898" t="str">
        <f t="shared" ref="I898:I961" si="69">CONCATENATEWITHDELIMITER(B898:H898,";")</f>
        <v>GH2050;winter;216;105;4.22260201657689E-02;TRUE;4.22260201657689E-02</v>
      </c>
    </row>
    <row r="899" spans="1:9" x14ac:dyDescent="0.25">
      <c r="A899">
        <f t="shared" si="68"/>
        <v>20.291666666666664</v>
      </c>
      <c r="B899" t="s">
        <v>20</v>
      </c>
      <c r="C899" t="s">
        <v>7</v>
      </c>
      <c r="D899">
        <v>216</v>
      </c>
      <c r="E899">
        <f t="shared" si="67"/>
        <v>110</v>
      </c>
      <c r="F899" s="22">
        <f>STOWA2015_2050GH_W!$V23</f>
        <v>3.0696797978417359E-2</v>
      </c>
      <c r="G899" s="22" t="s">
        <v>33</v>
      </c>
      <c r="H899" s="22">
        <f>STOWA2015_2050GH_W!$V23</f>
        <v>3.0696797978417359E-2</v>
      </c>
      <c r="I899" t="str">
        <f t="shared" si="69"/>
        <v>GH2050;winter;216;110;3.06967979784174E-02;TRUE;3.06967979784174E-02</v>
      </c>
    </row>
    <row r="900" spans="1:9" x14ac:dyDescent="0.25">
      <c r="A900">
        <f t="shared" si="68"/>
        <v>20.291666666666664</v>
      </c>
      <c r="B900" t="s">
        <v>20</v>
      </c>
      <c r="C900" t="s">
        <v>7</v>
      </c>
      <c r="D900">
        <v>216</v>
      </c>
      <c r="E900">
        <f t="shared" si="67"/>
        <v>115</v>
      </c>
      <c r="F900" s="22">
        <f>STOWA2015_2050GH_W!$V24</f>
        <v>2.2160182523448022E-2</v>
      </c>
      <c r="G900" s="22" t="s">
        <v>33</v>
      </c>
      <c r="H900" s="22">
        <f>STOWA2015_2050GH_W!$V24</f>
        <v>2.2160182523448022E-2</v>
      </c>
      <c r="I900" t="str">
        <f t="shared" si="69"/>
        <v>GH2050;winter;216;115;0.022160182523448;TRUE;0.022160182523448</v>
      </c>
    </row>
    <row r="901" spans="1:9" x14ac:dyDescent="0.25">
      <c r="A901">
        <f t="shared" si="68"/>
        <v>20.291666666666664</v>
      </c>
      <c r="B901" t="s">
        <v>20</v>
      </c>
      <c r="C901" t="s">
        <v>7</v>
      </c>
      <c r="D901">
        <v>216</v>
      </c>
      <c r="E901">
        <f t="shared" si="67"/>
        <v>120</v>
      </c>
      <c r="F901" s="22">
        <f>STOWA2015_2050GH_W!$V25</f>
        <v>1.5881268883226669E-2</v>
      </c>
      <c r="G901" s="22" t="s">
        <v>33</v>
      </c>
      <c r="H901" s="22">
        <f>STOWA2015_2050GH_W!$V25</f>
        <v>1.5881268883226669E-2</v>
      </c>
      <c r="I901" t="str">
        <f t="shared" si="69"/>
        <v>GH2050;winter;216;120;1.58812688832267E-02;TRUE;1.58812688832267E-02</v>
      </c>
    </row>
    <row r="902" spans="1:9" x14ac:dyDescent="0.25">
      <c r="A902">
        <f t="shared" si="68"/>
        <v>20.291666666666664</v>
      </c>
      <c r="B902" t="s">
        <v>20</v>
      </c>
      <c r="C902" t="s">
        <v>7</v>
      </c>
      <c r="D902">
        <v>216</v>
      </c>
      <c r="E902">
        <f t="shared" si="67"/>
        <v>125</v>
      </c>
      <c r="F902" s="22">
        <f>STOWA2015_2050GH_W!$V26</f>
        <v>1.129493237310359E-2</v>
      </c>
      <c r="G902" s="22" t="s">
        <v>33</v>
      </c>
      <c r="H902" s="22">
        <f>STOWA2015_2050GH_W!$V26</f>
        <v>1.129493237310359E-2</v>
      </c>
      <c r="I902" t="str">
        <f t="shared" si="69"/>
        <v>GH2050;winter;216;125;1.12949323731036E-02;TRUE;1.12949323731036E-02</v>
      </c>
    </row>
    <row r="903" spans="1:9" x14ac:dyDescent="0.25">
      <c r="A903">
        <f t="shared" si="68"/>
        <v>20.291666666666664</v>
      </c>
      <c r="B903" t="s">
        <v>20</v>
      </c>
      <c r="C903" t="s">
        <v>7</v>
      </c>
      <c r="D903">
        <v>216</v>
      </c>
      <c r="E903">
        <f t="shared" si="67"/>
        <v>130</v>
      </c>
      <c r="F903" s="22">
        <f>STOWA2015_2050GH_W!$V27</f>
        <v>7.9691759841679019E-3</v>
      </c>
      <c r="G903" s="22" t="s">
        <v>33</v>
      </c>
      <c r="H903" s="22">
        <f>STOWA2015_2050GH_W!$V27</f>
        <v>7.9691759841679019E-3</v>
      </c>
      <c r="I903" t="str">
        <f t="shared" si="69"/>
        <v>GH2050;winter;216;130;7.9691759841679E-03;TRUE;7.9691759841679E-03</v>
      </c>
    </row>
    <row r="904" spans="1:9" x14ac:dyDescent="0.25">
      <c r="A904">
        <f t="shared" si="68"/>
        <v>20.291666666666664</v>
      </c>
      <c r="B904" t="s">
        <v>20</v>
      </c>
      <c r="C904" t="s">
        <v>7</v>
      </c>
      <c r="D904">
        <v>216</v>
      </c>
      <c r="E904">
        <f t="shared" si="67"/>
        <v>135</v>
      </c>
      <c r="F904" s="22">
        <f>STOWA2015_2050GH_W!$V28</f>
        <v>5.5758124798471927E-3</v>
      </c>
      <c r="G904" s="22" t="s">
        <v>33</v>
      </c>
      <c r="H904" s="22">
        <f>STOWA2015_2050GH_W!$V28</f>
        <v>5.5758124798471927E-3</v>
      </c>
      <c r="I904" t="str">
        <f t="shared" si="69"/>
        <v>GH2050;winter;216;135;5.57581247984719E-03;TRUE;5.57581247984719E-03</v>
      </c>
    </row>
    <row r="905" spans="1:9" x14ac:dyDescent="0.25">
      <c r="A905">
        <f t="shared" si="68"/>
        <v>20.291666666666664</v>
      </c>
      <c r="B905" t="s">
        <v>20</v>
      </c>
      <c r="C905" t="s">
        <v>7</v>
      </c>
      <c r="D905">
        <v>216</v>
      </c>
      <c r="E905">
        <f t="shared" si="67"/>
        <v>140</v>
      </c>
      <c r="F905" s="22">
        <f>STOWA2015_2050GH_W!$V29</f>
        <v>3.8671339555456392E-3</v>
      </c>
      <c r="G905" s="22" t="s">
        <v>33</v>
      </c>
      <c r="H905" s="22">
        <f>STOWA2015_2050GH_W!$V29</f>
        <v>3.8671339555456392E-3</v>
      </c>
      <c r="I905" t="str">
        <f t="shared" si="69"/>
        <v>GH2050;winter;216;140;3.86713395554564E-03;TRUE;3.86713395554564E-03</v>
      </c>
    </row>
    <row r="906" spans="1:9" x14ac:dyDescent="0.25">
      <c r="A906">
        <f t="shared" si="68"/>
        <v>20.291666666666664</v>
      </c>
      <c r="B906" t="s">
        <v>20</v>
      </c>
      <c r="C906" t="s">
        <v>7</v>
      </c>
      <c r="D906">
        <v>216</v>
      </c>
      <c r="E906">
        <f t="shared" si="67"/>
        <v>145</v>
      </c>
      <c r="F906" s="22">
        <f>STOWA2015_2050GH_W!$V30</f>
        <v>2.6574460092674982E-3</v>
      </c>
      <c r="G906" s="22" t="s">
        <v>33</v>
      </c>
      <c r="H906" s="22">
        <f>STOWA2015_2050GH_W!$V30</f>
        <v>2.6574460092674982E-3</v>
      </c>
      <c r="I906" t="str">
        <f t="shared" si="69"/>
        <v>GH2050;winter;216;145;2.6574460092675E-03;TRUE;2.6574460092675E-03</v>
      </c>
    </row>
    <row r="907" spans="1:9" x14ac:dyDescent="0.25">
      <c r="A907">
        <f t="shared" si="68"/>
        <v>20.291666666666664</v>
      </c>
      <c r="B907" t="s">
        <v>20</v>
      </c>
      <c r="C907" t="s">
        <v>7</v>
      </c>
      <c r="D907">
        <v>216</v>
      </c>
      <c r="E907">
        <f t="shared" si="67"/>
        <v>150</v>
      </c>
      <c r="F907" s="22">
        <f>STOWA2015_2050GH_W!$V31</f>
        <v>1.8085346707944136E-3</v>
      </c>
      <c r="G907" s="22" t="s">
        <v>33</v>
      </c>
      <c r="H907" s="22">
        <f>STOWA2015_2050GH_W!$V31</f>
        <v>1.8085346707944136E-3</v>
      </c>
      <c r="I907" t="str">
        <f t="shared" si="69"/>
        <v>GH2050;winter;216;150;1.80853467079441E-03;TRUE;1.80853467079441E-03</v>
      </c>
    </row>
    <row r="908" spans="1:9" x14ac:dyDescent="0.25">
      <c r="A908">
        <f t="shared" si="68"/>
        <v>20.291666666666664</v>
      </c>
      <c r="B908" t="s">
        <v>20</v>
      </c>
      <c r="C908" t="s">
        <v>7</v>
      </c>
      <c r="D908">
        <v>216</v>
      </c>
      <c r="E908">
        <f t="shared" si="67"/>
        <v>155</v>
      </c>
      <c r="F908" s="22">
        <f>STOWA2015_2050GH_W!$V32</f>
        <v>1.2182962277326012E-3</v>
      </c>
      <c r="G908" s="22" t="s">
        <v>33</v>
      </c>
      <c r="H908" s="22">
        <f>STOWA2015_2050GH_W!$V32</f>
        <v>1.2182962277326012E-3</v>
      </c>
      <c r="I908" t="str">
        <f t="shared" si="69"/>
        <v>GH2050;winter;216;155;1.2182962277326E-03;TRUE;1.2182962277326E-03</v>
      </c>
    </row>
    <row r="909" spans="1:9" x14ac:dyDescent="0.25">
      <c r="A909">
        <f t="shared" si="68"/>
        <v>20.291666666666664</v>
      </c>
      <c r="B909" t="s">
        <v>20</v>
      </c>
      <c r="C909" t="s">
        <v>7</v>
      </c>
      <c r="D909">
        <v>216</v>
      </c>
      <c r="E909">
        <f t="shared" si="67"/>
        <v>160</v>
      </c>
      <c r="F909" s="22">
        <f>STOWA2015_2050GH_W!$V33</f>
        <v>2.2829241989827912E-3</v>
      </c>
      <c r="G909" s="22" t="s">
        <v>33</v>
      </c>
      <c r="H909" s="22">
        <f>STOWA2015_2050GH_W!$V33</f>
        <v>2.2829241989827912E-3</v>
      </c>
      <c r="I909" t="str">
        <f t="shared" si="69"/>
        <v>GH2050;winter;216;160;2.28292419898279E-03;TRUE;2.28292419898279E-03</v>
      </c>
    </row>
    <row r="910" spans="1:9" x14ac:dyDescent="0.25">
      <c r="A910">
        <f t="shared" si="68"/>
        <v>182.625</v>
      </c>
      <c r="B910" t="s">
        <v>21</v>
      </c>
      <c r="C910" t="s">
        <v>11</v>
      </c>
      <c r="D910">
        <v>24</v>
      </c>
      <c r="E910">
        <v>15</v>
      </c>
      <c r="F910" s="22">
        <f>STOWA2015_2050WL_Z!$F4</f>
        <v>356.14439024764135</v>
      </c>
      <c r="G910" s="22" t="s">
        <v>33</v>
      </c>
      <c r="H910" s="22">
        <f>STOWA2015_2050WL_Z!$F4</f>
        <v>356.14439024764135</v>
      </c>
      <c r="I910" t="str">
        <f t="shared" si="69"/>
        <v>WL2050;zomer;24;15;356.144390247641;TRUE;356.144390247641</v>
      </c>
    </row>
    <row r="911" spans="1:9" x14ac:dyDescent="0.25">
      <c r="A911">
        <f t="shared" si="68"/>
        <v>182.625</v>
      </c>
      <c r="B911" t="s">
        <v>21</v>
      </c>
      <c r="C911" t="s">
        <v>11</v>
      </c>
      <c r="D911">
        <v>24</v>
      </c>
      <c r="E911">
        <f>E910+5</f>
        <v>20</v>
      </c>
      <c r="F911" s="22">
        <f>STOWA2015_2050WL_Z!$F5</f>
        <v>3.9798411353594192</v>
      </c>
      <c r="G911" s="22" t="s">
        <v>33</v>
      </c>
      <c r="H911" s="22">
        <f>STOWA2015_2050WL_Z!$F5</f>
        <v>3.9798411353594192</v>
      </c>
      <c r="I911" t="str">
        <f t="shared" si="69"/>
        <v>WL2050;zomer;24;20;3.97984113535942;TRUE;3.97984113535942</v>
      </c>
    </row>
    <row r="912" spans="1:9" x14ac:dyDescent="0.25">
      <c r="A912">
        <f t="shared" si="68"/>
        <v>182.625</v>
      </c>
      <c r="B912" t="s">
        <v>21</v>
      </c>
      <c r="C912" t="s">
        <v>11</v>
      </c>
      <c r="D912">
        <v>24</v>
      </c>
      <c r="E912">
        <f t="shared" ref="E912:E928" si="70">E911+5</f>
        <v>25</v>
      </c>
      <c r="F912" s="22">
        <f>STOWA2015_2050WL_Z!$F6</f>
        <v>2.1728146913736048</v>
      </c>
      <c r="G912" s="22" t="s">
        <v>33</v>
      </c>
      <c r="H912" s="22">
        <f>STOWA2015_2050WL_Z!$F6</f>
        <v>2.1728146913736048</v>
      </c>
      <c r="I912" t="str">
        <f t="shared" si="69"/>
        <v>WL2050;zomer;24;25;2.1728146913736;TRUE;2.1728146913736</v>
      </c>
    </row>
    <row r="913" spans="1:9" x14ac:dyDescent="0.25">
      <c r="A913">
        <f t="shared" si="68"/>
        <v>182.625</v>
      </c>
      <c r="B913" t="s">
        <v>21</v>
      </c>
      <c r="C913" t="s">
        <v>11</v>
      </c>
      <c r="D913">
        <v>24</v>
      </c>
      <c r="E913">
        <f t="shared" si="70"/>
        <v>30</v>
      </c>
      <c r="F913" s="22">
        <f>STOWA2015_2050WL_Z!$F7</f>
        <v>1.215056403197609</v>
      </c>
      <c r="G913" s="22" t="s">
        <v>33</v>
      </c>
      <c r="H913" s="22">
        <f>STOWA2015_2050WL_Z!$F7</f>
        <v>1.215056403197609</v>
      </c>
      <c r="I913" t="str">
        <f t="shared" si="69"/>
        <v>WL2050;zomer;24;30;1.21505640319761;TRUE;1.21505640319761</v>
      </c>
    </row>
    <row r="914" spans="1:9" x14ac:dyDescent="0.25">
      <c r="A914">
        <f t="shared" si="68"/>
        <v>182.625</v>
      </c>
      <c r="B914" t="s">
        <v>21</v>
      </c>
      <c r="C914" t="s">
        <v>11</v>
      </c>
      <c r="D914">
        <v>24</v>
      </c>
      <c r="E914">
        <f t="shared" si="70"/>
        <v>35</v>
      </c>
      <c r="F914" s="22">
        <f>STOWA2015_2050WL_Z!$F8</f>
        <v>0.69469034073424329</v>
      </c>
      <c r="G914" s="22" t="s">
        <v>33</v>
      </c>
      <c r="H914" s="22">
        <f>STOWA2015_2050WL_Z!$F8</f>
        <v>0.69469034073424329</v>
      </c>
      <c r="I914" t="str">
        <f t="shared" si="69"/>
        <v>WL2050;zomer;24;35;0.694690340734243;TRUE;0.694690340734243</v>
      </c>
    </row>
    <row r="915" spans="1:9" x14ac:dyDescent="0.25">
      <c r="A915">
        <f t="shared" si="68"/>
        <v>182.625</v>
      </c>
      <c r="B915" t="s">
        <v>21</v>
      </c>
      <c r="C915" t="s">
        <v>11</v>
      </c>
      <c r="D915">
        <v>24</v>
      </c>
      <c r="E915">
        <f t="shared" si="70"/>
        <v>40</v>
      </c>
      <c r="F915" s="22">
        <f>STOWA2015_2050WL_Z!$F9</f>
        <v>0.40541461979302817</v>
      </c>
      <c r="G915" s="22" t="s">
        <v>33</v>
      </c>
      <c r="H915" s="22">
        <f>STOWA2015_2050WL_Z!$F9</f>
        <v>0.40541461979302817</v>
      </c>
      <c r="I915" t="str">
        <f t="shared" si="69"/>
        <v>WL2050;zomer;24;40;0.405414619793028;TRUE;0.405414619793028</v>
      </c>
    </row>
    <row r="916" spans="1:9" x14ac:dyDescent="0.25">
      <c r="A916">
        <f t="shared" si="68"/>
        <v>182.625</v>
      </c>
      <c r="B916" t="s">
        <v>21</v>
      </c>
      <c r="C916" t="s">
        <v>11</v>
      </c>
      <c r="D916">
        <v>24</v>
      </c>
      <c r="E916">
        <f t="shared" si="70"/>
        <v>45</v>
      </c>
      <c r="F916" s="22">
        <f>STOWA2015_2050WL_Z!$F10</f>
        <v>0.24115072643865038</v>
      </c>
      <c r="G916" s="22" t="s">
        <v>33</v>
      </c>
      <c r="H916" s="22">
        <f>STOWA2015_2050WL_Z!$F10</f>
        <v>0.24115072643865038</v>
      </c>
      <c r="I916" t="str">
        <f t="shared" si="69"/>
        <v>WL2050;zomer;24;45;0.24115072643865;TRUE;0.24115072643865</v>
      </c>
    </row>
    <row r="917" spans="1:9" x14ac:dyDescent="0.25">
      <c r="A917">
        <f t="shared" si="68"/>
        <v>182.625</v>
      </c>
      <c r="B917" t="s">
        <v>21</v>
      </c>
      <c r="C917" t="s">
        <v>11</v>
      </c>
      <c r="D917">
        <v>24</v>
      </c>
      <c r="E917">
        <f t="shared" si="70"/>
        <v>50</v>
      </c>
      <c r="F917" s="22">
        <f>STOWA2015_2050WL_Z!$F11</f>
        <v>0.14601300613743989</v>
      </c>
      <c r="G917" s="22" t="s">
        <v>33</v>
      </c>
      <c r="H917" s="22">
        <f>STOWA2015_2050WL_Z!$F11</f>
        <v>0.14601300613743989</v>
      </c>
      <c r="I917" t="str">
        <f t="shared" si="69"/>
        <v>WL2050;zomer;24;50;0.14601300613744;TRUE;0.14601300613744</v>
      </c>
    </row>
    <row r="918" spans="1:9" x14ac:dyDescent="0.25">
      <c r="A918">
        <f t="shared" si="68"/>
        <v>182.625</v>
      </c>
      <c r="B918" t="s">
        <v>21</v>
      </c>
      <c r="C918" t="s">
        <v>11</v>
      </c>
      <c r="D918">
        <v>24</v>
      </c>
      <c r="E918">
        <f t="shared" si="70"/>
        <v>55</v>
      </c>
      <c r="F918" s="22">
        <f>STOWA2015_2050WL_Z!$F12</f>
        <v>8.988713044720481E-2</v>
      </c>
      <c r="G918" s="22" t="s">
        <v>33</v>
      </c>
      <c r="H918" s="22">
        <f>STOWA2015_2050WL_Z!$F12</f>
        <v>8.988713044720481E-2</v>
      </c>
      <c r="I918" t="str">
        <f t="shared" si="69"/>
        <v>WL2050;zomer;24;55;8.98871304472048E-02;TRUE;8.98871304472048E-02</v>
      </c>
    </row>
    <row r="919" spans="1:9" x14ac:dyDescent="0.25">
      <c r="A919">
        <f t="shared" si="68"/>
        <v>182.625</v>
      </c>
      <c r="B919" t="s">
        <v>21</v>
      </c>
      <c r="C919" t="s">
        <v>11</v>
      </c>
      <c r="D919">
        <v>24</v>
      </c>
      <c r="E919">
        <f t="shared" si="70"/>
        <v>60</v>
      </c>
      <c r="F919" s="22">
        <f>STOWA2015_2050WL_Z!$F13</f>
        <v>5.6201108165349289E-2</v>
      </c>
      <c r="G919" s="22" t="s">
        <v>33</v>
      </c>
      <c r="H919" s="22">
        <f>STOWA2015_2050WL_Z!$F13</f>
        <v>5.6201108165349289E-2</v>
      </c>
      <c r="I919" t="str">
        <f t="shared" si="69"/>
        <v>WL2050;zomer;24;60;5.62011081653493E-02;TRUE;5.62011081653493E-02</v>
      </c>
    </row>
    <row r="920" spans="1:9" x14ac:dyDescent="0.25">
      <c r="A920">
        <f t="shared" si="68"/>
        <v>182.625</v>
      </c>
      <c r="B920" t="s">
        <v>21</v>
      </c>
      <c r="C920" t="s">
        <v>11</v>
      </c>
      <c r="D920">
        <v>24</v>
      </c>
      <c r="E920">
        <f t="shared" si="70"/>
        <v>65</v>
      </c>
      <c r="F920" s="22">
        <f>STOWA2015_2050WL_Z!$F14</f>
        <v>3.5654558721403981E-2</v>
      </c>
      <c r="G920" s="22" t="s">
        <v>33</v>
      </c>
      <c r="H920" s="22">
        <f>STOWA2015_2050WL_Z!$F14</f>
        <v>3.5654558721403981E-2</v>
      </c>
      <c r="I920" t="str">
        <f t="shared" si="69"/>
        <v>WL2050;zomer;24;65;0.035654558721404;TRUE;0.035654558721404</v>
      </c>
    </row>
    <row r="921" spans="1:9" x14ac:dyDescent="0.25">
      <c r="A921">
        <f t="shared" si="68"/>
        <v>182.625</v>
      </c>
      <c r="B921" t="s">
        <v>21</v>
      </c>
      <c r="C921" t="s">
        <v>11</v>
      </c>
      <c r="D921">
        <v>24</v>
      </c>
      <c r="E921">
        <f t="shared" si="70"/>
        <v>70</v>
      </c>
      <c r="F921" s="22">
        <f>STOWA2015_2050WL_Z!$F15</f>
        <v>2.2931230808546789E-2</v>
      </c>
      <c r="G921" s="22" t="s">
        <v>33</v>
      </c>
      <c r="H921" s="22">
        <f>STOWA2015_2050WL_Z!$F15</f>
        <v>2.2931230808546789E-2</v>
      </c>
      <c r="I921" t="str">
        <f t="shared" si="69"/>
        <v>WL2050;zomer;24;70;2.29312308085468E-02;TRUE;2.29312308085468E-02</v>
      </c>
    </row>
    <row r="922" spans="1:9" x14ac:dyDescent="0.25">
      <c r="A922">
        <f t="shared" si="68"/>
        <v>182.625</v>
      </c>
      <c r="B922" t="s">
        <v>21</v>
      </c>
      <c r="C922" t="s">
        <v>11</v>
      </c>
      <c r="D922">
        <v>24</v>
      </c>
      <c r="E922">
        <f t="shared" si="70"/>
        <v>75</v>
      </c>
      <c r="F922" s="22">
        <f>STOWA2015_2050WL_Z!$F16</f>
        <v>1.4939445757543815E-2</v>
      </c>
      <c r="G922" s="22" t="s">
        <v>33</v>
      </c>
      <c r="H922" s="22">
        <f>STOWA2015_2050WL_Z!$F16</f>
        <v>1.4939445757543815E-2</v>
      </c>
      <c r="I922" t="str">
        <f t="shared" si="69"/>
        <v>WL2050;zomer;24;75;1.49394457575438E-02;TRUE;1.49394457575438E-02</v>
      </c>
    </row>
    <row r="923" spans="1:9" x14ac:dyDescent="0.25">
      <c r="A923">
        <f t="shared" si="68"/>
        <v>182.625</v>
      </c>
      <c r="B923" t="s">
        <v>21</v>
      </c>
      <c r="C923" t="s">
        <v>11</v>
      </c>
      <c r="D923">
        <v>24</v>
      </c>
      <c r="E923">
        <f t="shared" si="70"/>
        <v>80</v>
      </c>
      <c r="F923" s="22">
        <f>STOWA2015_2050WL_Z!$F17</f>
        <v>9.8518717012416913E-3</v>
      </c>
      <c r="G923" s="22" t="s">
        <v>33</v>
      </c>
      <c r="H923" s="22">
        <f>STOWA2015_2050WL_Z!$F17</f>
        <v>9.8518717012416913E-3</v>
      </c>
      <c r="I923" t="str">
        <f t="shared" si="69"/>
        <v>WL2050;zomer;24;80;9.85187170124169E-03;TRUE;9.85187170124169E-03</v>
      </c>
    </row>
    <row r="924" spans="1:9" x14ac:dyDescent="0.25">
      <c r="A924">
        <f t="shared" si="68"/>
        <v>182.625</v>
      </c>
      <c r="B924" t="s">
        <v>21</v>
      </c>
      <c r="C924" t="s">
        <v>11</v>
      </c>
      <c r="D924">
        <v>24</v>
      </c>
      <c r="E924">
        <f t="shared" si="70"/>
        <v>85</v>
      </c>
      <c r="F924" s="22">
        <f>STOWA2015_2050WL_Z!$F18</f>
        <v>6.5718676551531664E-3</v>
      </c>
      <c r="G924" s="22" t="s">
        <v>33</v>
      </c>
      <c r="H924" s="22">
        <f>STOWA2015_2050WL_Z!$F18</f>
        <v>6.5718676551531664E-3</v>
      </c>
      <c r="I924" t="str">
        <f t="shared" si="69"/>
        <v>WL2050;zomer;24;85;6.57186765515317E-03;TRUE;6.57186765515317E-03</v>
      </c>
    </row>
    <row r="925" spans="1:9" x14ac:dyDescent="0.25">
      <c r="A925">
        <f t="shared" si="68"/>
        <v>182.625</v>
      </c>
      <c r="B925" t="s">
        <v>21</v>
      </c>
      <c r="C925" t="s">
        <v>11</v>
      </c>
      <c r="D925">
        <v>24</v>
      </c>
      <c r="E925">
        <f t="shared" si="70"/>
        <v>90</v>
      </c>
      <c r="F925" s="22">
        <f>STOWA2015_2050WL_Z!$F19</f>
        <v>4.4317660867254794E-3</v>
      </c>
      <c r="G925" s="22" t="s">
        <v>33</v>
      </c>
      <c r="H925" s="22">
        <f>STOWA2015_2050WL_Z!$F19</f>
        <v>4.4317660867254794E-3</v>
      </c>
      <c r="I925" t="str">
        <f t="shared" si="69"/>
        <v>WL2050;zomer;24;90;4.43176608672548E-03;TRUE;4.43176608672548E-03</v>
      </c>
    </row>
    <row r="926" spans="1:9" x14ac:dyDescent="0.25">
      <c r="A926">
        <f t="shared" si="68"/>
        <v>182.625</v>
      </c>
      <c r="B926" t="s">
        <v>21</v>
      </c>
      <c r="C926" t="s">
        <v>11</v>
      </c>
      <c r="D926">
        <v>24</v>
      </c>
      <c r="E926">
        <f t="shared" si="70"/>
        <v>95</v>
      </c>
      <c r="F926" s="22">
        <f>STOWA2015_2050WL_Z!$F20</f>
        <v>3.0195067655080926E-3</v>
      </c>
      <c r="G926" s="22" t="s">
        <v>33</v>
      </c>
      <c r="H926" s="22">
        <f>STOWA2015_2050WL_Z!$F20</f>
        <v>3.0195067655080926E-3</v>
      </c>
      <c r="I926" t="str">
        <f t="shared" si="69"/>
        <v>WL2050;zomer;24;95;3.01950676550809E-03;TRUE;3.01950676550809E-03</v>
      </c>
    </row>
    <row r="927" spans="1:9" x14ac:dyDescent="0.25">
      <c r="A927">
        <f t="shared" si="68"/>
        <v>182.625</v>
      </c>
      <c r="B927" t="s">
        <v>21</v>
      </c>
      <c r="C927" t="s">
        <v>11</v>
      </c>
      <c r="D927">
        <v>24</v>
      </c>
      <c r="E927">
        <f t="shared" si="70"/>
        <v>100</v>
      </c>
      <c r="F927" s="22">
        <f>STOWA2015_2050WL_Z!$F21</f>
        <v>2.0774875341698076E-3</v>
      </c>
      <c r="G927" s="22" t="s">
        <v>33</v>
      </c>
      <c r="H927" s="22">
        <f>STOWA2015_2050WL_Z!$F21</f>
        <v>2.0774875341698076E-3</v>
      </c>
      <c r="I927" t="str">
        <f t="shared" si="69"/>
        <v>WL2050;zomer;24;100;2.07748753416981E-03;TRUE;2.07748753416981E-03</v>
      </c>
    </row>
    <row r="928" spans="1:9" x14ac:dyDescent="0.25">
      <c r="A928">
        <f t="shared" si="68"/>
        <v>182.625</v>
      </c>
      <c r="B928" t="s">
        <v>21</v>
      </c>
      <c r="C928" t="s">
        <v>11</v>
      </c>
      <c r="D928">
        <v>24</v>
      </c>
      <c r="E928">
        <f t="shared" si="70"/>
        <v>105</v>
      </c>
      <c r="F928" s="22">
        <f>STOWA2015_2050WL_Z!$F22</f>
        <v>5.0628556818077671E-3</v>
      </c>
      <c r="G928" s="22" t="s">
        <v>33</v>
      </c>
      <c r="H928" s="22">
        <f>STOWA2015_2050WL_Z!$F22</f>
        <v>5.0628556818077671E-3</v>
      </c>
      <c r="I928" t="str">
        <f t="shared" si="69"/>
        <v>WL2050;zomer;24;105;5.06285568180777E-03;TRUE;5.06285568180777E-03</v>
      </c>
    </row>
    <row r="929" spans="1:9" x14ac:dyDescent="0.25">
      <c r="A929">
        <f t="shared" si="68"/>
        <v>91.3125</v>
      </c>
      <c r="B929" t="s">
        <v>21</v>
      </c>
      <c r="C929" t="s">
        <v>11</v>
      </c>
      <c r="D929">
        <v>48</v>
      </c>
      <c r="E929">
        <v>15</v>
      </c>
      <c r="F929" s="22">
        <f>STOWA2015_2050WL_Z!$J4</f>
        <v>168.12468375071731</v>
      </c>
      <c r="G929" s="22" t="s">
        <v>33</v>
      </c>
      <c r="H929" s="22">
        <f>STOWA2015_2050WL_Z!$J4</f>
        <v>168.12468375071731</v>
      </c>
      <c r="I929" t="str">
        <f t="shared" si="69"/>
        <v>WL2050;zomer;48;15;168.124683750717;TRUE;168.124683750717</v>
      </c>
    </row>
    <row r="930" spans="1:9" x14ac:dyDescent="0.25">
      <c r="A930">
        <f t="shared" si="68"/>
        <v>91.3125</v>
      </c>
      <c r="B930" t="s">
        <v>21</v>
      </c>
      <c r="C930" t="s">
        <v>11</v>
      </c>
      <c r="D930">
        <v>48</v>
      </c>
      <c r="E930">
        <f>E929+5</f>
        <v>20</v>
      </c>
      <c r="F930" s="22">
        <f>STOWA2015_2050WL_Z!$J5</f>
        <v>5.5355498027620822</v>
      </c>
      <c r="G930" s="22" t="s">
        <v>33</v>
      </c>
      <c r="H930" s="22">
        <f>STOWA2015_2050WL_Z!$J5</f>
        <v>5.5355498027620822</v>
      </c>
      <c r="I930" t="str">
        <f t="shared" si="69"/>
        <v>WL2050;zomer;48;20;5.53554980276208;TRUE;5.53554980276208</v>
      </c>
    </row>
    <row r="931" spans="1:9" x14ac:dyDescent="0.25">
      <c r="A931">
        <f t="shared" si="68"/>
        <v>91.3125</v>
      </c>
      <c r="B931" t="s">
        <v>21</v>
      </c>
      <c r="C931" t="s">
        <v>11</v>
      </c>
      <c r="D931">
        <v>48</v>
      </c>
      <c r="E931">
        <f t="shared" ref="E931:E948" si="71">E930+5</f>
        <v>25</v>
      </c>
      <c r="F931" s="22">
        <f>STOWA2015_2050WL_Z!$J6</f>
        <v>3.3519987841039534</v>
      </c>
      <c r="G931" s="22" t="s">
        <v>33</v>
      </c>
      <c r="H931" s="22">
        <f>STOWA2015_2050WL_Z!$J6</f>
        <v>3.3519987841039534</v>
      </c>
      <c r="I931" t="str">
        <f t="shared" si="69"/>
        <v>WL2050;zomer;48;25;3.35199878410395;TRUE;3.35199878410395</v>
      </c>
    </row>
    <row r="932" spans="1:9" x14ac:dyDescent="0.25">
      <c r="A932">
        <f t="shared" si="68"/>
        <v>91.3125</v>
      </c>
      <c r="B932" t="s">
        <v>21</v>
      </c>
      <c r="C932" t="s">
        <v>11</v>
      </c>
      <c r="D932">
        <v>48</v>
      </c>
      <c r="E932">
        <f t="shared" si="71"/>
        <v>30</v>
      </c>
      <c r="F932" s="22">
        <f>STOWA2015_2050WL_Z!$J7</f>
        <v>2.0563576848043432</v>
      </c>
      <c r="G932" s="22" t="s">
        <v>33</v>
      </c>
      <c r="H932" s="22">
        <f>STOWA2015_2050WL_Z!$J7</f>
        <v>2.0563576848043432</v>
      </c>
      <c r="I932" t="str">
        <f t="shared" si="69"/>
        <v>WL2050;zomer;48;30;2.05635768480434;TRUE;2.05635768480434</v>
      </c>
    </row>
    <row r="933" spans="1:9" x14ac:dyDescent="0.25">
      <c r="A933">
        <f t="shared" si="68"/>
        <v>91.3125</v>
      </c>
      <c r="B933" t="s">
        <v>21</v>
      </c>
      <c r="C933" t="s">
        <v>11</v>
      </c>
      <c r="D933">
        <v>48</v>
      </c>
      <c r="E933">
        <f t="shared" si="71"/>
        <v>35</v>
      </c>
      <c r="F933" s="22">
        <f>STOWA2015_2050WL_Z!$J8</f>
        <v>1.2772004111436446</v>
      </c>
      <c r="G933" s="22" t="s">
        <v>33</v>
      </c>
      <c r="H933" s="22">
        <f>STOWA2015_2050WL_Z!$J8</f>
        <v>1.2772004111436446</v>
      </c>
      <c r="I933" t="str">
        <f t="shared" si="69"/>
        <v>WL2050;zomer;48;35;1.27720041114364;TRUE;1.27720041114364</v>
      </c>
    </row>
    <row r="934" spans="1:9" x14ac:dyDescent="0.25">
      <c r="A934">
        <f t="shared" si="68"/>
        <v>91.3125</v>
      </c>
      <c r="B934" t="s">
        <v>21</v>
      </c>
      <c r="C934" t="s">
        <v>11</v>
      </c>
      <c r="D934">
        <v>48</v>
      </c>
      <c r="E934">
        <f t="shared" si="71"/>
        <v>40</v>
      </c>
      <c r="F934" s="22">
        <f>STOWA2015_2050WL_Z!$J9</f>
        <v>0.80263872426781413</v>
      </c>
      <c r="G934" s="22" t="s">
        <v>33</v>
      </c>
      <c r="H934" s="22">
        <f>STOWA2015_2050WL_Z!$J9</f>
        <v>0.80263872426781413</v>
      </c>
      <c r="I934" t="str">
        <f t="shared" si="69"/>
        <v>WL2050;zomer;48;40;0.802638724267814;TRUE;0.802638724267814</v>
      </c>
    </row>
    <row r="935" spans="1:9" x14ac:dyDescent="0.25">
      <c r="A935">
        <f t="shared" si="68"/>
        <v>91.3125</v>
      </c>
      <c r="B935" t="s">
        <v>21</v>
      </c>
      <c r="C935" t="s">
        <v>11</v>
      </c>
      <c r="D935">
        <v>48</v>
      </c>
      <c r="E935">
        <f t="shared" si="71"/>
        <v>45</v>
      </c>
      <c r="F935" s="22">
        <f>STOWA2015_2050WL_Z!$J10</f>
        <v>0.51007740373380261</v>
      </c>
      <c r="G935" s="22" t="s">
        <v>33</v>
      </c>
      <c r="H935" s="22">
        <f>STOWA2015_2050WL_Z!$J10</f>
        <v>0.51007740373380261</v>
      </c>
      <c r="I935" t="str">
        <f t="shared" si="69"/>
        <v>WL2050;zomer;48;45;0.510077403733803;TRUE;0.510077403733803</v>
      </c>
    </row>
    <row r="936" spans="1:9" x14ac:dyDescent="0.25">
      <c r="A936">
        <f t="shared" si="68"/>
        <v>91.3125</v>
      </c>
      <c r="B936" t="s">
        <v>21</v>
      </c>
      <c r="C936" t="s">
        <v>11</v>
      </c>
      <c r="D936">
        <v>48</v>
      </c>
      <c r="E936">
        <f t="shared" si="71"/>
        <v>50</v>
      </c>
      <c r="F936" s="22">
        <f>STOWA2015_2050WL_Z!$J11</f>
        <v>0.32762616973631498</v>
      </c>
      <c r="G936" s="22" t="s">
        <v>33</v>
      </c>
      <c r="H936" s="22">
        <f>STOWA2015_2050WL_Z!$J11</f>
        <v>0.32762616973631498</v>
      </c>
      <c r="I936" t="str">
        <f t="shared" si="69"/>
        <v>WL2050;zomer;48;50;0.327626169736315;TRUE;0.327626169736315</v>
      </c>
    </row>
    <row r="937" spans="1:9" x14ac:dyDescent="0.25">
      <c r="A937">
        <f t="shared" si="68"/>
        <v>91.3125</v>
      </c>
      <c r="B937" t="s">
        <v>21</v>
      </c>
      <c r="C937" t="s">
        <v>11</v>
      </c>
      <c r="D937">
        <v>48</v>
      </c>
      <c r="E937">
        <f t="shared" si="71"/>
        <v>55</v>
      </c>
      <c r="F937" s="22">
        <f>STOWA2015_2050WL_Z!$J12</f>
        <v>0.21258615416582383</v>
      </c>
      <c r="G937" s="22" t="s">
        <v>33</v>
      </c>
      <c r="H937" s="22">
        <f>STOWA2015_2050WL_Z!$J12</f>
        <v>0.21258615416582383</v>
      </c>
      <c r="I937" t="str">
        <f t="shared" si="69"/>
        <v>WL2050;zomer;48;55;0.212586154165824;TRUE;0.212586154165824</v>
      </c>
    </row>
    <row r="938" spans="1:9" x14ac:dyDescent="0.25">
      <c r="A938">
        <f t="shared" si="68"/>
        <v>91.3125</v>
      </c>
      <c r="B938" t="s">
        <v>21</v>
      </c>
      <c r="C938" t="s">
        <v>11</v>
      </c>
      <c r="D938">
        <v>48</v>
      </c>
      <c r="E938">
        <f t="shared" si="71"/>
        <v>60</v>
      </c>
      <c r="F938" s="22">
        <f>STOWA2015_2050WL_Z!$J13</f>
        <v>0.13928583945724116</v>
      </c>
      <c r="G938" s="22" t="s">
        <v>33</v>
      </c>
      <c r="H938" s="22">
        <f>STOWA2015_2050WL_Z!$J13</f>
        <v>0.13928583945724116</v>
      </c>
      <c r="I938" t="str">
        <f t="shared" si="69"/>
        <v>WL2050;zomer;48;60;0.139285839457241;TRUE;0.139285839457241</v>
      </c>
    </row>
    <row r="939" spans="1:9" x14ac:dyDescent="0.25">
      <c r="A939">
        <f t="shared" si="68"/>
        <v>91.3125</v>
      </c>
      <c r="B939" t="s">
        <v>21</v>
      </c>
      <c r="C939" t="s">
        <v>11</v>
      </c>
      <c r="D939">
        <v>48</v>
      </c>
      <c r="E939">
        <f t="shared" si="71"/>
        <v>65</v>
      </c>
      <c r="F939" s="22">
        <f>STOWA2015_2050WL_Z!$J14</f>
        <v>9.211054341343225E-2</v>
      </c>
      <c r="G939" s="22" t="s">
        <v>33</v>
      </c>
      <c r="H939" s="22">
        <f>STOWA2015_2050WL_Z!$J14</f>
        <v>9.211054341343225E-2</v>
      </c>
      <c r="I939" t="str">
        <f t="shared" si="69"/>
        <v>WL2050;zomer;48;65;9.21105434134322E-02;TRUE;9.21105434134322E-02</v>
      </c>
    </row>
    <row r="940" spans="1:9" x14ac:dyDescent="0.25">
      <c r="A940">
        <f t="shared" si="68"/>
        <v>91.3125</v>
      </c>
      <c r="B940" t="s">
        <v>21</v>
      </c>
      <c r="C940" t="s">
        <v>11</v>
      </c>
      <c r="D940">
        <v>48</v>
      </c>
      <c r="E940">
        <f t="shared" si="71"/>
        <v>70</v>
      </c>
      <c r="F940" s="22">
        <f>STOWA2015_2050WL_Z!$J15</f>
        <v>6.1456645519278208E-2</v>
      </c>
      <c r="G940" s="22" t="s">
        <v>33</v>
      </c>
      <c r="H940" s="22">
        <f>STOWA2015_2050WL_Z!$J15</f>
        <v>6.1456645519278208E-2</v>
      </c>
      <c r="I940" t="str">
        <f t="shared" si="69"/>
        <v>WL2050;zomer;48;70;6.14566455192782E-02;TRUE;6.14566455192782E-02</v>
      </c>
    </row>
    <row r="941" spans="1:9" x14ac:dyDescent="0.25">
      <c r="A941">
        <f t="shared" si="68"/>
        <v>91.3125</v>
      </c>
      <c r="B941" t="s">
        <v>21</v>
      </c>
      <c r="C941" t="s">
        <v>11</v>
      </c>
      <c r="D941">
        <v>48</v>
      </c>
      <c r="E941">
        <f t="shared" si="71"/>
        <v>75</v>
      </c>
      <c r="F941" s="22">
        <f>STOWA2015_2050WL_Z!$J16</f>
        <v>4.1354537970053395E-2</v>
      </c>
      <c r="G941" s="22" t="s">
        <v>33</v>
      </c>
      <c r="H941" s="22">
        <f>STOWA2015_2050WL_Z!$J16</f>
        <v>4.1354537970053395E-2</v>
      </c>
      <c r="I941" t="str">
        <f t="shared" si="69"/>
        <v>WL2050;zomer;48;75;4.13545379700534E-02;TRUE;4.13545379700534E-02</v>
      </c>
    </row>
    <row r="942" spans="1:9" x14ac:dyDescent="0.25">
      <c r="A942">
        <f t="shared" si="68"/>
        <v>91.3125</v>
      </c>
      <c r="B942" t="s">
        <v>21</v>
      </c>
      <c r="C942" t="s">
        <v>11</v>
      </c>
      <c r="D942">
        <v>48</v>
      </c>
      <c r="E942">
        <f t="shared" si="71"/>
        <v>80</v>
      </c>
      <c r="F942" s="22">
        <f>STOWA2015_2050WL_Z!$J17</f>
        <v>2.8055630730568423E-2</v>
      </c>
      <c r="G942" s="22" t="s">
        <v>33</v>
      </c>
      <c r="H942" s="22">
        <f>STOWA2015_2050WL_Z!$J17</f>
        <v>2.8055630730568423E-2</v>
      </c>
      <c r="I942" t="str">
        <f t="shared" si="69"/>
        <v>WL2050;zomer;48;80;2.80556307305684E-02;TRUE;2.80556307305684E-02</v>
      </c>
    </row>
    <row r="943" spans="1:9" x14ac:dyDescent="0.25">
      <c r="A943">
        <f t="shared" si="68"/>
        <v>91.3125</v>
      </c>
      <c r="B943" t="s">
        <v>21</v>
      </c>
      <c r="C943" t="s">
        <v>11</v>
      </c>
      <c r="D943">
        <v>48</v>
      </c>
      <c r="E943">
        <f t="shared" si="71"/>
        <v>85</v>
      </c>
      <c r="F943" s="22">
        <f>STOWA2015_2050WL_Z!$J18</f>
        <v>1.918299438075434E-2</v>
      </c>
      <c r="G943" s="22" t="s">
        <v>33</v>
      </c>
      <c r="H943" s="22">
        <f>STOWA2015_2050WL_Z!$J18</f>
        <v>1.918299438075434E-2</v>
      </c>
      <c r="I943" t="str">
        <f t="shared" si="69"/>
        <v>WL2050;zomer;48;85;1.91829943807543E-02;TRUE;1.91829943807543E-02</v>
      </c>
    </row>
    <row r="944" spans="1:9" x14ac:dyDescent="0.25">
      <c r="A944">
        <f t="shared" si="68"/>
        <v>91.3125</v>
      </c>
      <c r="B944" t="s">
        <v>21</v>
      </c>
      <c r="C944" t="s">
        <v>11</v>
      </c>
      <c r="D944">
        <v>48</v>
      </c>
      <c r="E944">
        <f t="shared" si="71"/>
        <v>90</v>
      </c>
      <c r="F944" s="22">
        <f>STOWA2015_2050WL_Z!$J19</f>
        <v>1.3215321005149411E-2</v>
      </c>
      <c r="G944" s="22" t="s">
        <v>33</v>
      </c>
      <c r="H944" s="22">
        <f>STOWA2015_2050WL_Z!$J19</f>
        <v>1.3215321005149411E-2</v>
      </c>
      <c r="I944" t="str">
        <f t="shared" si="69"/>
        <v>WL2050;zomer;48;90;1.32153210051494E-02;TRUE;1.32153210051494E-02</v>
      </c>
    </row>
    <row r="945" spans="1:9" x14ac:dyDescent="0.25">
      <c r="A945">
        <f t="shared" si="68"/>
        <v>91.3125</v>
      </c>
      <c r="B945" t="s">
        <v>21</v>
      </c>
      <c r="C945" t="s">
        <v>11</v>
      </c>
      <c r="D945">
        <v>48</v>
      </c>
      <c r="E945">
        <f t="shared" si="71"/>
        <v>95</v>
      </c>
      <c r="F945" s="22">
        <f>STOWA2015_2050WL_Z!$J20</f>
        <v>9.1701677618941033E-3</v>
      </c>
      <c r="G945" s="22" t="s">
        <v>33</v>
      </c>
      <c r="H945" s="22">
        <f>STOWA2015_2050WL_Z!$J20</f>
        <v>9.1701677618941033E-3</v>
      </c>
      <c r="I945" t="str">
        <f t="shared" si="69"/>
        <v>WL2050;zomer;48;95;9.1701677618941E-03;TRUE;9.1701677618941E-03</v>
      </c>
    </row>
    <row r="946" spans="1:9" x14ac:dyDescent="0.25">
      <c r="A946">
        <f t="shared" si="68"/>
        <v>91.3125</v>
      </c>
      <c r="B946" t="s">
        <v>21</v>
      </c>
      <c r="C946" t="s">
        <v>11</v>
      </c>
      <c r="D946">
        <v>48</v>
      </c>
      <c r="E946">
        <f t="shared" si="71"/>
        <v>100</v>
      </c>
      <c r="F946" s="22">
        <f>STOWA2015_2050WL_Z!$J21</f>
        <v>6.4076034181594251E-3</v>
      </c>
      <c r="G946" s="22" t="s">
        <v>33</v>
      </c>
      <c r="H946" s="22">
        <f>STOWA2015_2050WL_Z!$J21</f>
        <v>6.4076034181594251E-3</v>
      </c>
      <c r="I946" t="str">
        <f t="shared" si="69"/>
        <v>WL2050;zomer;48;100;6.40760341815943E-03;TRUE;6.40760341815943E-03</v>
      </c>
    </row>
    <row r="947" spans="1:9" x14ac:dyDescent="0.25">
      <c r="A947">
        <f t="shared" si="68"/>
        <v>91.3125</v>
      </c>
      <c r="B947" t="s">
        <v>21</v>
      </c>
      <c r="C947" t="s">
        <v>11</v>
      </c>
      <c r="D947">
        <v>48</v>
      </c>
      <c r="E947">
        <f t="shared" si="71"/>
        <v>105</v>
      </c>
      <c r="F947" s="22">
        <f>STOWA2015_2050WL_Z!$J22</f>
        <v>4.5073364615627748E-3</v>
      </c>
      <c r="G947" s="22" t="s">
        <v>33</v>
      </c>
      <c r="H947" s="22">
        <f>STOWA2015_2050WL_Z!$J22</f>
        <v>4.5073364615627748E-3</v>
      </c>
      <c r="I947" t="str">
        <f t="shared" si="69"/>
        <v>WL2050;zomer;48;105;4.50733646156277E-03;TRUE;4.50733646156277E-03</v>
      </c>
    </row>
    <row r="948" spans="1:9" x14ac:dyDescent="0.25">
      <c r="A948">
        <f t="shared" si="68"/>
        <v>91.3125</v>
      </c>
      <c r="B948" t="s">
        <v>21</v>
      </c>
      <c r="C948" t="s">
        <v>11</v>
      </c>
      <c r="D948">
        <v>48</v>
      </c>
      <c r="E948">
        <f t="shared" si="71"/>
        <v>110</v>
      </c>
      <c r="F948" s="22">
        <f>STOWA2015_2050WL_Z!$J23</f>
        <v>1.1534494446823199E-2</v>
      </c>
      <c r="G948" s="22" t="s">
        <v>33</v>
      </c>
      <c r="H948" s="22">
        <f>STOWA2015_2050WL_Z!$J23</f>
        <v>1.1534494446823199E-2</v>
      </c>
      <c r="I948" t="str">
        <f t="shared" si="69"/>
        <v>WL2050;zomer;48;110;1.15344944468232E-02;TRUE;1.15344944468232E-02</v>
      </c>
    </row>
    <row r="949" spans="1:9" x14ac:dyDescent="0.25">
      <c r="A949">
        <f t="shared" si="68"/>
        <v>45.65625</v>
      </c>
      <c r="B949" t="s">
        <v>21</v>
      </c>
      <c r="C949" t="s">
        <v>11</v>
      </c>
      <c r="D949">
        <v>96</v>
      </c>
      <c r="E949">
        <v>20</v>
      </c>
      <c r="F949" s="22">
        <f>STOWA2015_2050WL_Z!$N5</f>
        <v>78.166377999504292</v>
      </c>
      <c r="G949" s="22" t="s">
        <v>33</v>
      </c>
      <c r="H949" s="22">
        <f>STOWA2015_2050WL_Z!$N5</f>
        <v>78.166377999504292</v>
      </c>
      <c r="I949" t="str">
        <f t="shared" si="69"/>
        <v>WL2050;zomer;96;20;78.1663779995043;TRUE;78.1663779995043</v>
      </c>
    </row>
    <row r="950" spans="1:9" x14ac:dyDescent="0.25">
      <c r="A950">
        <f t="shared" si="68"/>
        <v>45.65625</v>
      </c>
      <c r="B950" t="s">
        <v>21</v>
      </c>
      <c r="C950" t="s">
        <v>11</v>
      </c>
      <c r="D950">
        <v>96</v>
      </c>
      <c r="E950">
        <f>E949+5</f>
        <v>25</v>
      </c>
      <c r="F950" s="22">
        <f>STOWA2015_2050WL_Z!$N6</f>
        <v>3.9044102241498422</v>
      </c>
      <c r="G950" s="22" t="s">
        <v>33</v>
      </c>
      <c r="H950" s="22">
        <f>STOWA2015_2050WL_Z!$N6</f>
        <v>3.9044102241498422</v>
      </c>
      <c r="I950" t="str">
        <f t="shared" si="69"/>
        <v>WL2050;zomer;96;25;3.90441022414984;TRUE;3.90441022414984</v>
      </c>
    </row>
    <row r="951" spans="1:9" x14ac:dyDescent="0.25">
      <c r="A951">
        <f t="shared" si="68"/>
        <v>45.65625</v>
      </c>
      <c r="B951" t="s">
        <v>21</v>
      </c>
      <c r="C951" t="s">
        <v>11</v>
      </c>
      <c r="D951">
        <v>96</v>
      </c>
      <c r="E951">
        <f t="shared" ref="E951:E969" si="72">E950+5</f>
        <v>30</v>
      </c>
      <c r="F951" s="22">
        <f>STOWA2015_2050WL_Z!$N7</f>
        <v>2.7271592930249309</v>
      </c>
      <c r="G951" s="22" t="s">
        <v>33</v>
      </c>
      <c r="H951" s="22">
        <f>STOWA2015_2050WL_Z!$N7</f>
        <v>2.7271592930249309</v>
      </c>
      <c r="I951" t="str">
        <f t="shared" si="69"/>
        <v>WL2050;zomer;96;30;2.72715929302493;TRUE;2.72715929302493</v>
      </c>
    </row>
    <row r="952" spans="1:9" x14ac:dyDescent="0.25">
      <c r="A952">
        <f t="shared" si="68"/>
        <v>45.65625</v>
      </c>
      <c r="B952" t="s">
        <v>21</v>
      </c>
      <c r="C952" t="s">
        <v>11</v>
      </c>
      <c r="D952">
        <v>96</v>
      </c>
      <c r="E952">
        <f t="shared" si="72"/>
        <v>35</v>
      </c>
      <c r="F952" s="22">
        <f>STOWA2015_2050WL_Z!$N8</f>
        <v>1.910119221975207</v>
      </c>
      <c r="G952" s="22" t="s">
        <v>33</v>
      </c>
      <c r="H952" s="22">
        <f>STOWA2015_2050WL_Z!$N8</f>
        <v>1.910119221975207</v>
      </c>
      <c r="I952" t="str">
        <f t="shared" si="69"/>
        <v>WL2050;zomer;96;35;1.91011922197521;TRUE;1.91011922197521</v>
      </c>
    </row>
    <row r="953" spans="1:9" x14ac:dyDescent="0.25">
      <c r="A953">
        <f t="shared" si="68"/>
        <v>45.65625</v>
      </c>
      <c r="B953" t="s">
        <v>21</v>
      </c>
      <c r="C953" t="s">
        <v>11</v>
      </c>
      <c r="D953">
        <v>96</v>
      </c>
      <c r="E953">
        <f t="shared" si="72"/>
        <v>40</v>
      </c>
      <c r="F953" s="22">
        <f>STOWA2015_2050WL_Z!$N9</f>
        <v>1.3414891393901831</v>
      </c>
      <c r="G953" s="22" t="s">
        <v>33</v>
      </c>
      <c r="H953" s="22">
        <f>STOWA2015_2050WL_Z!$N9</f>
        <v>1.3414891393901831</v>
      </c>
      <c r="I953" t="str">
        <f t="shared" si="69"/>
        <v>WL2050;zomer;96;40;1.34148913939018;TRUE;1.34148913939018</v>
      </c>
    </row>
    <row r="954" spans="1:9" x14ac:dyDescent="0.25">
      <c r="A954">
        <f t="shared" si="68"/>
        <v>45.65625</v>
      </c>
      <c r="B954" t="s">
        <v>21</v>
      </c>
      <c r="C954" t="s">
        <v>11</v>
      </c>
      <c r="D954">
        <v>96</v>
      </c>
      <c r="E954">
        <f t="shared" si="72"/>
        <v>45</v>
      </c>
      <c r="F954" s="22">
        <f>STOWA2015_2050WL_Z!$N10</f>
        <v>0.94465404353602533</v>
      </c>
      <c r="G954" s="22" t="s">
        <v>33</v>
      </c>
      <c r="H954" s="22">
        <f>STOWA2015_2050WL_Z!$N10</f>
        <v>0.94465404353602533</v>
      </c>
      <c r="I954" t="str">
        <f t="shared" si="69"/>
        <v>WL2050;zomer;96;45;0.944654043536025;TRUE;0.944654043536025</v>
      </c>
    </row>
    <row r="955" spans="1:9" x14ac:dyDescent="0.25">
      <c r="A955">
        <f t="shared" si="68"/>
        <v>45.65625</v>
      </c>
      <c r="B955" t="s">
        <v>21</v>
      </c>
      <c r="C955" t="s">
        <v>11</v>
      </c>
      <c r="D955">
        <v>96</v>
      </c>
      <c r="E955">
        <f t="shared" si="72"/>
        <v>50</v>
      </c>
      <c r="F955" s="22">
        <f>STOWA2015_2050WL_Z!$N11</f>
        <v>0.66696029358842934</v>
      </c>
      <c r="G955" s="22" t="s">
        <v>33</v>
      </c>
      <c r="H955" s="22">
        <f>STOWA2015_2050WL_Z!$N11</f>
        <v>0.66696029358842934</v>
      </c>
      <c r="I955" t="str">
        <f t="shared" si="69"/>
        <v>WL2050;zomer;96;50;0.666960293588429;TRUE;0.666960293588429</v>
      </c>
    </row>
    <row r="956" spans="1:9" x14ac:dyDescent="0.25">
      <c r="A956">
        <f t="shared" si="68"/>
        <v>45.65625</v>
      </c>
      <c r="B956" t="s">
        <v>21</v>
      </c>
      <c r="C956" t="s">
        <v>11</v>
      </c>
      <c r="D956">
        <v>96</v>
      </c>
      <c r="E956">
        <f t="shared" si="72"/>
        <v>55</v>
      </c>
      <c r="F956" s="22">
        <f>STOWA2015_2050WL_Z!$N12</f>
        <v>0.47211929321815815</v>
      </c>
      <c r="G956" s="22" t="s">
        <v>33</v>
      </c>
      <c r="H956" s="22">
        <f>STOWA2015_2050WL_Z!$N12</f>
        <v>0.47211929321815815</v>
      </c>
      <c r="I956" t="str">
        <f t="shared" si="69"/>
        <v>WL2050;zomer;96;55;0.472119293218158;TRUE;0.472119293218158</v>
      </c>
    </row>
    <row r="957" spans="1:9" x14ac:dyDescent="0.25">
      <c r="A957">
        <f t="shared" si="68"/>
        <v>45.65625</v>
      </c>
      <c r="B957" t="s">
        <v>21</v>
      </c>
      <c r="C957" t="s">
        <v>11</v>
      </c>
      <c r="D957">
        <v>96</v>
      </c>
      <c r="E957">
        <f t="shared" si="72"/>
        <v>60</v>
      </c>
      <c r="F957" s="22">
        <f>STOWA2015_2050WL_Z!$N13</f>
        <v>0.33505143493167111</v>
      </c>
      <c r="G957" s="22" t="s">
        <v>33</v>
      </c>
      <c r="H957" s="22">
        <f>STOWA2015_2050WL_Z!$N13</f>
        <v>0.33505143493167111</v>
      </c>
      <c r="I957" t="str">
        <f t="shared" si="69"/>
        <v>WL2050;zomer;96;60;0.335051434931671;TRUE;0.335051434931671</v>
      </c>
    </row>
    <row r="958" spans="1:9" x14ac:dyDescent="0.25">
      <c r="A958">
        <f t="shared" si="68"/>
        <v>45.65625</v>
      </c>
      <c r="B958" t="s">
        <v>21</v>
      </c>
      <c r="C958" t="s">
        <v>11</v>
      </c>
      <c r="D958">
        <v>96</v>
      </c>
      <c r="E958">
        <f t="shared" si="72"/>
        <v>65</v>
      </c>
      <c r="F958" s="22">
        <f>STOWA2015_2050WL_Z!$N14</f>
        <v>0.2383762236309781</v>
      </c>
      <c r="G958" s="22" t="s">
        <v>33</v>
      </c>
      <c r="H958" s="22">
        <f>STOWA2015_2050WL_Z!$N14</f>
        <v>0.2383762236309781</v>
      </c>
      <c r="I958" t="str">
        <f t="shared" si="69"/>
        <v>WL2050;zomer;96;65;0.238376223630978;TRUE;0.238376223630978</v>
      </c>
    </row>
    <row r="959" spans="1:9" x14ac:dyDescent="0.25">
      <c r="A959">
        <f t="shared" si="68"/>
        <v>45.65625</v>
      </c>
      <c r="B959" t="s">
        <v>21</v>
      </c>
      <c r="C959" t="s">
        <v>11</v>
      </c>
      <c r="D959">
        <v>96</v>
      </c>
      <c r="E959">
        <f t="shared" si="72"/>
        <v>70</v>
      </c>
      <c r="F959" s="22">
        <f>STOWA2015_2050WL_Z!$N15</f>
        <v>0.17001616527093816</v>
      </c>
      <c r="G959" s="22" t="s">
        <v>33</v>
      </c>
      <c r="H959" s="22">
        <f>STOWA2015_2050WL_Z!$N15</f>
        <v>0.17001616527093816</v>
      </c>
      <c r="I959" t="str">
        <f t="shared" si="69"/>
        <v>WL2050;zomer;96;70;0.170016165270938;TRUE;0.170016165270938</v>
      </c>
    </row>
    <row r="960" spans="1:9" x14ac:dyDescent="0.25">
      <c r="A960">
        <f t="shared" si="68"/>
        <v>45.65625</v>
      </c>
      <c r="B960" t="s">
        <v>21</v>
      </c>
      <c r="C960" t="s">
        <v>11</v>
      </c>
      <c r="D960">
        <v>96</v>
      </c>
      <c r="E960">
        <f t="shared" si="72"/>
        <v>75</v>
      </c>
      <c r="F960" s="22">
        <f>STOWA2015_2050WL_Z!$N16</f>
        <v>0.12155638571481592</v>
      </c>
      <c r="G960" s="22" t="s">
        <v>33</v>
      </c>
      <c r="H960" s="22">
        <f>STOWA2015_2050WL_Z!$N16</f>
        <v>0.12155638571481592</v>
      </c>
      <c r="I960" t="str">
        <f t="shared" si="69"/>
        <v>WL2050;zomer;96;75;0.121556385714816;TRUE;0.121556385714816</v>
      </c>
    </row>
    <row r="961" spans="1:9" x14ac:dyDescent="0.25">
      <c r="A961">
        <f t="shared" si="68"/>
        <v>45.65625</v>
      </c>
      <c r="B961" t="s">
        <v>21</v>
      </c>
      <c r="C961" t="s">
        <v>11</v>
      </c>
      <c r="D961">
        <v>96</v>
      </c>
      <c r="E961">
        <f t="shared" si="72"/>
        <v>80</v>
      </c>
      <c r="F961" s="22">
        <f>STOWA2015_2050WL_Z!$N17</f>
        <v>8.7118504117381451E-2</v>
      </c>
      <c r="G961" s="22" t="s">
        <v>33</v>
      </c>
      <c r="H961" s="22">
        <f>STOWA2015_2050WL_Z!$N17</f>
        <v>8.7118504117381451E-2</v>
      </c>
      <c r="I961" t="str">
        <f t="shared" si="69"/>
        <v>WL2050;zomer;96;80;8.71185041173815E-02;TRUE;8.71185041173815E-02</v>
      </c>
    </row>
    <row r="962" spans="1:9" x14ac:dyDescent="0.25">
      <c r="A962">
        <f t="shared" ref="A962:A1025" si="73">IF(C962="zomer",24/D962*365.25 * 6/12,24/D962*365.25 * 6/12)</f>
        <v>45.65625</v>
      </c>
      <c r="B962" t="s">
        <v>21</v>
      </c>
      <c r="C962" t="s">
        <v>11</v>
      </c>
      <c r="D962">
        <v>96</v>
      </c>
      <c r="E962">
        <f t="shared" si="72"/>
        <v>85</v>
      </c>
      <c r="F962" s="22">
        <f>STOWA2015_2050WL_Z!$N18</f>
        <v>6.2585427459422249E-2</v>
      </c>
      <c r="G962" s="22" t="s">
        <v>33</v>
      </c>
      <c r="H962" s="22">
        <f>STOWA2015_2050WL_Z!$N18</f>
        <v>6.2585427459422249E-2</v>
      </c>
      <c r="I962" t="str">
        <f t="shared" ref="I962:I1025" si="74">CONCATENATEWITHDELIMITER(B962:H962,";")</f>
        <v>WL2050;zomer;96;85;6.25854274594222E-02;TRUE;6.25854274594222E-02</v>
      </c>
    </row>
    <row r="963" spans="1:9" x14ac:dyDescent="0.25">
      <c r="A963">
        <f t="shared" si="73"/>
        <v>45.65625</v>
      </c>
      <c r="B963" t="s">
        <v>21</v>
      </c>
      <c r="C963" t="s">
        <v>11</v>
      </c>
      <c r="D963">
        <v>96</v>
      </c>
      <c r="E963">
        <f t="shared" si="72"/>
        <v>90</v>
      </c>
      <c r="F963" s="22">
        <f>STOWA2015_2050WL_Z!$N19</f>
        <v>4.5066273375484162E-2</v>
      </c>
      <c r="G963" s="22" t="s">
        <v>33</v>
      </c>
      <c r="H963" s="22">
        <f>STOWA2015_2050WL_Z!$N19</f>
        <v>4.5066273375484162E-2</v>
      </c>
      <c r="I963" t="str">
        <f t="shared" si="74"/>
        <v>WL2050;zomer;96;90;4.50662733754842E-02;TRUE;4.50662733754842E-02</v>
      </c>
    </row>
    <row r="964" spans="1:9" x14ac:dyDescent="0.25">
      <c r="A964">
        <f t="shared" si="73"/>
        <v>45.65625</v>
      </c>
      <c r="B964" t="s">
        <v>21</v>
      </c>
      <c r="C964" t="s">
        <v>11</v>
      </c>
      <c r="D964">
        <v>96</v>
      </c>
      <c r="E964">
        <f t="shared" si="72"/>
        <v>95</v>
      </c>
      <c r="F964" s="22">
        <f>STOWA2015_2050WL_Z!$N20</f>
        <v>3.252605692076517E-2</v>
      </c>
      <c r="G964" s="22" t="s">
        <v>33</v>
      </c>
      <c r="H964" s="22">
        <f>STOWA2015_2050WL_Z!$N20</f>
        <v>3.252605692076517E-2</v>
      </c>
      <c r="I964" t="str">
        <f t="shared" si="74"/>
        <v>WL2050;zomer;96;95;3.25260569207652E-02;TRUE;3.25260569207652E-02</v>
      </c>
    </row>
    <row r="965" spans="1:9" x14ac:dyDescent="0.25">
      <c r="A965">
        <f t="shared" si="73"/>
        <v>45.65625</v>
      </c>
      <c r="B965" t="s">
        <v>21</v>
      </c>
      <c r="C965" t="s">
        <v>11</v>
      </c>
      <c r="D965">
        <v>96</v>
      </c>
      <c r="E965">
        <f t="shared" si="72"/>
        <v>100</v>
      </c>
      <c r="F965" s="22">
        <f>STOWA2015_2050WL_Z!$N21</f>
        <v>2.3528734533183451E-2</v>
      </c>
      <c r="G965" s="22" t="s">
        <v>33</v>
      </c>
      <c r="H965" s="22">
        <f>STOWA2015_2050WL_Z!$N21</f>
        <v>2.3528734533183451E-2</v>
      </c>
      <c r="I965" t="str">
        <f t="shared" si="74"/>
        <v>WL2050;zomer;96;100;2.35287345331835E-02;TRUE;2.35287345331835E-02</v>
      </c>
    </row>
    <row r="966" spans="1:9" x14ac:dyDescent="0.25">
      <c r="A966">
        <f t="shared" si="73"/>
        <v>45.65625</v>
      </c>
      <c r="B966" t="s">
        <v>21</v>
      </c>
      <c r="C966" t="s">
        <v>11</v>
      </c>
      <c r="D966">
        <v>96</v>
      </c>
      <c r="E966">
        <f t="shared" si="72"/>
        <v>105</v>
      </c>
      <c r="F966" s="22">
        <f>STOWA2015_2050WL_Z!$N22</f>
        <v>1.7058444532273745E-2</v>
      </c>
      <c r="G966" s="22" t="s">
        <v>33</v>
      </c>
      <c r="H966" s="22">
        <f>STOWA2015_2050WL_Z!$N22</f>
        <v>1.7058444532273745E-2</v>
      </c>
      <c r="I966" t="str">
        <f t="shared" si="74"/>
        <v>WL2050;zomer;96;105;1.70584445322737E-02;TRUE;1.70584445322737E-02</v>
      </c>
    </row>
    <row r="967" spans="1:9" x14ac:dyDescent="0.25">
      <c r="A967">
        <f t="shared" si="73"/>
        <v>45.65625</v>
      </c>
      <c r="B967" t="s">
        <v>21</v>
      </c>
      <c r="C967" t="s">
        <v>11</v>
      </c>
      <c r="D967">
        <v>96</v>
      </c>
      <c r="E967">
        <f t="shared" si="72"/>
        <v>110</v>
      </c>
      <c r="F967" s="22">
        <f>STOWA2015_2050WL_Z!$N23</f>
        <v>1.2394830672761252E-2</v>
      </c>
      <c r="G967" s="22" t="s">
        <v>33</v>
      </c>
      <c r="H967" s="22">
        <f>STOWA2015_2050WL_Z!$N23</f>
        <v>1.2394830672761252E-2</v>
      </c>
      <c r="I967" t="str">
        <f t="shared" si="74"/>
        <v>WL2050;zomer;96;110;1.23948306727613E-02;TRUE;1.23948306727613E-02</v>
      </c>
    </row>
    <row r="968" spans="1:9" x14ac:dyDescent="0.25">
      <c r="A968">
        <f t="shared" si="73"/>
        <v>45.65625</v>
      </c>
      <c r="B968" t="s">
        <v>21</v>
      </c>
      <c r="C968" t="s">
        <v>11</v>
      </c>
      <c r="D968">
        <v>96</v>
      </c>
      <c r="E968">
        <f t="shared" si="72"/>
        <v>115</v>
      </c>
      <c r="F968" s="22">
        <f>STOWA2015_2050WL_Z!$N24</f>
        <v>9.0258676847872338E-3</v>
      </c>
      <c r="G968" s="22" t="s">
        <v>33</v>
      </c>
      <c r="H968" s="22">
        <f>STOWA2015_2050WL_Z!$N24</f>
        <v>9.0258676847872338E-3</v>
      </c>
      <c r="I968" t="str">
        <f t="shared" si="74"/>
        <v>WL2050;zomer;96;115;9.02586768478723E-03;TRUE;9.02586768478723E-03</v>
      </c>
    </row>
    <row r="969" spans="1:9" x14ac:dyDescent="0.25">
      <c r="A969">
        <f t="shared" si="73"/>
        <v>45.65625</v>
      </c>
      <c r="B969" t="s">
        <v>21</v>
      </c>
      <c r="C969" t="s">
        <v>11</v>
      </c>
      <c r="D969">
        <v>96</v>
      </c>
      <c r="E969">
        <f t="shared" si="72"/>
        <v>120</v>
      </c>
      <c r="F969" s="22">
        <f>STOWA2015_2050WL_Z!$N25</f>
        <v>2.4906142768465124E-2</v>
      </c>
      <c r="G969" s="22" t="s">
        <v>33</v>
      </c>
      <c r="H969" s="22">
        <f>STOWA2015_2050WL_Z!$N25</f>
        <v>2.4906142768465124E-2</v>
      </c>
      <c r="I969" t="str">
        <f t="shared" si="74"/>
        <v>WL2050;zomer;96;120;2.49061427684651E-02;TRUE;2.49061427684651E-02</v>
      </c>
    </row>
    <row r="970" spans="1:9" x14ac:dyDescent="0.25">
      <c r="A970">
        <f t="shared" si="73"/>
        <v>22.828125</v>
      </c>
      <c r="B970" t="s">
        <v>21</v>
      </c>
      <c r="C970" t="s">
        <v>11</v>
      </c>
      <c r="D970">
        <v>192</v>
      </c>
      <c r="E970">
        <v>20</v>
      </c>
      <c r="F970" s="22">
        <f>STOWA2015_2050WL_Z!$R5</f>
        <v>31.473053275552274</v>
      </c>
      <c r="G970" s="22" t="s">
        <v>33</v>
      </c>
      <c r="H970" s="22">
        <f>STOWA2015_2050WL_Z!$R5</f>
        <v>31.473053275552274</v>
      </c>
      <c r="I970" t="str">
        <f t="shared" si="74"/>
        <v>WL2050;zomer;192;20;31.4730532755523;TRUE;31.4730532755523</v>
      </c>
    </row>
    <row r="971" spans="1:9" x14ac:dyDescent="0.25">
      <c r="A971">
        <f t="shared" si="73"/>
        <v>22.828125</v>
      </c>
      <c r="B971" t="s">
        <v>21</v>
      </c>
      <c r="C971" t="s">
        <v>11</v>
      </c>
      <c r="D971">
        <v>192</v>
      </c>
      <c r="E971">
        <f>E970+5</f>
        <v>25</v>
      </c>
      <c r="F971" s="22">
        <f>STOWA2015_2050WL_Z!$R6</f>
        <v>2.8340381637853245</v>
      </c>
      <c r="G971" s="22" t="s">
        <v>33</v>
      </c>
      <c r="H971" s="22">
        <f>STOWA2015_2050WL_Z!$R6</f>
        <v>2.8340381637853245</v>
      </c>
      <c r="I971" t="str">
        <f t="shared" si="74"/>
        <v>WL2050;zomer;192;25;2.83403816378532;TRUE;2.83403816378532</v>
      </c>
    </row>
    <row r="972" spans="1:9" x14ac:dyDescent="0.25">
      <c r="A972">
        <f t="shared" si="73"/>
        <v>22.828125</v>
      </c>
      <c r="B972" t="s">
        <v>21</v>
      </c>
      <c r="C972" t="s">
        <v>11</v>
      </c>
      <c r="D972">
        <v>192</v>
      </c>
      <c r="E972">
        <f t="shared" ref="E972:E996" si="75">E971+5</f>
        <v>30</v>
      </c>
      <c r="F972" s="22">
        <f>STOWA2015_2050WL_Z!$R7</f>
        <v>2.2886994089465418</v>
      </c>
      <c r="G972" s="22" t="s">
        <v>33</v>
      </c>
      <c r="H972" s="22">
        <f>STOWA2015_2050WL_Z!$R7</f>
        <v>2.2886994089465418</v>
      </c>
      <c r="I972" t="str">
        <f t="shared" si="74"/>
        <v>WL2050;zomer;192;30;2.28869940894654;TRUE;2.28869940894654</v>
      </c>
    </row>
    <row r="973" spans="1:9" x14ac:dyDescent="0.25">
      <c r="A973">
        <f t="shared" si="73"/>
        <v>22.828125</v>
      </c>
      <c r="B973" t="s">
        <v>21</v>
      </c>
      <c r="C973" t="s">
        <v>11</v>
      </c>
      <c r="D973">
        <v>192</v>
      </c>
      <c r="E973">
        <f t="shared" si="75"/>
        <v>35</v>
      </c>
      <c r="F973" s="22">
        <f>STOWA2015_2050WL_Z!$R8</f>
        <v>1.8441894636451401</v>
      </c>
      <c r="G973" s="22" t="s">
        <v>33</v>
      </c>
      <c r="H973" s="22">
        <f>STOWA2015_2050WL_Z!$R8</f>
        <v>1.8441894636451401</v>
      </c>
      <c r="I973" t="str">
        <f t="shared" si="74"/>
        <v>WL2050;zomer;192;35;1.84418946364514;TRUE;1.84418946364514</v>
      </c>
    </row>
    <row r="974" spans="1:9" x14ac:dyDescent="0.25">
      <c r="A974">
        <f t="shared" si="73"/>
        <v>22.828125</v>
      </c>
      <c r="B974" t="s">
        <v>21</v>
      </c>
      <c r="C974" t="s">
        <v>11</v>
      </c>
      <c r="D974">
        <v>192</v>
      </c>
      <c r="E974">
        <f t="shared" si="75"/>
        <v>40</v>
      </c>
      <c r="F974" s="22">
        <f>STOWA2015_2050WL_Z!$R9</f>
        <v>1.4826399694389618</v>
      </c>
      <c r="G974" s="22" t="s">
        <v>33</v>
      </c>
      <c r="H974" s="22">
        <f>STOWA2015_2050WL_Z!$R9</f>
        <v>1.4826399694389618</v>
      </c>
      <c r="I974" t="str">
        <f t="shared" si="74"/>
        <v>WL2050;zomer;192;40;1.48263996943896;TRUE;1.48263996943896</v>
      </c>
    </row>
    <row r="975" spans="1:9" x14ac:dyDescent="0.25">
      <c r="A975">
        <f t="shared" si="73"/>
        <v>22.828125</v>
      </c>
      <c r="B975" t="s">
        <v>21</v>
      </c>
      <c r="C975" t="s">
        <v>11</v>
      </c>
      <c r="D975">
        <v>192</v>
      </c>
      <c r="E975">
        <f t="shared" si="75"/>
        <v>45</v>
      </c>
      <c r="F975" s="22">
        <f>STOWA2015_2050WL_Z!$R10</f>
        <v>1.1892092643973742</v>
      </c>
      <c r="G975" s="22" t="s">
        <v>33</v>
      </c>
      <c r="H975" s="22">
        <f>STOWA2015_2050WL_Z!$R10</f>
        <v>1.1892092643973742</v>
      </c>
      <c r="I975" t="str">
        <f t="shared" si="74"/>
        <v>WL2050;zomer;192;45;1.18920926439737;TRUE;1.18920926439737</v>
      </c>
    </row>
    <row r="976" spans="1:9" x14ac:dyDescent="0.25">
      <c r="A976">
        <f t="shared" si="73"/>
        <v>22.828125</v>
      </c>
      <c r="B976" t="s">
        <v>21</v>
      </c>
      <c r="C976" t="s">
        <v>11</v>
      </c>
      <c r="D976">
        <v>192</v>
      </c>
      <c r="E976">
        <f t="shared" si="75"/>
        <v>50</v>
      </c>
      <c r="F976" s="22">
        <f>STOWA2015_2050WL_Z!$R11</f>
        <v>0.95159384682133474</v>
      </c>
      <c r="G976" s="22" t="s">
        <v>33</v>
      </c>
      <c r="H976" s="22">
        <f>STOWA2015_2050WL_Z!$R11</f>
        <v>0.95159384682133474</v>
      </c>
      <c r="I976" t="str">
        <f t="shared" si="74"/>
        <v>WL2050;zomer;192;50;0.951593846821335;TRUE;0.951593846821335</v>
      </c>
    </row>
    <row r="977" spans="1:9" x14ac:dyDescent="0.25">
      <c r="A977">
        <f t="shared" si="73"/>
        <v>22.828125</v>
      </c>
      <c r="B977" t="s">
        <v>21</v>
      </c>
      <c r="C977" t="s">
        <v>11</v>
      </c>
      <c r="D977">
        <v>192</v>
      </c>
      <c r="E977">
        <f t="shared" si="75"/>
        <v>55</v>
      </c>
      <c r="F977" s="22">
        <f>STOWA2015_2050WL_Z!$R12</f>
        <v>0.7596147177347401</v>
      </c>
      <c r="G977" s="22" t="s">
        <v>33</v>
      </c>
      <c r="H977" s="22">
        <f>STOWA2015_2050WL_Z!$R12</f>
        <v>0.7596147177347401</v>
      </c>
      <c r="I977" t="str">
        <f t="shared" si="74"/>
        <v>WL2050;zomer;192;55;0.75961471773474;TRUE;0.75961471773474</v>
      </c>
    </row>
    <row r="978" spans="1:9" x14ac:dyDescent="0.25">
      <c r="A978">
        <f t="shared" si="73"/>
        <v>22.828125</v>
      </c>
      <c r="B978" t="s">
        <v>21</v>
      </c>
      <c r="C978" t="s">
        <v>11</v>
      </c>
      <c r="D978">
        <v>192</v>
      </c>
      <c r="E978">
        <f t="shared" si="75"/>
        <v>60</v>
      </c>
      <c r="F978" s="22">
        <f>STOWA2015_2050WL_Z!$R13</f>
        <v>0.60486774680472521</v>
      </c>
      <c r="G978" s="22" t="s">
        <v>33</v>
      </c>
      <c r="H978" s="22">
        <f>STOWA2015_2050WL_Z!$R13</f>
        <v>0.60486774680472521</v>
      </c>
      <c r="I978" t="str">
        <f t="shared" si="74"/>
        <v>WL2050;zomer;192;60;0.604867746804725;TRUE;0.604867746804725</v>
      </c>
    </row>
    <row r="979" spans="1:9" x14ac:dyDescent="0.25">
      <c r="A979">
        <f t="shared" si="73"/>
        <v>22.828125</v>
      </c>
      <c r="B979" t="s">
        <v>21</v>
      </c>
      <c r="C979" t="s">
        <v>11</v>
      </c>
      <c r="D979">
        <v>192</v>
      </c>
      <c r="E979">
        <f t="shared" si="75"/>
        <v>65</v>
      </c>
      <c r="F979" s="22">
        <f>STOWA2015_2050WL_Z!$R14</f>
        <v>0.48042868821536922</v>
      </c>
      <c r="G979" s="22" t="s">
        <v>33</v>
      </c>
      <c r="H979" s="22">
        <f>STOWA2015_2050WL_Z!$R14</f>
        <v>0.48042868821536922</v>
      </c>
      <c r="I979" t="str">
        <f t="shared" si="74"/>
        <v>WL2050;zomer;192;65;0.480428688215369;TRUE;0.480428688215369</v>
      </c>
    </row>
    <row r="980" spans="1:9" x14ac:dyDescent="0.25">
      <c r="A980">
        <f t="shared" si="73"/>
        <v>22.828125</v>
      </c>
      <c r="B980" t="s">
        <v>21</v>
      </c>
      <c r="C980" t="s">
        <v>11</v>
      </c>
      <c r="D980">
        <v>192</v>
      </c>
      <c r="E980">
        <f t="shared" si="75"/>
        <v>70</v>
      </c>
      <c r="F980" s="22">
        <f>STOWA2015_2050WL_Z!$R15</f>
        <v>0.38060476532887288</v>
      </c>
      <c r="G980" s="22" t="s">
        <v>33</v>
      </c>
      <c r="H980" s="22">
        <f>STOWA2015_2050WL_Z!$R15</f>
        <v>0.38060476532887288</v>
      </c>
      <c r="I980" t="str">
        <f t="shared" si="74"/>
        <v>WL2050;zomer;192;70;0.380604765328873;TRUE;0.380604765328873</v>
      </c>
    </row>
    <row r="981" spans="1:9" x14ac:dyDescent="0.25">
      <c r="A981">
        <f t="shared" si="73"/>
        <v>22.828125</v>
      </c>
      <c r="B981" t="s">
        <v>21</v>
      </c>
      <c r="C981" t="s">
        <v>11</v>
      </c>
      <c r="D981">
        <v>192</v>
      </c>
      <c r="E981">
        <f t="shared" si="75"/>
        <v>75</v>
      </c>
      <c r="F981" s="22">
        <f>STOWA2015_2050WL_Z!$R16</f>
        <v>0.30072586837392201</v>
      </c>
      <c r="G981" s="22" t="s">
        <v>33</v>
      </c>
      <c r="H981" s="22">
        <f>STOWA2015_2050WL_Z!$R16</f>
        <v>0.30072586837392201</v>
      </c>
      <c r="I981" t="str">
        <f t="shared" si="74"/>
        <v>WL2050;zomer;192;75;0.300725868373922;TRUE;0.300725868373922</v>
      </c>
    </row>
    <row r="982" spans="1:9" x14ac:dyDescent="0.25">
      <c r="A982">
        <f t="shared" si="73"/>
        <v>22.828125</v>
      </c>
      <c r="B982" t="s">
        <v>21</v>
      </c>
      <c r="C982" t="s">
        <v>11</v>
      </c>
      <c r="D982">
        <v>192</v>
      </c>
      <c r="E982">
        <f t="shared" si="75"/>
        <v>80</v>
      </c>
      <c r="F982" s="22">
        <f>STOWA2015_2050WL_Z!$R17</f>
        <v>0.23696938796929745</v>
      </c>
      <c r="G982" s="22" t="s">
        <v>33</v>
      </c>
      <c r="H982" s="22">
        <f>STOWA2015_2050WL_Z!$R17</f>
        <v>0.23696938796929745</v>
      </c>
      <c r="I982" t="str">
        <f t="shared" si="74"/>
        <v>WL2050;zomer;192;80;0.236969387969297;TRUE;0.236969387969297</v>
      </c>
    </row>
    <row r="983" spans="1:9" x14ac:dyDescent="0.25">
      <c r="A983">
        <f t="shared" si="73"/>
        <v>22.828125</v>
      </c>
      <c r="B983" t="s">
        <v>21</v>
      </c>
      <c r="C983" t="s">
        <v>11</v>
      </c>
      <c r="D983">
        <v>192</v>
      </c>
      <c r="E983">
        <f t="shared" si="75"/>
        <v>85</v>
      </c>
      <c r="F983" s="22">
        <f>STOWA2015_2050WL_Z!$R18</f>
        <v>0.18621355686320107</v>
      </c>
      <c r="G983" s="22" t="s">
        <v>33</v>
      </c>
      <c r="H983" s="22">
        <f>STOWA2015_2050WL_Z!$R18</f>
        <v>0.18621355686320107</v>
      </c>
      <c r="I983" t="str">
        <f t="shared" si="74"/>
        <v>WL2050;zomer;192;85;0.186213556863201;TRUE;0.186213556863201</v>
      </c>
    </row>
    <row r="984" spans="1:9" x14ac:dyDescent="0.25">
      <c r="A984">
        <f t="shared" si="73"/>
        <v>22.828125</v>
      </c>
      <c r="B984" t="s">
        <v>21</v>
      </c>
      <c r="C984" t="s">
        <v>11</v>
      </c>
      <c r="D984">
        <v>192</v>
      </c>
      <c r="E984">
        <f t="shared" si="75"/>
        <v>90</v>
      </c>
      <c r="F984" s="22">
        <f>STOWA2015_2050WL_Z!$R19</f>
        <v>0.14591490868196066</v>
      </c>
      <c r="G984" s="22" t="s">
        <v>33</v>
      </c>
      <c r="H984" s="22">
        <f>STOWA2015_2050WL_Z!$R19</f>
        <v>0.14591490868196066</v>
      </c>
      <c r="I984" t="str">
        <f t="shared" si="74"/>
        <v>WL2050;zomer;192;90;0.145914908681961;TRUE;0.145914908681961</v>
      </c>
    </row>
    <row r="985" spans="1:9" x14ac:dyDescent="0.25">
      <c r="A985">
        <f t="shared" si="73"/>
        <v>22.828125</v>
      </c>
      <c r="B985" t="s">
        <v>21</v>
      </c>
      <c r="C985" t="s">
        <v>11</v>
      </c>
      <c r="D985">
        <v>192</v>
      </c>
      <c r="E985">
        <f t="shared" si="75"/>
        <v>95</v>
      </c>
      <c r="F985" s="22">
        <f>STOWA2015_2050WL_Z!$R20</f>
        <v>0.11400609977462289</v>
      </c>
      <c r="G985" s="22" t="s">
        <v>33</v>
      </c>
      <c r="H985" s="22">
        <f>STOWA2015_2050WL_Z!$R20</f>
        <v>0.11400609977462289</v>
      </c>
      <c r="I985" t="str">
        <f t="shared" si="74"/>
        <v>WL2050;zomer;192;95;0.114006099774623;TRUE;0.114006099774623</v>
      </c>
    </row>
    <row r="986" spans="1:9" x14ac:dyDescent="0.25">
      <c r="A986">
        <f t="shared" si="73"/>
        <v>22.828125</v>
      </c>
      <c r="B986" t="s">
        <v>21</v>
      </c>
      <c r="C986" t="s">
        <v>11</v>
      </c>
      <c r="D986">
        <v>192</v>
      </c>
      <c r="E986">
        <f t="shared" si="75"/>
        <v>100</v>
      </c>
      <c r="F986" s="22">
        <f>STOWA2015_2050WL_Z!$R21</f>
        <v>8.8810890840393564E-2</v>
      </c>
      <c r="G986" s="22" t="s">
        <v>33</v>
      </c>
      <c r="H986" s="22">
        <f>STOWA2015_2050WL_Z!$R21</f>
        <v>8.8810890840393564E-2</v>
      </c>
      <c r="I986" t="str">
        <f t="shared" si="74"/>
        <v>WL2050;zomer;192;100;8.88108908403936E-02;TRUE;8.88108908403936E-02</v>
      </c>
    </row>
    <row r="987" spans="1:9" x14ac:dyDescent="0.25">
      <c r="A987">
        <f t="shared" si="73"/>
        <v>22.828125</v>
      </c>
      <c r="B987" t="s">
        <v>21</v>
      </c>
      <c r="C987" t="s">
        <v>11</v>
      </c>
      <c r="D987">
        <v>192</v>
      </c>
      <c r="E987">
        <f t="shared" si="75"/>
        <v>105</v>
      </c>
      <c r="F987" s="22">
        <f>STOWA2015_2050WL_Z!$R22</f>
        <v>6.897355992125126E-2</v>
      </c>
      <c r="G987" s="22" t="s">
        <v>33</v>
      </c>
      <c r="H987" s="22">
        <f>STOWA2015_2050WL_Z!$R22</f>
        <v>6.897355992125126E-2</v>
      </c>
      <c r="I987" t="str">
        <f t="shared" si="74"/>
        <v>WL2050;zomer;192;105;6.89735599212513E-02;TRUE;6.89735599212513E-02</v>
      </c>
    </row>
    <row r="988" spans="1:9" x14ac:dyDescent="0.25">
      <c r="A988">
        <f t="shared" si="73"/>
        <v>22.828125</v>
      </c>
      <c r="B988" t="s">
        <v>21</v>
      </c>
      <c r="C988" t="s">
        <v>11</v>
      </c>
      <c r="D988">
        <v>192</v>
      </c>
      <c r="E988">
        <f t="shared" si="75"/>
        <v>110</v>
      </c>
      <c r="F988" s="22">
        <f>STOWA2015_2050WL_Z!$R23</f>
        <v>5.3400427230843567E-2</v>
      </c>
      <c r="G988" s="22" t="s">
        <v>33</v>
      </c>
      <c r="H988" s="22">
        <f>STOWA2015_2050WL_Z!$R23</f>
        <v>5.3400427230843567E-2</v>
      </c>
      <c r="I988" t="str">
        <f t="shared" si="74"/>
        <v>WL2050;zomer;192;110;5.34004272308436E-02;TRUE;5.34004272308436E-02</v>
      </c>
    </row>
    <row r="989" spans="1:9" x14ac:dyDescent="0.25">
      <c r="A989">
        <f t="shared" si="73"/>
        <v>22.828125</v>
      </c>
      <c r="B989" t="s">
        <v>21</v>
      </c>
      <c r="C989" t="s">
        <v>11</v>
      </c>
      <c r="D989">
        <v>192</v>
      </c>
      <c r="E989">
        <f t="shared" si="75"/>
        <v>115</v>
      </c>
      <c r="F989" s="22">
        <f>STOWA2015_2050WL_Z!$R24</f>
        <v>4.1211523722618937E-2</v>
      </c>
      <c r="G989" s="22" t="s">
        <v>33</v>
      </c>
      <c r="H989" s="22">
        <f>STOWA2015_2050WL_Z!$R24</f>
        <v>4.1211523722618937E-2</v>
      </c>
      <c r="I989" t="str">
        <f t="shared" si="74"/>
        <v>WL2050;zomer;192;115;4.12115237226189E-02;TRUE;4.12115237226189E-02</v>
      </c>
    </row>
    <row r="990" spans="1:9" x14ac:dyDescent="0.25">
      <c r="A990">
        <f t="shared" si="73"/>
        <v>22.828125</v>
      </c>
      <c r="B990" t="s">
        <v>21</v>
      </c>
      <c r="C990" t="s">
        <v>11</v>
      </c>
      <c r="D990">
        <v>192</v>
      </c>
      <c r="E990">
        <f t="shared" si="75"/>
        <v>120</v>
      </c>
      <c r="F990" s="22">
        <f>STOWA2015_2050WL_Z!$R25</f>
        <v>3.1700736799773255E-2</v>
      </c>
      <c r="G990" s="22" t="s">
        <v>33</v>
      </c>
      <c r="H990" s="22">
        <f>STOWA2015_2050WL_Z!$R25</f>
        <v>3.1700736799773255E-2</v>
      </c>
      <c r="I990" t="str">
        <f t="shared" si="74"/>
        <v>WL2050;zomer;192;120;3.17007367997733E-02;TRUE;3.17007367997733E-02</v>
      </c>
    </row>
    <row r="991" spans="1:9" x14ac:dyDescent="0.25">
      <c r="A991">
        <f t="shared" si="73"/>
        <v>22.828125</v>
      </c>
      <c r="B991" t="s">
        <v>21</v>
      </c>
      <c r="C991" t="s">
        <v>11</v>
      </c>
      <c r="D991">
        <v>192</v>
      </c>
      <c r="E991">
        <f t="shared" si="75"/>
        <v>125</v>
      </c>
      <c r="F991" s="22">
        <f>STOWA2015_2050WL_Z!$R26</f>
        <v>2.4303024749902605E-2</v>
      </c>
      <c r="G991" s="22" t="s">
        <v>33</v>
      </c>
      <c r="H991" s="22">
        <f>STOWA2015_2050WL_Z!$R26</f>
        <v>2.4303024749902605E-2</v>
      </c>
      <c r="I991" t="str">
        <f t="shared" si="74"/>
        <v>WL2050;zomer;192;125;2.43030247499026E-02;TRUE;2.43030247499026E-02</v>
      </c>
    </row>
    <row r="992" spans="1:9" x14ac:dyDescent="0.25">
      <c r="A992">
        <f t="shared" si="73"/>
        <v>22.828125</v>
      </c>
      <c r="B992" t="s">
        <v>21</v>
      </c>
      <c r="C992" t="s">
        <v>11</v>
      </c>
      <c r="D992">
        <v>192</v>
      </c>
      <c r="E992">
        <f t="shared" si="75"/>
        <v>130</v>
      </c>
      <c r="F992" s="22">
        <f>STOWA2015_2050WL_Z!$R27</f>
        <v>1.8567512150642215E-2</v>
      </c>
      <c r="G992" s="22" t="s">
        <v>33</v>
      </c>
      <c r="H992" s="22">
        <f>STOWA2015_2050WL_Z!$R27</f>
        <v>1.8567512150642215E-2</v>
      </c>
      <c r="I992" t="str">
        <f t="shared" si="74"/>
        <v>WL2050;zomer;192;130;1.85675121506422E-02;TRUE;1.85675121506422E-02</v>
      </c>
    </row>
    <row r="993" spans="1:9" x14ac:dyDescent="0.25">
      <c r="A993">
        <f t="shared" si="73"/>
        <v>22.828125</v>
      </c>
      <c r="B993" t="s">
        <v>21</v>
      </c>
      <c r="C993" t="s">
        <v>11</v>
      </c>
      <c r="D993">
        <v>192</v>
      </c>
      <c r="E993">
        <f t="shared" si="75"/>
        <v>135</v>
      </c>
      <c r="F993" s="22">
        <f>STOWA2015_2050WL_Z!$R28</f>
        <v>1.413546672200975E-2</v>
      </c>
      <c r="G993" s="22" t="s">
        <v>33</v>
      </c>
      <c r="H993" s="22">
        <f>STOWA2015_2050WL_Z!$R28</f>
        <v>1.413546672200975E-2</v>
      </c>
      <c r="I993" t="str">
        <f t="shared" si="74"/>
        <v>WL2050;zomer;192;135;1.41354667220097E-02;TRUE;1.41354667220097E-02</v>
      </c>
    </row>
    <row r="994" spans="1:9" x14ac:dyDescent="0.25">
      <c r="A994">
        <f t="shared" si="73"/>
        <v>22.828125</v>
      </c>
      <c r="B994" t="s">
        <v>21</v>
      </c>
      <c r="C994" t="s">
        <v>11</v>
      </c>
      <c r="D994">
        <v>192</v>
      </c>
      <c r="E994">
        <f t="shared" si="75"/>
        <v>140</v>
      </c>
      <c r="F994" s="22">
        <f>STOWA2015_2050WL_Z!$R29</f>
        <v>1.0722318342118786E-2</v>
      </c>
      <c r="G994" s="22" t="s">
        <v>33</v>
      </c>
      <c r="H994" s="22">
        <f>STOWA2015_2050WL_Z!$R29</f>
        <v>1.0722318342118786E-2</v>
      </c>
      <c r="I994" t="str">
        <f t="shared" si="74"/>
        <v>WL2050;zomer;192;140;1.07223183421188E-02;TRUE;1.07223183421188E-02</v>
      </c>
    </row>
    <row r="995" spans="1:9" x14ac:dyDescent="0.25">
      <c r="A995">
        <f t="shared" si="73"/>
        <v>22.828125</v>
      </c>
      <c r="B995" t="s">
        <v>21</v>
      </c>
      <c r="C995" t="s">
        <v>11</v>
      </c>
      <c r="D995">
        <v>192</v>
      </c>
      <c r="E995">
        <f t="shared" si="75"/>
        <v>145</v>
      </c>
      <c r="F995" s="22">
        <f>STOWA2015_2050WL_Z!$R30</f>
        <v>8.1030170767409579E-3</v>
      </c>
      <c r="G995" s="22" t="s">
        <v>33</v>
      </c>
      <c r="H995" s="22">
        <f>STOWA2015_2050WL_Z!$R30</f>
        <v>8.1030170767409579E-3</v>
      </c>
      <c r="I995" t="str">
        <f t="shared" si="74"/>
        <v>WL2050;zomer;192;145;8.10301707674096E-03;TRUE;8.10301707674096E-03</v>
      </c>
    </row>
    <row r="996" spans="1:9" x14ac:dyDescent="0.25">
      <c r="A996">
        <f t="shared" si="73"/>
        <v>22.828125</v>
      </c>
      <c r="B996" t="s">
        <v>21</v>
      </c>
      <c r="C996" t="s">
        <v>11</v>
      </c>
      <c r="D996">
        <v>192</v>
      </c>
      <c r="E996">
        <f t="shared" si="75"/>
        <v>150</v>
      </c>
      <c r="F996" s="22">
        <f>STOWA2015_2050WL_Z!$R31</f>
        <v>2.3552390110043758E-2</v>
      </c>
      <c r="G996" s="22" t="s">
        <v>33</v>
      </c>
      <c r="H996" s="22">
        <f>STOWA2015_2050WL_Z!$R31</f>
        <v>2.3552390110043758E-2</v>
      </c>
      <c r="I996" t="str">
        <f t="shared" si="74"/>
        <v>WL2050;zomer;192;150;2.35523901100438E-02;TRUE;2.35523901100438E-02</v>
      </c>
    </row>
    <row r="997" spans="1:9" x14ac:dyDescent="0.25">
      <c r="A997">
        <f t="shared" si="73"/>
        <v>20.291666666666664</v>
      </c>
      <c r="B997" t="s">
        <v>21</v>
      </c>
      <c r="C997" t="s">
        <v>11</v>
      </c>
      <c r="D997">
        <v>216</v>
      </c>
      <c r="E997">
        <v>20</v>
      </c>
      <c r="F997" s="22">
        <f>STOWA2015_2050WL_Z!$V5</f>
        <v>26.713396223502343</v>
      </c>
      <c r="G997" s="22" t="s">
        <v>33</v>
      </c>
      <c r="H997" s="22">
        <f>STOWA2015_2050WL_Z!$V5</f>
        <v>26.713396223502343</v>
      </c>
      <c r="I997" t="str">
        <f t="shared" si="74"/>
        <v>WL2050;zomer;216;20;26.7133962235023;TRUE;26.7133962235023</v>
      </c>
    </row>
    <row r="998" spans="1:9" x14ac:dyDescent="0.25">
      <c r="A998">
        <f t="shared" si="73"/>
        <v>20.291666666666664</v>
      </c>
      <c r="B998" t="s">
        <v>21</v>
      </c>
      <c r="C998" t="s">
        <v>11</v>
      </c>
      <c r="D998">
        <v>216</v>
      </c>
      <c r="E998">
        <f>E997+5</f>
        <v>25</v>
      </c>
      <c r="F998" s="22">
        <f>STOWA2015_2050WL_Z!$V6</f>
        <v>2.5379478040381933</v>
      </c>
      <c r="G998" s="22" t="s">
        <v>33</v>
      </c>
      <c r="H998" s="22">
        <f>STOWA2015_2050WL_Z!$V6</f>
        <v>2.5379478040381933</v>
      </c>
      <c r="I998" t="str">
        <f t="shared" si="74"/>
        <v>WL2050;zomer;216;25;2.53794780403819;TRUE;2.53794780403819</v>
      </c>
    </row>
    <row r="999" spans="1:9" x14ac:dyDescent="0.25">
      <c r="A999">
        <f t="shared" si="73"/>
        <v>20.291666666666664</v>
      </c>
      <c r="B999" t="s">
        <v>21</v>
      </c>
      <c r="C999" t="s">
        <v>11</v>
      </c>
      <c r="D999">
        <v>216</v>
      </c>
      <c r="E999">
        <f t="shared" ref="E999:E1024" si="76">E998+5</f>
        <v>30</v>
      </c>
      <c r="F999" s="22">
        <f>STOWA2015_2050WL_Z!$V7</f>
        <v>2.0976477586685576</v>
      </c>
      <c r="G999" s="22" t="s">
        <v>33</v>
      </c>
      <c r="H999" s="22">
        <f>STOWA2015_2050WL_Z!$V7</f>
        <v>2.0976477586685576</v>
      </c>
      <c r="I999" t="str">
        <f t="shared" si="74"/>
        <v>WL2050;zomer;216;30;2.09764775866856;TRUE;2.09764775866856</v>
      </c>
    </row>
    <row r="1000" spans="1:9" x14ac:dyDescent="0.25">
      <c r="A1000">
        <f t="shared" si="73"/>
        <v>20.291666666666664</v>
      </c>
      <c r="B1000" t="s">
        <v>21</v>
      </c>
      <c r="C1000" t="s">
        <v>11</v>
      </c>
      <c r="D1000">
        <v>216</v>
      </c>
      <c r="E1000">
        <f t="shared" si="76"/>
        <v>35</v>
      </c>
      <c r="F1000" s="22">
        <f>STOWA2015_2050WL_Z!$V8</f>
        <v>1.7294529741733085</v>
      </c>
      <c r="G1000" s="22" t="s">
        <v>33</v>
      </c>
      <c r="H1000" s="22">
        <f>STOWA2015_2050WL_Z!$V8</f>
        <v>1.7294529741733085</v>
      </c>
      <c r="I1000" t="str">
        <f t="shared" si="74"/>
        <v>WL2050;zomer;216;35;1.72945297417331;TRUE;1.72945297417331</v>
      </c>
    </row>
    <row r="1001" spans="1:9" x14ac:dyDescent="0.25">
      <c r="A1001">
        <f t="shared" si="73"/>
        <v>20.291666666666664</v>
      </c>
      <c r="B1001" t="s">
        <v>21</v>
      </c>
      <c r="C1001" t="s">
        <v>11</v>
      </c>
      <c r="D1001">
        <v>216</v>
      </c>
      <c r="E1001">
        <f t="shared" si="76"/>
        <v>40</v>
      </c>
      <c r="F1001" s="22">
        <f>STOWA2015_2050WL_Z!$V9</f>
        <v>1.4222732717726849</v>
      </c>
      <c r="G1001" s="22" t="s">
        <v>33</v>
      </c>
      <c r="H1001" s="22">
        <f>STOWA2015_2050WL_Z!$V9</f>
        <v>1.4222732717726849</v>
      </c>
      <c r="I1001" t="str">
        <f t="shared" si="74"/>
        <v>WL2050;zomer;216;40;1.42227327177268;TRUE;1.42227327177268</v>
      </c>
    </row>
    <row r="1002" spans="1:9" x14ac:dyDescent="0.25">
      <c r="A1002">
        <f t="shared" si="73"/>
        <v>20.291666666666664</v>
      </c>
      <c r="B1002" t="s">
        <v>21</v>
      </c>
      <c r="C1002" t="s">
        <v>11</v>
      </c>
      <c r="D1002">
        <v>216</v>
      </c>
      <c r="E1002">
        <f t="shared" si="76"/>
        <v>45</v>
      </c>
      <c r="F1002" s="22">
        <f>STOWA2015_2050WL_Z!$V10</f>
        <v>1.16661104827093</v>
      </c>
      <c r="G1002" s="22" t="s">
        <v>33</v>
      </c>
      <c r="H1002" s="22">
        <f>STOWA2015_2050WL_Z!$V10</f>
        <v>1.16661104827093</v>
      </c>
      <c r="I1002" t="str">
        <f t="shared" si="74"/>
        <v>WL2050;zomer;216;45;1.16661104827093;TRUE;1.16661104827093</v>
      </c>
    </row>
    <row r="1003" spans="1:9" x14ac:dyDescent="0.25">
      <c r="A1003">
        <f t="shared" si="73"/>
        <v>20.291666666666664</v>
      </c>
      <c r="B1003" t="s">
        <v>21</v>
      </c>
      <c r="C1003" t="s">
        <v>11</v>
      </c>
      <c r="D1003">
        <v>216</v>
      </c>
      <c r="E1003">
        <f t="shared" si="76"/>
        <v>50</v>
      </c>
      <c r="F1003" s="22">
        <f>STOWA2015_2050WL_Z!$V11</f>
        <v>0.95434923174151454</v>
      </c>
      <c r="G1003" s="22" t="s">
        <v>33</v>
      </c>
      <c r="H1003" s="22">
        <f>STOWA2015_2050WL_Z!$V11</f>
        <v>0.95434923174151454</v>
      </c>
      <c r="I1003" t="str">
        <f t="shared" si="74"/>
        <v>WL2050;zomer;216;50;0.954349231741515;TRUE;0.954349231741515</v>
      </c>
    </row>
    <row r="1004" spans="1:9" x14ac:dyDescent="0.25">
      <c r="A1004">
        <f t="shared" si="73"/>
        <v>20.291666666666664</v>
      </c>
      <c r="B1004" t="s">
        <v>21</v>
      </c>
      <c r="C1004" t="s">
        <v>11</v>
      </c>
      <c r="D1004">
        <v>216</v>
      </c>
      <c r="E1004">
        <f t="shared" si="76"/>
        <v>55</v>
      </c>
      <c r="F1004" s="22">
        <f>STOWA2015_2050WL_Z!$V12</f>
        <v>0.77856519683188452</v>
      </c>
      <c r="G1004" s="22" t="s">
        <v>33</v>
      </c>
      <c r="H1004" s="22">
        <f>STOWA2015_2050WL_Z!$V12</f>
        <v>0.77856519683188452</v>
      </c>
      <c r="I1004" t="str">
        <f t="shared" si="74"/>
        <v>WL2050;zomer;216;55;0.778565196831885;TRUE;0.778565196831885</v>
      </c>
    </row>
    <row r="1005" spans="1:9" x14ac:dyDescent="0.25">
      <c r="A1005">
        <f t="shared" si="73"/>
        <v>20.291666666666664</v>
      </c>
      <c r="B1005" t="s">
        <v>21</v>
      </c>
      <c r="C1005" t="s">
        <v>11</v>
      </c>
      <c r="D1005">
        <v>216</v>
      </c>
      <c r="E1005">
        <f t="shared" si="76"/>
        <v>60</v>
      </c>
      <c r="F1005" s="22">
        <f>STOWA2015_2050WL_Z!$V13</f>
        <v>0.63336774692321551</v>
      </c>
      <c r="G1005" s="22" t="s">
        <v>33</v>
      </c>
      <c r="H1005" s="22">
        <f>STOWA2015_2050WL_Z!$V13</f>
        <v>0.63336774692321551</v>
      </c>
      <c r="I1005" t="str">
        <f t="shared" si="74"/>
        <v>WL2050;zomer;216;60;0.633367746923216;TRUE;0.633367746923216</v>
      </c>
    </row>
    <row r="1006" spans="1:9" x14ac:dyDescent="0.25">
      <c r="A1006">
        <f t="shared" si="73"/>
        <v>20.291666666666664</v>
      </c>
      <c r="B1006" t="s">
        <v>21</v>
      </c>
      <c r="C1006" t="s">
        <v>11</v>
      </c>
      <c r="D1006">
        <v>216</v>
      </c>
      <c r="E1006">
        <f t="shared" si="76"/>
        <v>65</v>
      </c>
      <c r="F1006" s="22">
        <f>STOWA2015_2050WL_Z!$V14</f>
        <v>0.51375456015256971</v>
      </c>
      <c r="G1006" s="22" t="s">
        <v>33</v>
      </c>
      <c r="H1006" s="22">
        <f>STOWA2015_2050WL_Z!$V14</f>
        <v>0.51375456015256971</v>
      </c>
      <c r="I1006" t="str">
        <f t="shared" si="74"/>
        <v>WL2050;zomer;216;65;0.51375456015257;TRUE;0.51375456015257</v>
      </c>
    </row>
    <row r="1007" spans="1:9" x14ac:dyDescent="0.25">
      <c r="A1007">
        <f t="shared" si="73"/>
        <v>20.291666666666664</v>
      </c>
      <c r="B1007" t="s">
        <v>21</v>
      </c>
      <c r="C1007" t="s">
        <v>11</v>
      </c>
      <c r="D1007">
        <v>216</v>
      </c>
      <c r="E1007">
        <f t="shared" si="76"/>
        <v>70</v>
      </c>
      <c r="F1007" s="22">
        <f>STOWA2015_2050WL_Z!$V15</f>
        <v>0.41548776035316459</v>
      </c>
      <c r="G1007" s="22" t="s">
        <v>33</v>
      </c>
      <c r="H1007" s="22">
        <f>STOWA2015_2050WL_Z!$V15</f>
        <v>0.41548776035316459</v>
      </c>
      <c r="I1007" t="str">
        <f t="shared" si="74"/>
        <v>WL2050;zomer;216;70;0.415487760353165;TRUE;0.415487760353165</v>
      </c>
    </row>
    <row r="1008" spans="1:9" x14ac:dyDescent="0.25">
      <c r="A1008">
        <f t="shared" si="73"/>
        <v>20.291666666666664</v>
      </c>
      <c r="B1008" t="s">
        <v>21</v>
      </c>
      <c r="C1008" t="s">
        <v>11</v>
      </c>
      <c r="D1008">
        <v>216</v>
      </c>
      <c r="E1008">
        <f t="shared" si="76"/>
        <v>75</v>
      </c>
      <c r="F1008" s="22">
        <f>STOWA2015_2050WL_Z!$V16</f>
        <v>0.33498551432586265</v>
      </c>
      <c r="G1008" s="22" t="s">
        <v>33</v>
      </c>
      <c r="H1008" s="22">
        <f>STOWA2015_2050WL_Z!$V16</f>
        <v>0.33498551432586265</v>
      </c>
      <c r="I1008" t="str">
        <f t="shared" si="74"/>
        <v>WL2050;zomer;216;75;0.334985514325863;TRUE;0.334985514325863</v>
      </c>
    </row>
    <row r="1009" spans="1:9" x14ac:dyDescent="0.25">
      <c r="A1009">
        <f t="shared" si="73"/>
        <v>20.291666666666664</v>
      </c>
      <c r="B1009" t="s">
        <v>21</v>
      </c>
      <c r="C1009" t="s">
        <v>11</v>
      </c>
      <c r="D1009">
        <v>216</v>
      </c>
      <c r="E1009">
        <f t="shared" si="76"/>
        <v>80</v>
      </c>
      <c r="F1009" s="22">
        <f>STOWA2015_2050WL_Z!$V17</f>
        <v>0.2692277753580099</v>
      </c>
      <c r="G1009" s="22" t="s">
        <v>33</v>
      </c>
      <c r="H1009" s="22">
        <f>STOWA2015_2050WL_Z!$V17</f>
        <v>0.2692277753580099</v>
      </c>
      <c r="I1009" t="str">
        <f t="shared" si="74"/>
        <v>WL2050;zomer;216;80;0.26922777535801;TRUE;0.26922777535801</v>
      </c>
    </row>
    <row r="1010" spans="1:9" x14ac:dyDescent="0.25">
      <c r="A1010">
        <f t="shared" si="73"/>
        <v>20.291666666666664</v>
      </c>
      <c r="B1010" t="s">
        <v>21</v>
      </c>
      <c r="C1010" t="s">
        <v>11</v>
      </c>
      <c r="D1010">
        <v>216</v>
      </c>
      <c r="E1010">
        <f t="shared" si="76"/>
        <v>85</v>
      </c>
      <c r="F1010" s="22">
        <f>STOWA2015_2050WL_Z!$V18</f>
        <v>0.21567449127786209</v>
      </c>
      <c r="G1010" s="22" t="s">
        <v>33</v>
      </c>
      <c r="H1010" s="22">
        <f>STOWA2015_2050WL_Z!$V18</f>
        <v>0.21567449127786209</v>
      </c>
      <c r="I1010" t="str">
        <f t="shared" si="74"/>
        <v>WL2050;zomer;216;85;0.215674491277862;TRUE;0.215674491277862</v>
      </c>
    </row>
    <row r="1011" spans="1:9" x14ac:dyDescent="0.25">
      <c r="A1011">
        <f t="shared" si="73"/>
        <v>20.291666666666664</v>
      </c>
      <c r="B1011" t="s">
        <v>21</v>
      </c>
      <c r="C1011" t="s">
        <v>11</v>
      </c>
      <c r="D1011">
        <v>216</v>
      </c>
      <c r="E1011">
        <f t="shared" si="76"/>
        <v>90</v>
      </c>
      <c r="F1011" s="22">
        <f>STOWA2015_2050WL_Z!$V19</f>
        <v>0.1721947751792563</v>
      </c>
      <c r="G1011" s="22" t="s">
        <v>33</v>
      </c>
      <c r="H1011" s="22">
        <f>STOWA2015_2050WL_Z!$V19</f>
        <v>0.1721947751792563</v>
      </c>
      <c r="I1011" t="str">
        <f t="shared" si="74"/>
        <v>WL2050;zomer;216;90;0.172194775179256;TRUE;0.172194775179256</v>
      </c>
    </row>
    <row r="1012" spans="1:9" x14ac:dyDescent="0.25">
      <c r="A1012">
        <f t="shared" si="73"/>
        <v>20.291666666666664</v>
      </c>
      <c r="B1012" t="s">
        <v>21</v>
      </c>
      <c r="C1012" t="s">
        <v>11</v>
      </c>
      <c r="D1012">
        <v>216</v>
      </c>
      <c r="E1012">
        <f t="shared" si="76"/>
        <v>95</v>
      </c>
      <c r="F1012" s="22">
        <f>STOWA2015_2050WL_Z!$V20</f>
        <v>0.13700569977180471</v>
      </c>
      <c r="G1012" s="22" t="s">
        <v>33</v>
      </c>
      <c r="H1012" s="22">
        <f>STOWA2015_2050WL_Z!$V20</f>
        <v>0.13700569977180471</v>
      </c>
      <c r="I1012" t="str">
        <f t="shared" si="74"/>
        <v>WL2050;zomer;216;95;0.137005699771805;TRUE;0.137005699771805</v>
      </c>
    </row>
    <row r="1013" spans="1:9" x14ac:dyDescent="0.25">
      <c r="A1013">
        <f t="shared" si="73"/>
        <v>20.291666666666664</v>
      </c>
      <c r="B1013" t="s">
        <v>21</v>
      </c>
      <c r="C1013" t="s">
        <v>11</v>
      </c>
      <c r="D1013">
        <v>216</v>
      </c>
      <c r="E1013">
        <f t="shared" si="76"/>
        <v>100</v>
      </c>
      <c r="F1013" s="22">
        <f>STOWA2015_2050WL_Z!$V21</f>
        <v>0.10861952350315945</v>
      </c>
      <c r="G1013" s="22" t="s">
        <v>33</v>
      </c>
      <c r="H1013" s="22">
        <f>STOWA2015_2050WL_Z!$V21</f>
        <v>0.10861952350315945</v>
      </c>
      <c r="I1013" t="str">
        <f t="shared" si="74"/>
        <v>WL2050;zomer;216;100;0.108619523503159;TRUE;0.108619523503159</v>
      </c>
    </row>
    <row r="1014" spans="1:9" x14ac:dyDescent="0.25">
      <c r="A1014">
        <f t="shared" si="73"/>
        <v>20.291666666666664</v>
      </c>
      <c r="B1014" t="s">
        <v>21</v>
      </c>
      <c r="C1014" t="s">
        <v>11</v>
      </c>
      <c r="D1014">
        <v>216</v>
      </c>
      <c r="E1014">
        <f t="shared" si="76"/>
        <v>105</v>
      </c>
      <c r="F1014" s="22">
        <f>STOWA2015_2050WL_Z!$V22</f>
        <v>8.5798289462821198E-2</v>
      </c>
      <c r="G1014" s="22" t="s">
        <v>33</v>
      </c>
      <c r="H1014" s="22">
        <f>STOWA2015_2050WL_Z!$V22</f>
        <v>8.5798289462821198E-2</v>
      </c>
      <c r="I1014" t="str">
        <f t="shared" si="74"/>
        <v>WL2050;zomer;216;105;8.57982894628212E-02;TRUE;8.57982894628212E-02</v>
      </c>
    </row>
    <row r="1015" spans="1:9" x14ac:dyDescent="0.25">
      <c r="A1015">
        <f t="shared" si="73"/>
        <v>20.291666666666664</v>
      </c>
      <c r="B1015" t="s">
        <v>21</v>
      </c>
      <c r="C1015" t="s">
        <v>11</v>
      </c>
      <c r="D1015">
        <v>216</v>
      </c>
      <c r="E1015">
        <f t="shared" si="76"/>
        <v>110</v>
      </c>
      <c r="F1015" s="22">
        <f>STOWA2015_2050WL_Z!$V23</f>
        <v>6.7514857820412305E-2</v>
      </c>
      <c r="G1015" s="22" t="s">
        <v>33</v>
      </c>
      <c r="H1015" s="22">
        <f>STOWA2015_2050WL_Z!$V23</f>
        <v>6.7514857820412305E-2</v>
      </c>
      <c r="I1015" t="str">
        <f t="shared" si="74"/>
        <v>WL2050;zomer;216;110;6.75148578204123E-02;TRUE;6.75148578204123E-02</v>
      </c>
    </row>
    <row r="1016" spans="1:9" x14ac:dyDescent="0.25">
      <c r="A1016">
        <f t="shared" si="73"/>
        <v>20.291666666666664</v>
      </c>
      <c r="B1016" t="s">
        <v>21</v>
      </c>
      <c r="C1016" t="s">
        <v>11</v>
      </c>
      <c r="D1016">
        <v>216</v>
      </c>
      <c r="E1016">
        <f t="shared" si="76"/>
        <v>115</v>
      </c>
      <c r="F1016" s="22">
        <f>STOWA2015_2050WL_Z!$V24</f>
        <v>5.2919540299037671E-2</v>
      </c>
      <c r="G1016" s="22" t="s">
        <v>33</v>
      </c>
      <c r="H1016" s="22">
        <f>STOWA2015_2050WL_Z!$V24</f>
        <v>5.2919540299037671E-2</v>
      </c>
      <c r="I1016" t="str">
        <f t="shared" si="74"/>
        <v>WL2050;zomer;216;115;5.29195402990377E-02;TRUE;5.29195402990377E-02</v>
      </c>
    </row>
    <row r="1017" spans="1:9" x14ac:dyDescent="0.25">
      <c r="A1017">
        <f t="shared" si="73"/>
        <v>20.291666666666664</v>
      </c>
      <c r="B1017" t="s">
        <v>21</v>
      </c>
      <c r="C1017" t="s">
        <v>11</v>
      </c>
      <c r="D1017">
        <v>216</v>
      </c>
      <c r="E1017">
        <f t="shared" si="76"/>
        <v>120</v>
      </c>
      <c r="F1017" s="22">
        <f>STOWA2015_2050WL_Z!$V25</f>
        <v>4.1311601978670731E-2</v>
      </c>
      <c r="G1017" s="22" t="s">
        <v>33</v>
      </c>
      <c r="H1017" s="22">
        <f>STOWA2015_2050WL_Z!$V25</f>
        <v>4.1311601978670731E-2</v>
      </c>
      <c r="I1017" t="str">
        <f t="shared" si="74"/>
        <v>WL2050;zomer;216;120;4.13116019786707E-02;TRUE;4.13116019786707E-02</v>
      </c>
    </row>
    <row r="1018" spans="1:9" x14ac:dyDescent="0.25">
      <c r="A1018">
        <f t="shared" si="73"/>
        <v>20.291666666666664</v>
      </c>
      <c r="B1018" t="s">
        <v>21</v>
      </c>
      <c r="C1018" t="s">
        <v>11</v>
      </c>
      <c r="D1018">
        <v>216</v>
      </c>
      <c r="E1018">
        <f t="shared" si="76"/>
        <v>125</v>
      </c>
      <c r="F1018" s="22">
        <f>STOWA2015_2050WL_Z!$V26</f>
        <v>3.2114982531381689E-2</v>
      </c>
      <c r="G1018" s="22" t="s">
        <v>33</v>
      </c>
      <c r="H1018" s="22">
        <f>STOWA2015_2050WL_Z!$V26</f>
        <v>3.2114982531381689E-2</v>
      </c>
      <c r="I1018" t="str">
        <f t="shared" si="74"/>
        <v>WL2050;zomer;216;125;3.21149825313817E-02;TRUE;3.21149825313817E-02</v>
      </c>
    </row>
    <row r="1019" spans="1:9" x14ac:dyDescent="0.25">
      <c r="A1019">
        <f t="shared" si="73"/>
        <v>20.291666666666664</v>
      </c>
      <c r="B1019" t="s">
        <v>21</v>
      </c>
      <c r="C1019" t="s">
        <v>11</v>
      </c>
      <c r="D1019">
        <v>216</v>
      </c>
      <c r="E1019">
        <f t="shared" si="76"/>
        <v>130</v>
      </c>
      <c r="F1019" s="22">
        <f>STOWA2015_2050WL_Z!$V27</f>
        <v>2.4857666704084028E-2</v>
      </c>
      <c r="G1019" s="22" t="s">
        <v>33</v>
      </c>
      <c r="H1019" s="22">
        <f>STOWA2015_2050WL_Z!$V27</f>
        <v>2.4857666704084028E-2</v>
      </c>
      <c r="I1019" t="str">
        <f t="shared" si="74"/>
        <v>WL2050;zomer;216;130;0.024857666704084;TRUE;0.024857666704084</v>
      </c>
    </row>
    <row r="1020" spans="1:9" x14ac:dyDescent="0.25">
      <c r="A1020">
        <f t="shared" si="73"/>
        <v>20.291666666666664</v>
      </c>
      <c r="B1020" t="s">
        <v>21</v>
      </c>
      <c r="C1020" t="s">
        <v>11</v>
      </c>
      <c r="D1020">
        <v>216</v>
      </c>
      <c r="E1020">
        <f t="shared" si="76"/>
        <v>135</v>
      </c>
      <c r="F1020" s="22">
        <f>STOWA2015_2050WL_Z!$V28</f>
        <v>1.9154203312077941E-2</v>
      </c>
      <c r="G1020" s="22" t="s">
        <v>33</v>
      </c>
      <c r="H1020" s="22">
        <f>STOWA2015_2050WL_Z!$V28</f>
        <v>1.9154203312077941E-2</v>
      </c>
      <c r="I1020" t="str">
        <f t="shared" si="74"/>
        <v>WL2050;zomer;216;135;1.91542033120779E-02;TRUE;1.91542033120779E-02</v>
      </c>
    </row>
    <row r="1021" spans="1:9" x14ac:dyDescent="0.25">
      <c r="A1021">
        <f t="shared" si="73"/>
        <v>20.291666666666664</v>
      </c>
      <c r="B1021" t="s">
        <v>21</v>
      </c>
      <c r="C1021" t="s">
        <v>11</v>
      </c>
      <c r="D1021">
        <v>216</v>
      </c>
      <c r="E1021">
        <f t="shared" si="76"/>
        <v>140</v>
      </c>
      <c r="F1021" s="22">
        <f>STOWA2015_2050WL_Z!$V29</f>
        <v>1.4690933951369778E-2</v>
      </c>
      <c r="G1021" s="22" t="s">
        <v>33</v>
      </c>
      <c r="H1021" s="22">
        <f>STOWA2015_2050WL_Z!$V29</f>
        <v>1.4690933951369778E-2</v>
      </c>
      <c r="I1021" t="str">
        <f t="shared" si="74"/>
        <v>WL2050;zomer;216;140;1.46909339513698E-02;TRUE;1.46909339513698E-02</v>
      </c>
    </row>
    <row r="1022" spans="1:9" x14ac:dyDescent="0.25">
      <c r="A1022">
        <f t="shared" si="73"/>
        <v>20.291666666666664</v>
      </c>
      <c r="B1022" t="s">
        <v>21</v>
      </c>
      <c r="C1022" t="s">
        <v>11</v>
      </c>
      <c r="D1022">
        <v>216</v>
      </c>
      <c r="E1022">
        <f t="shared" si="76"/>
        <v>145</v>
      </c>
      <c r="F1022" s="22">
        <f>STOWA2015_2050WL_Z!$V30</f>
        <v>1.1213547783568777E-2</v>
      </c>
      <c r="G1022" s="22" t="s">
        <v>33</v>
      </c>
      <c r="H1022" s="22">
        <f>STOWA2015_2050WL_Z!$V30</f>
        <v>1.1213547783568777E-2</v>
      </c>
      <c r="I1022" t="str">
        <f t="shared" si="74"/>
        <v>WL2050;zomer;216;145;1.12135477835688E-02;TRUE;1.12135477835688E-02</v>
      </c>
    </row>
    <row r="1023" spans="1:9" x14ac:dyDescent="0.25">
      <c r="A1023">
        <f t="shared" si="73"/>
        <v>20.291666666666664</v>
      </c>
      <c r="B1023" t="s">
        <v>21</v>
      </c>
      <c r="C1023" t="s">
        <v>11</v>
      </c>
      <c r="D1023">
        <v>216</v>
      </c>
      <c r="E1023">
        <f t="shared" si="76"/>
        <v>150</v>
      </c>
      <c r="F1023" s="22">
        <f>STOWA2015_2050WL_Z!$V31</f>
        <v>8.5166277423344358E-3</v>
      </c>
      <c r="G1023" s="22" t="s">
        <v>33</v>
      </c>
      <c r="H1023" s="22">
        <f>STOWA2015_2050WL_Z!$V31</f>
        <v>8.5166277423344358E-3</v>
      </c>
      <c r="I1023" t="str">
        <f t="shared" si="74"/>
        <v>WL2050;zomer;216;150;8.51662774233444E-03;TRUE;8.51662774233444E-03</v>
      </c>
    </row>
    <row r="1024" spans="1:9" x14ac:dyDescent="0.25">
      <c r="A1024">
        <f t="shared" si="73"/>
        <v>20.291666666666664</v>
      </c>
      <c r="B1024" t="s">
        <v>21</v>
      </c>
      <c r="C1024" t="s">
        <v>11</v>
      </c>
      <c r="D1024">
        <v>216</v>
      </c>
      <c r="E1024">
        <f t="shared" si="76"/>
        <v>155</v>
      </c>
      <c r="F1024" s="22">
        <f>STOWA2015_2050WL_Z!$V32</f>
        <v>2.4679725903246824E-2</v>
      </c>
      <c r="G1024" s="22" t="s">
        <v>33</v>
      </c>
      <c r="H1024" s="22">
        <f>STOWA2015_2050WL_Z!$V32</f>
        <v>2.4679725903246824E-2</v>
      </c>
      <c r="I1024" t="str">
        <f t="shared" si="74"/>
        <v>WL2050;zomer;216;155;2.46797259032468E-02;TRUE;2.46797259032468E-02</v>
      </c>
    </row>
    <row r="1025" spans="1:9" x14ac:dyDescent="0.25">
      <c r="A1025">
        <f t="shared" si="73"/>
        <v>182.625</v>
      </c>
      <c r="B1025" t="s">
        <v>21</v>
      </c>
      <c r="C1025" t="s">
        <v>7</v>
      </c>
      <c r="D1025">
        <v>24</v>
      </c>
      <c r="E1025">
        <v>15</v>
      </c>
      <c r="F1025" s="22">
        <f>'2050WL_W'!$F4</f>
        <v>360.52178326529753</v>
      </c>
      <c r="G1025" s="22" t="s">
        <v>33</v>
      </c>
      <c r="H1025" s="22">
        <f>'2050WL_W'!$F4</f>
        <v>360.52178326529753</v>
      </c>
      <c r="I1025" t="str">
        <f t="shared" si="74"/>
        <v>WL2050;winter;24;15;360.521783265298;TRUE;360.521783265298</v>
      </c>
    </row>
    <row r="1026" spans="1:9" x14ac:dyDescent="0.25">
      <c r="A1026">
        <f t="shared" ref="A1026:A1089" si="77">IF(C1026="zomer",24/D1026*365.25 * 6/12,24/D1026*365.25 * 6/12)</f>
        <v>182.625</v>
      </c>
      <c r="B1026" t="s">
        <v>21</v>
      </c>
      <c r="C1026" t="s">
        <v>7</v>
      </c>
      <c r="D1026">
        <v>24</v>
      </c>
      <c r="E1026">
        <f>E1025+5</f>
        <v>20</v>
      </c>
      <c r="F1026" s="22">
        <f>'2050WL_W'!$F5</f>
        <v>2.670798979086201</v>
      </c>
      <c r="G1026" s="22" t="s">
        <v>33</v>
      </c>
      <c r="H1026" s="22">
        <f>'2050WL_W'!$F5</f>
        <v>2.670798979086201</v>
      </c>
      <c r="I1026" t="str">
        <f t="shared" ref="I1026:I1089" si="78">CONCATENATEWITHDELIMITER(B1026:H1026,";")</f>
        <v>WL2050;winter;24;20;2.6707989790862;TRUE;2.6707989790862</v>
      </c>
    </row>
    <row r="1027" spans="1:9" x14ac:dyDescent="0.25">
      <c r="A1027">
        <f t="shared" si="77"/>
        <v>182.625</v>
      </c>
      <c r="B1027" t="s">
        <v>21</v>
      </c>
      <c r="C1027" t="s">
        <v>7</v>
      </c>
      <c r="D1027">
        <v>24</v>
      </c>
      <c r="E1027">
        <f t="shared" ref="E1027:E1041" si="79">E1026+5</f>
        <v>25</v>
      </c>
      <c r="F1027" s="22">
        <f>'2050WL_W'!$F6</f>
        <v>1.1184574342086879</v>
      </c>
      <c r="G1027" s="22" t="s">
        <v>33</v>
      </c>
      <c r="H1027" s="22">
        <f>'2050WL_W'!$F6</f>
        <v>1.1184574342086879</v>
      </c>
      <c r="I1027" t="str">
        <f t="shared" si="78"/>
        <v>WL2050;winter;24;25;1.11845743420869;TRUE;1.11845743420869</v>
      </c>
    </row>
    <row r="1028" spans="1:9" x14ac:dyDescent="0.25">
      <c r="A1028">
        <f t="shared" si="77"/>
        <v>182.625</v>
      </c>
      <c r="B1028" t="s">
        <v>21</v>
      </c>
      <c r="C1028" t="s">
        <v>7</v>
      </c>
      <c r="D1028">
        <v>24</v>
      </c>
      <c r="E1028">
        <f t="shared" si="79"/>
        <v>30</v>
      </c>
      <c r="F1028" s="22">
        <f>'2050WL_W'!$F7</f>
        <v>0.49183608822494745</v>
      </c>
      <c r="G1028" s="22" t="s">
        <v>33</v>
      </c>
      <c r="H1028" s="22">
        <f>'2050WL_W'!$F7</f>
        <v>0.49183608822494745</v>
      </c>
      <c r="I1028" t="str">
        <f t="shared" si="78"/>
        <v>WL2050;winter;24;30;0.491836088224947;TRUE;0.491836088224947</v>
      </c>
    </row>
    <row r="1029" spans="1:9" x14ac:dyDescent="0.25">
      <c r="A1029">
        <f t="shared" si="77"/>
        <v>182.625</v>
      </c>
      <c r="B1029" t="s">
        <v>21</v>
      </c>
      <c r="C1029" t="s">
        <v>7</v>
      </c>
      <c r="D1029">
        <v>24</v>
      </c>
      <c r="E1029">
        <f t="shared" si="79"/>
        <v>35</v>
      </c>
      <c r="F1029" s="22">
        <f>'2050WL_W'!$F8</f>
        <v>0.2259329564902969</v>
      </c>
      <c r="G1029" s="22" t="s">
        <v>33</v>
      </c>
      <c r="H1029" s="22">
        <f>'2050WL_W'!$F8</f>
        <v>0.2259329564902969</v>
      </c>
      <c r="I1029" t="str">
        <f t="shared" si="78"/>
        <v>WL2050;winter;24;35;0.225932956490297;TRUE;0.225932956490297</v>
      </c>
    </row>
    <row r="1030" spans="1:9" x14ac:dyDescent="0.25">
      <c r="A1030">
        <f t="shared" si="77"/>
        <v>182.625</v>
      </c>
      <c r="B1030" t="s">
        <v>21</v>
      </c>
      <c r="C1030" t="s">
        <v>7</v>
      </c>
      <c r="D1030">
        <v>24</v>
      </c>
      <c r="E1030">
        <f t="shared" si="79"/>
        <v>40</v>
      </c>
      <c r="F1030" s="22">
        <f>'2050WL_W'!$F9</f>
        <v>0.10793884081256699</v>
      </c>
      <c r="G1030" s="22" t="s">
        <v>33</v>
      </c>
      <c r="H1030" s="22">
        <f>'2050WL_W'!$F9</f>
        <v>0.10793884081256699</v>
      </c>
      <c r="I1030" t="str">
        <f t="shared" si="78"/>
        <v>WL2050;winter;24;40;0.107938840812567;TRUE;0.107938840812567</v>
      </c>
    </row>
    <row r="1031" spans="1:9" x14ac:dyDescent="0.25">
      <c r="A1031">
        <f t="shared" si="77"/>
        <v>182.625</v>
      </c>
      <c r="B1031" t="s">
        <v>21</v>
      </c>
      <c r="C1031" t="s">
        <v>7</v>
      </c>
      <c r="D1031">
        <v>24</v>
      </c>
      <c r="E1031">
        <f t="shared" si="79"/>
        <v>45</v>
      </c>
      <c r="F1031" s="22">
        <f>'2050WL_W'!$F10</f>
        <v>5.3428599915495742E-2</v>
      </c>
      <c r="G1031" s="22" t="s">
        <v>33</v>
      </c>
      <c r="H1031" s="22">
        <f>'2050WL_W'!$F10</f>
        <v>5.3428599915495742E-2</v>
      </c>
      <c r="I1031" t="str">
        <f t="shared" si="78"/>
        <v>WL2050;winter;24;45;5.34285999154957E-02;TRUE;5.34285999154957E-02</v>
      </c>
    </row>
    <row r="1032" spans="1:9" x14ac:dyDescent="0.25">
      <c r="A1032">
        <f t="shared" si="77"/>
        <v>182.625</v>
      </c>
      <c r="B1032" t="s">
        <v>21</v>
      </c>
      <c r="C1032" t="s">
        <v>7</v>
      </c>
      <c r="D1032">
        <v>24</v>
      </c>
      <c r="E1032">
        <f t="shared" si="79"/>
        <v>50</v>
      </c>
      <c r="F1032" s="22">
        <f>'2050WL_W'!$F11</f>
        <v>2.7311994334731707E-2</v>
      </c>
      <c r="G1032" s="22" t="s">
        <v>33</v>
      </c>
      <c r="H1032" s="22">
        <f>'2050WL_W'!$F11</f>
        <v>2.7311994334731707E-2</v>
      </c>
      <c r="I1032" t="str">
        <f t="shared" si="78"/>
        <v>WL2050;winter;24;50;2.73119943347317E-02;TRUE;2.73119943347317E-02</v>
      </c>
    </row>
    <row r="1033" spans="1:9" x14ac:dyDescent="0.25">
      <c r="A1033">
        <f t="shared" si="77"/>
        <v>182.625</v>
      </c>
      <c r="B1033" t="s">
        <v>21</v>
      </c>
      <c r="C1033" t="s">
        <v>7</v>
      </c>
      <c r="D1033">
        <v>24</v>
      </c>
      <c r="E1033">
        <f t="shared" si="79"/>
        <v>55</v>
      </c>
      <c r="F1033" s="22">
        <f>'2050WL_W'!$F12</f>
        <v>1.437768801656078E-2</v>
      </c>
      <c r="G1033" s="22" t="s">
        <v>33</v>
      </c>
      <c r="H1033" s="22">
        <f>'2050WL_W'!$F12</f>
        <v>1.437768801656078E-2</v>
      </c>
      <c r="I1033" t="str">
        <f t="shared" si="78"/>
        <v>WL2050;winter;24;55;1.43776880165608E-02;TRUE;1.43776880165608E-02</v>
      </c>
    </row>
    <row r="1034" spans="1:9" x14ac:dyDescent="0.25">
      <c r="A1034">
        <f t="shared" si="77"/>
        <v>182.625</v>
      </c>
      <c r="B1034" t="s">
        <v>21</v>
      </c>
      <c r="C1034" t="s">
        <v>7</v>
      </c>
      <c r="D1034">
        <v>24</v>
      </c>
      <c r="E1034">
        <f t="shared" si="79"/>
        <v>60</v>
      </c>
      <c r="F1034" s="22">
        <f>'2050WL_W'!$F13</f>
        <v>7.7751424765681743E-3</v>
      </c>
      <c r="G1034" s="22" t="s">
        <v>33</v>
      </c>
      <c r="H1034" s="22">
        <f>'2050WL_W'!$F13</f>
        <v>7.7751424765681743E-3</v>
      </c>
      <c r="I1034" t="str">
        <f t="shared" si="78"/>
        <v>WL2050;winter;24;60;7.77514247656817E-03;TRUE;7.77514247656817E-03</v>
      </c>
    </row>
    <row r="1035" spans="1:9" x14ac:dyDescent="0.25">
      <c r="A1035">
        <f t="shared" si="77"/>
        <v>182.625</v>
      </c>
      <c r="B1035" t="s">
        <v>21</v>
      </c>
      <c r="C1035" t="s">
        <v>7</v>
      </c>
      <c r="D1035">
        <v>24</v>
      </c>
      <c r="E1035">
        <f t="shared" si="79"/>
        <v>65</v>
      </c>
      <c r="F1035" s="22">
        <f>'2050WL_W'!$F14</f>
        <v>4.3099178423027049E-3</v>
      </c>
      <c r="G1035" s="22" t="s">
        <v>33</v>
      </c>
      <c r="H1035" s="22">
        <f>'2050WL_W'!$F14</f>
        <v>4.3099178423027049E-3</v>
      </c>
      <c r="I1035" t="str">
        <f t="shared" si="78"/>
        <v>WL2050;winter;24;65;4.3099178423027E-03;TRUE;4.3099178423027E-03</v>
      </c>
    </row>
    <row r="1036" spans="1:9" x14ac:dyDescent="0.25">
      <c r="A1036">
        <f t="shared" si="77"/>
        <v>182.625</v>
      </c>
      <c r="B1036" t="s">
        <v>21</v>
      </c>
      <c r="C1036" t="s">
        <v>7</v>
      </c>
      <c r="D1036">
        <v>24</v>
      </c>
      <c r="E1036">
        <f t="shared" si="79"/>
        <v>70</v>
      </c>
      <c r="F1036" s="22">
        <f>'2050WL_W'!$F15</f>
        <v>2.4442095244523987E-3</v>
      </c>
      <c r="G1036" s="22" t="s">
        <v>33</v>
      </c>
      <c r="H1036" s="22">
        <f>'2050WL_W'!$F15</f>
        <v>2.4442095244523987E-3</v>
      </c>
      <c r="I1036" t="str">
        <f t="shared" si="78"/>
        <v>WL2050;winter;24;70;2.4442095244524E-03;TRUE;2.4442095244524E-03</v>
      </c>
    </row>
    <row r="1037" spans="1:9" x14ac:dyDescent="0.25">
      <c r="A1037">
        <f t="shared" si="77"/>
        <v>182.625</v>
      </c>
      <c r="B1037" t="s">
        <v>21</v>
      </c>
      <c r="C1037" t="s">
        <v>7</v>
      </c>
      <c r="D1037">
        <v>24</v>
      </c>
      <c r="E1037">
        <f t="shared" si="79"/>
        <v>75</v>
      </c>
      <c r="F1037" s="22">
        <f>'2050WL_W'!$F16</f>
        <v>1.4157204145586588E-3</v>
      </c>
      <c r="G1037" s="22" t="s">
        <v>33</v>
      </c>
      <c r="H1037" s="22">
        <f>'2050WL_W'!$F16</f>
        <v>1.4157204145586588E-3</v>
      </c>
      <c r="I1037" t="str">
        <f t="shared" si="78"/>
        <v>WL2050;winter;24;75;1.41572041455866E-03;TRUE;1.41572041455866E-03</v>
      </c>
    </row>
    <row r="1038" spans="1:9" x14ac:dyDescent="0.25">
      <c r="A1038">
        <f t="shared" si="77"/>
        <v>182.625</v>
      </c>
      <c r="B1038" t="s">
        <v>21</v>
      </c>
      <c r="C1038" t="s">
        <v>7</v>
      </c>
      <c r="D1038">
        <v>24</v>
      </c>
      <c r="E1038">
        <f t="shared" si="79"/>
        <v>80</v>
      </c>
      <c r="F1038" s="22">
        <f>'2050WL_W'!$F17</f>
        <v>8.3623216494599774E-4</v>
      </c>
      <c r="G1038" s="22" t="s">
        <v>33</v>
      </c>
      <c r="H1038" s="22">
        <f>'2050WL_W'!$F17</f>
        <v>8.3623216494599774E-4</v>
      </c>
      <c r="I1038" t="str">
        <f t="shared" si="78"/>
        <v>WL2050;winter;24;80;8.36232164945998E-04;TRUE;8.36232164945998E-04</v>
      </c>
    </row>
    <row r="1039" spans="1:9" x14ac:dyDescent="0.25">
      <c r="A1039">
        <f t="shared" si="77"/>
        <v>182.625</v>
      </c>
      <c r="B1039" t="s">
        <v>21</v>
      </c>
      <c r="C1039" t="s">
        <v>7</v>
      </c>
      <c r="D1039">
        <v>24</v>
      </c>
      <c r="E1039">
        <f t="shared" si="79"/>
        <v>85</v>
      </c>
      <c r="F1039" s="22">
        <f>'2050WL_W'!$F18</f>
        <v>5.0303243729619398E-4</v>
      </c>
      <c r="G1039" s="22" t="s">
        <v>33</v>
      </c>
      <c r="H1039" s="22">
        <f>'2050WL_W'!$F18</f>
        <v>5.0303243729619398E-4</v>
      </c>
      <c r="I1039" t="str">
        <f t="shared" si="78"/>
        <v>WL2050;winter;24;85;5.03032437296194E-04;TRUE;5.03032437296194E-04</v>
      </c>
    </row>
    <row r="1040" spans="1:9" x14ac:dyDescent="0.25">
      <c r="A1040">
        <f t="shared" si="77"/>
        <v>182.625</v>
      </c>
      <c r="B1040" t="s">
        <v>21</v>
      </c>
      <c r="C1040" t="s">
        <v>7</v>
      </c>
      <c r="D1040">
        <v>24</v>
      </c>
      <c r="E1040">
        <f t="shared" si="79"/>
        <v>90</v>
      </c>
      <c r="F1040" s="22">
        <f>'2050WL_W'!$F19</f>
        <v>3.0778949831125255E-4</v>
      </c>
      <c r="G1040" s="22" t="s">
        <v>33</v>
      </c>
      <c r="H1040" s="22">
        <f>'2050WL_W'!$F19</f>
        <v>3.0778949831125255E-4</v>
      </c>
      <c r="I1040" t="str">
        <f t="shared" si="78"/>
        <v>WL2050;winter;24;90;3.07789498311253E-04;TRUE;3.07789498311253E-04</v>
      </c>
    </row>
    <row r="1041" spans="1:9" x14ac:dyDescent="0.25">
      <c r="A1041">
        <f t="shared" si="77"/>
        <v>182.625</v>
      </c>
      <c r="B1041" t="s">
        <v>21</v>
      </c>
      <c r="C1041" t="s">
        <v>7</v>
      </c>
      <c r="D1041">
        <v>24</v>
      </c>
      <c r="E1041">
        <f t="shared" si="79"/>
        <v>95</v>
      </c>
      <c r="F1041" s="22">
        <f>'2050WL_W'!$F20</f>
        <v>5.4210925455082251E-4</v>
      </c>
      <c r="G1041" s="22" t="s">
        <v>33</v>
      </c>
      <c r="H1041" s="22">
        <f>'2050WL_W'!$F20</f>
        <v>5.4210925455082251E-4</v>
      </c>
      <c r="I1041" t="str">
        <f t="shared" si="78"/>
        <v>WL2050;winter;24;95;5.42109254550823E-04;TRUE;5.42109254550823E-04</v>
      </c>
    </row>
    <row r="1042" spans="1:9" x14ac:dyDescent="0.25">
      <c r="A1042">
        <f t="shared" si="77"/>
        <v>91.3125</v>
      </c>
      <c r="B1042" t="s">
        <v>21</v>
      </c>
      <c r="C1042" t="s">
        <v>7</v>
      </c>
      <c r="D1042">
        <v>48</v>
      </c>
      <c r="E1042">
        <v>15</v>
      </c>
      <c r="F1042" s="22">
        <f>'2050WL_W'!$J4</f>
        <v>172.80010493968683</v>
      </c>
      <c r="G1042" s="22" t="s">
        <v>33</v>
      </c>
      <c r="H1042" s="22">
        <f>'2050WL_W'!$J4</f>
        <v>172.80010493968683</v>
      </c>
      <c r="I1042" t="str">
        <f t="shared" si="78"/>
        <v>WL2050;winter;48;15;172.800104939687;TRUE;172.800104939687</v>
      </c>
    </row>
    <row r="1043" spans="1:9" x14ac:dyDescent="0.25">
      <c r="A1043">
        <f t="shared" si="77"/>
        <v>91.3125</v>
      </c>
      <c r="B1043" t="s">
        <v>21</v>
      </c>
      <c r="C1043" t="s">
        <v>7</v>
      </c>
      <c r="D1043">
        <v>48</v>
      </c>
      <c r="E1043">
        <f>E1042+5</f>
        <v>20</v>
      </c>
      <c r="F1043" s="22">
        <f>'2050WL_W'!$J5</f>
        <v>4.6408878375789158</v>
      </c>
      <c r="G1043" s="22" t="s">
        <v>33</v>
      </c>
      <c r="H1043" s="22">
        <f>'2050WL_W'!$J5</f>
        <v>4.6408878375789158</v>
      </c>
      <c r="I1043" t="str">
        <f t="shared" si="78"/>
        <v>WL2050;winter;48;20;4.64088783757892;TRUE;4.64088783757892</v>
      </c>
    </row>
    <row r="1044" spans="1:9" x14ac:dyDescent="0.25">
      <c r="A1044">
        <f t="shared" si="77"/>
        <v>91.3125</v>
      </c>
      <c r="B1044" t="s">
        <v>21</v>
      </c>
      <c r="C1044" t="s">
        <v>7</v>
      </c>
      <c r="D1044">
        <v>48</v>
      </c>
      <c r="E1044">
        <f t="shared" ref="E1044:E1060" si="80">E1043+5</f>
        <v>25</v>
      </c>
      <c r="F1044" s="22">
        <f>'2050WL_W'!$J6</f>
        <v>2.3875912005593762</v>
      </c>
      <c r="G1044" s="22" t="s">
        <v>33</v>
      </c>
      <c r="H1044" s="22">
        <f>'2050WL_W'!$J6</f>
        <v>2.3875912005593762</v>
      </c>
      <c r="I1044" t="str">
        <f t="shared" si="78"/>
        <v>WL2050;winter;48;25;2.38759120055938;TRUE;2.38759120055938</v>
      </c>
    </row>
    <row r="1045" spans="1:9" x14ac:dyDescent="0.25">
      <c r="A1045">
        <f t="shared" si="77"/>
        <v>91.3125</v>
      </c>
      <c r="B1045" t="s">
        <v>21</v>
      </c>
      <c r="C1045" t="s">
        <v>7</v>
      </c>
      <c r="D1045">
        <v>48</v>
      </c>
      <c r="E1045">
        <f t="shared" si="80"/>
        <v>30</v>
      </c>
      <c r="F1045" s="22">
        <f>'2050WL_W'!$J7</f>
        <v>1.2565073491894889</v>
      </c>
      <c r="G1045" s="22" t="s">
        <v>33</v>
      </c>
      <c r="H1045" s="22">
        <f>'2050WL_W'!$J7</f>
        <v>1.2565073491894889</v>
      </c>
      <c r="I1045" t="str">
        <f t="shared" si="78"/>
        <v>WL2050;winter;48;30;1.25650734918949;TRUE;1.25650734918949</v>
      </c>
    </row>
    <row r="1046" spans="1:9" x14ac:dyDescent="0.25">
      <c r="A1046">
        <f t="shared" si="77"/>
        <v>91.3125</v>
      </c>
      <c r="B1046" t="s">
        <v>21</v>
      </c>
      <c r="C1046" t="s">
        <v>7</v>
      </c>
      <c r="D1046">
        <v>48</v>
      </c>
      <c r="E1046">
        <f t="shared" si="80"/>
        <v>35</v>
      </c>
      <c r="F1046" s="22">
        <f>'2050WL_W'!$J8</f>
        <v>0.6754069198323861</v>
      </c>
      <c r="G1046" s="22" t="s">
        <v>33</v>
      </c>
      <c r="H1046" s="22">
        <f>'2050WL_W'!$J8</f>
        <v>0.6754069198323861</v>
      </c>
      <c r="I1046" t="str">
        <f t="shared" si="78"/>
        <v>WL2050;winter;48;35;0.675406919832386;TRUE;0.675406919832386</v>
      </c>
    </row>
    <row r="1047" spans="1:9" x14ac:dyDescent="0.25">
      <c r="A1047">
        <f t="shared" si="77"/>
        <v>91.3125</v>
      </c>
      <c r="B1047" t="s">
        <v>21</v>
      </c>
      <c r="C1047" t="s">
        <v>7</v>
      </c>
      <c r="D1047">
        <v>48</v>
      </c>
      <c r="E1047">
        <f t="shared" si="80"/>
        <v>40</v>
      </c>
      <c r="F1047" s="22">
        <f>'2050WL_W'!$J9</f>
        <v>0.37031660340222605</v>
      </c>
      <c r="G1047" s="22" t="s">
        <v>33</v>
      </c>
      <c r="H1047" s="22">
        <f>'2050WL_W'!$J9</f>
        <v>0.37031660340222605</v>
      </c>
      <c r="I1047" t="str">
        <f t="shared" si="78"/>
        <v>WL2050;winter;48;40;0.370316603402226;TRUE;0.370316603402226</v>
      </c>
    </row>
    <row r="1048" spans="1:9" x14ac:dyDescent="0.25">
      <c r="A1048">
        <f t="shared" si="77"/>
        <v>91.3125</v>
      </c>
      <c r="B1048" t="s">
        <v>21</v>
      </c>
      <c r="C1048" t="s">
        <v>7</v>
      </c>
      <c r="D1048">
        <v>48</v>
      </c>
      <c r="E1048">
        <f t="shared" si="80"/>
        <v>45</v>
      </c>
      <c r="F1048" s="22">
        <f>'2050WL_W'!$J10</f>
        <v>0.20684957774878254</v>
      </c>
      <c r="G1048" s="22" t="s">
        <v>33</v>
      </c>
      <c r="H1048" s="22">
        <f>'2050WL_W'!$J10</f>
        <v>0.20684957774878254</v>
      </c>
      <c r="I1048" t="str">
        <f t="shared" si="78"/>
        <v>WL2050;winter;48;45;0.206849577748783;TRUE;0.206849577748783</v>
      </c>
    </row>
    <row r="1049" spans="1:9" x14ac:dyDescent="0.25">
      <c r="A1049">
        <f t="shared" si="77"/>
        <v>91.3125</v>
      </c>
      <c r="B1049" t="s">
        <v>21</v>
      </c>
      <c r="C1049" t="s">
        <v>7</v>
      </c>
      <c r="D1049">
        <v>48</v>
      </c>
      <c r="E1049">
        <f t="shared" si="80"/>
        <v>50</v>
      </c>
      <c r="F1049" s="22">
        <f>'2050WL_W'!$J11</f>
        <v>0.11757760436558329</v>
      </c>
      <c r="G1049" s="22" t="s">
        <v>33</v>
      </c>
      <c r="H1049" s="22">
        <f>'2050WL_W'!$J11</f>
        <v>0.11757760436558329</v>
      </c>
      <c r="I1049" t="str">
        <f t="shared" si="78"/>
        <v>WL2050;winter;48;50;0.117577604365583;TRUE;0.117577604365583</v>
      </c>
    </row>
    <row r="1050" spans="1:9" x14ac:dyDescent="0.25">
      <c r="A1050">
        <f t="shared" si="77"/>
        <v>91.3125</v>
      </c>
      <c r="B1050" t="s">
        <v>21</v>
      </c>
      <c r="C1050" t="s">
        <v>7</v>
      </c>
      <c r="D1050">
        <v>48</v>
      </c>
      <c r="E1050">
        <f t="shared" si="80"/>
        <v>55</v>
      </c>
      <c r="F1050" s="22">
        <f>'2050WL_W'!$J12</f>
        <v>6.7942317960145479E-2</v>
      </c>
      <c r="G1050" s="22" t="s">
        <v>33</v>
      </c>
      <c r="H1050" s="22">
        <f>'2050WL_W'!$J12</f>
        <v>6.7942317960145479E-2</v>
      </c>
      <c r="I1050" t="str">
        <f t="shared" si="78"/>
        <v>WL2050;winter;48;55;6.79423179601455E-02;TRUE;6.79423179601455E-02</v>
      </c>
    </row>
    <row r="1051" spans="1:9" x14ac:dyDescent="0.25">
      <c r="A1051">
        <f t="shared" si="77"/>
        <v>91.3125</v>
      </c>
      <c r="B1051" t="s">
        <v>21</v>
      </c>
      <c r="C1051" t="s">
        <v>7</v>
      </c>
      <c r="D1051">
        <v>48</v>
      </c>
      <c r="E1051">
        <f t="shared" si="80"/>
        <v>60</v>
      </c>
      <c r="F1051" s="22">
        <f>'2050WL_W'!$J13</f>
        <v>3.9874647839281074E-2</v>
      </c>
      <c r="G1051" s="22" t="s">
        <v>33</v>
      </c>
      <c r="H1051" s="22">
        <f>'2050WL_W'!$J13</f>
        <v>3.9874647839281074E-2</v>
      </c>
      <c r="I1051" t="str">
        <f t="shared" si="78"/>
        <v>WL2050;winter;48;60;3.98746478392811E-02;TRUE;3.98746478392811E-02</v>
      </c>
    </row>
    <row r="1052" spans="1:9" x14ac:dyDescent="0.25">
      <c r="A1052">
        <f t="shared" si="77"/>
        <v>91.3125</v>
      </c>
      <c r="B1052" t="s">
        <v>21</v>
      </c>
      <c r="C1052" t="s">
        <v>7</v>
      </c>
      <c r="D1052">
        <v>48</v>
      </c>
      <c r="E1052">
        <f t="shared" si="80"/>
        <v>65</v>
      </c>
      <c r="F1052" s="22">
        <f>'2050WL_W'!$J14</f>
        <v>2.3747757485315872E-2</v>
      </c>
      <c r="G1052" s="22" t="s">
        <v>33</v>
      </c>
      <c r="H1052" s="22">
        <f>'2050WL_W'!$J14</f>
        <v>2.3747757485315872E-2</v>
      </c>
      <c r="I1052" t="str">
        <f t="shared" si="78"/>
        <v>WL2050;winter;48;65;2.37477574853159E-02;TRUE;2.37477574853159E-02</v>
      </c>
    </row>
    <row r="1053" spans="1:9" x14ac:dyDescent="0.25">
      <c r="A1053">
        <f t="shared" si="77"/>
        <v>91.3125</v>
      </c>
      <c r="B1053" t="s">
        <v>21</v>
      </c>
      <c r="C1053" t="s">
        <v>7</v>
      </c>
      <c r="D1053">
        <v>48</v>
      </c>
      <c r="E1053">
        <f t="shared" si="80"/>
        <v>70</v>
      </c>
      <c r="F1053" s="22">
        <f>'2050WL_W'!$J15</f>
        <v>1.4340886945932586E-2</v>
      </c>
      <c r="G1053" s="22" t="s">
        <v>33</v>
      </c>
      <c r="H1053" s="22">
        <f>'2050WL_W'!$J15</f>
        <v>1.4340886945932586E-2</v>
      </c>
      <c r="I1053" t="str">
        <f t="shared" si="78"/>
        <v>WL2050;winter;48;70;1.43408869459326E-02;TRUE;1.43408869459326E-02</v>
      </c>
    </row>
    <row r="1054" spans="1:9" x14ac:dyDescent="0.25">
      <c r="A1054">
        <f t="shared" si="77"/>
        <v>91.3125</v>
      </c>
      <c r="B1054" t="s">
        <v>21</v>
      </c>
      <c r="C1054" t="s">
        <v>7</v>
      </c>
      <c r="D1054">
        <v>48</v>
      </c>
      <c r="E1054">
        <f t="shared" si="80"/>
        <v>75</v>
      </c>
      <c r="F1054" s="22">
        <f>'2050WL_W'!$J16</f>
        <v>8.7749023199777034E-3</v>
      </c>
      <c r="G1054" s="22" t="s">
        <v>33</v>
      </c>
      <c r="H1054" s="22">
        <f>'2050WL_W'!$J16</f>
        <v>8.7749023199777034E-3</v>
      </c>
      <c r="I1054" t="str">
        <f t="shared" si="78"/>
        <v>WL2050;winter;48;75;8.7749023199777E-03;TRUE;8.7749023199777E-03</v>
      </c>
    </row>
    <row r="1055" spans="1:9" x14ac:dyDescent="0.25">
      <c r="A1055">
        <f t="shared" si="77"/>
        <v>91.3125</v>
      </c>
      <c r="B1055" t="s">
        <v>21</v>
      </c>
      <c r="C1055" t="s">
        <v>7</v>
      </c>
      <c r="D1055">
        <v>48</v>
      </c>
      <c r="E1055">
        <f t="shared" si="80"/>
        <v>80</v>
      </c>
      <c r="F1055" s="22">
        <f>'2050WL_W'!$J17</f>
        <v>5.4366416520897319E-3</v>
      </c>
      <c r="G1055" s="22" t="s">
        <v>33</v>
      </c>
      <c r="H1055" s="22">
        <f>'2050WL_W'!$J17</f>
        <v>5.4366416520897319E-3</v>
      </c>
      <c r="I1055" t="str">
        <f t="shared" si="78"/>
        <v>WL2050;winter;48;80;5.43664165208973E-03;TRUE;5.43664165208973E-03</v>
      </c>
    </row>
    <row r="1056" spans="1:9" x14ac:dyDescent="0.25">
      <c r="A1056">
        <f t="shared" si="77"/>
        <v>91.3125</v>
      </c>
      <c r="B1056" t="s">
        <v>21</v>
      </c>
      <c r="C1056" t="s">
        <v>7</v>
      </c>
      <c r="D1056">
        <v>48</v>
      </c>
      <c r="E1056">
        <f t="shared" si="80"/>
        <v>85</v>
      </c>
      <c r="F1056" s="22">
        <f>'2050WL_W'!$J18</f>
        <v>3.408569834215832E-3</v>
      </c>
      <c r="G1056" s="22" t="s">
        <v>33</v>
      </c>
      <c r="H1056" s="22">
        <f>'2050WL_W'!$J18</f>
        <v>3.408569834215832E-3</v>
      </c>
      <c r="I1056" t="str">
        <f t="shared" si="78"/>
        <v>WL2050;winter;48;85;3.40856983421583E-03;TRUE;3.40856983421583E-03</v>
      </c>
    </row>
    <row r="1057" spans="1:9" x14ac:dyDescent="0.25">
      <c r="A1057">
        <f t="shared" si="77"/>
        <v>91.3125</v>
      </c>
      <c r="B1057" t="s">
        <v>21</v>
      </c>
      <c r="C1057" t="s">
        <v>7</v>
      </c>
      <c r="D1057">
        <v>48</v>
      </c>
      <c r="E1057">
        <f t="shared" si="80"/>
        <v>90</v>
      </c>
      <c r="F1057" s="22">
        <f>'2050WL_W'!$J19</f>
        <v>2.1613109277114628E-3</v>
      </c>
      <c r="G1057" s="22" t="s">
        <v>33</v>
      </c>
      <c r="H1057" s="22">
        <f>'2050WL_W'!$J19</f>
        <v>2.1613109277114628E-3</v>
      </c>
      <c r="I1057" t="str">
        <f t="shared" si="78"/>
        <v>WL2050;winter;48;90;2.16131092771146E-03;TRUE;2.16131092771146E-03</v>
      </c>
    </row>
    <row r="1058" spans="1:9" x14ac:dyDescent="0.25">
      <c r="A1058">
        <f t="shared" si="77"/>
        <v>91.3125</v>
      </c>
      <c r="B1058" t="s">
        <v>21</v>
      </c>
      <c r="C1058" t="s">
        <v>7</v>
      </c>
      <c r="D1058">
        <v>48</v>
      </c>
      <c r="E1058">
        <f t="shared" si="80"/>
        <v>95</v>
      </c>
      <c r="F1058" s="22">
        <f>'2050WL_W'!$J20</f>
        <v>1.3852688577986145E-3</v>
      </c>
      <c r="G1058" s="22" t="s">
        <v>33</v>
      </c>
      <c r="H1058" s="22">
        <f>'2050WL_W'!$J20</f>
        <v>1.3852688577986145E-3</v>
      </c>
      <c r="I1058" t="str">
        <f t="shared" si="78"/>
        <v>WL2050;winter;48;95;1.38526885779861E-03;TRUE;1.38526885779861E-03</v>
      </c>
    </row>
    <row r="1059" spans="1:9" x14ac:dyDescent="0.25">
      <c r="A1059">
        <f t="shared" si="77"/>
        <v>91.3125</v>
      </c>
      <c r="B1059" t="s">
        <v>21</v>
      </c>
      <c r="C1059" t="s">
        <v>7</v>
      </c>
      <c r="D1059">
        <v>48</v>
      </c>
      <c r="E1059">
        <f t="shared" si="80"/>
        <v>100</v>
      </c>
      <c r="F1059" s="22">
        <f>'2050WL_W'!$J21</f>
        <v>8.9702993324087426E-4</v>
      </c>
      <c r="G1059" s="22" t="s">
        <v>33</v>
      </c>
      <c r="H1059" s="22">
        <f>'2050WL_W'!$J21</f>
        <v>8.9702993324087426E-4</v>
      </c>
      <c r="I1059" t="str">
        <f t="shared" si="78"/>
        <v>WL2050;winter;48;100;8.97029933240874E-04;TRUE;8.97029933240874E-04</v>
      </c>
    </row>
    <row r="1060" spans="1:9" x14ac:dyDescent="0.25">
      <c r="A1060">
        <f t="shared" si="77"/>
        <v>91.3125</v>
      </c>
      <c r="B1060" t="s">
        <v>21</v>
      </c>
      <c r="C1060" t="s">
        <v>7</v>
      </c>
      <c r="D1060">
        <v>48</v>
      </c>
      <c r="E1060">
        <f t="shared" si="80"/>
        <v>105</v>
      </c>
      <c r="F1060" s="22">
        <f>'2050WL_W'!$J22</f>
        <v>1.7886338806887131E-3</v>
      </c>
      <c r="G1060" s="22" t="s">
        <v>33</v>
      </c>
      <c r="H1060" s="22">
        <f>'2050WL_W'!$J22</f>
        <v>1.7886338806887131E-3</v>
      </c>
      <c r="I1060" t="str">
        <f t="shared" si="78"/>
        <v>WL2050;winter;48;105;1.78863388068871E-03;TRUE;1.78863388068871E-03</v>
      </c>
    </row>
    <row r="1061" spans="1:9" x14ac:dyDescent="0.25">
      <c r="A1061">
        <f t="shared" si="77"/>
        <v>45.65625</v>
      </c>
      <c r="B1061" t="s">
        <v>21</v>
      </c>
      <c r="C1061" t="s">
        <v>7</v>
      </c>
      <c r="D1061">
        <v>96</v>
      </c>
      <c r="E1061">
        <v>20</v>
      </c>
      <c r="F1061" s="22">
        <f>'2050WL_W'!$N5</f>
        <v>81.221932037841853</v>
      </c>
      <c r="G1061" s="22" t="s">
        <v>33</v>
      </c>
      <c r="H1061" s="22">
        <f>'2050WL_W'!$N5</f>
        <v>81.221932037841853</v>
      </c>
      <c r="I1061" t="str">
        <f t="shared" si="78"/>
        <v>WL2050;winter;96;20;81.2219320378419;TRUE;81.2219320378419</v>
      </c>
    </row>
    <row r="1062" spans="1:9" x14ac:dyDescent="0.25">
      <c r="A1062">
        <f t="shared" si="77"/>
        <v>45.65625</v>
      </c>
      <c r="B1062" t="s">
        <v>21</v>
      </c>
      <c r="C1062" t="s">
        <v>7</v>
      </c>
      <c r="D1062">
        <v>96</v>
      </c>
      <c r="E1062">
        <f>E1061+5</f>
        <v>25</v>
      </c>
      <c r="F1062" s="22">
        <f>'2050WL_W'!$N6</f>
        <v>3.5988074466493334</v>
      </c>
      <c r="G1062" s="22" t="s">
        <v>33</v>
      </c>
      <c r="H1062" s="22">
        <f>'2050WL_W'!$N6</f>
        <v>3.5988074466493334</v>
      </c>
      <c r="I1062" t="str">
        <f t="shared" si="78"/>
        <v>WL2050;winter;96;25;3.59880744664933;TRUE;3.59880744664933</v>
      </c>
    </row>
    <row r="1063" spans="1:9" x14ac:dyDescent="0.25">
      <c r="A1063">
        <f t="shared" si="77"/>
        <v>45.65625</v>
      </c>
      <c r="B1063" t="s">
        <v>21</v>
      </c>
      <c r="C1063" t="s">
        <v>7</v>
      </c>
      <c r="D1063">
        <v>96</v>
      </c>
      <c r="E1063">
        <f t="shared" ref="E1063:E1081" si="81">E1062+5</f>
        <v>30</v>
      </c>
      <c r="F1063" s="22">
        <f>'2050WL_W'!$N7</f>
        <v>2.29754973720385</v>
      </c>
      <c r="G1063" s="22" t="s">
        <v>33</v>
      </c>
      <c r="H1063" s="22">
        <f>'2050WL_W'!$N7</f>
        <v>2.29754973720385</v>
      </c>
      <c r="I1063" t="str">
        <f t="shared" si="78"/>
        <v>WL2050;winter;96;30;2.29754973720385;TRUE;2.29754973720385</v>
      </c>
    </row>
    <row r="1064" spans="1:9" x14ac:dyDescent="0.25">
      <c r="A1064">
        <f t="shared" si="77"/>
        <v>45.65625</v>
      </c>
      <c r="B1064" t="s">
        <v>21</v>
      </c>
      <c r="C1064" t="s">
        <v>7</v>
      </c>
      <c r="D1064">
        <v>96</v>
      </c>
      <c r="E1064">
        <f t="shared" si="81"/>
        <v>35</v>
      </c>
      <c r="F1064" s="22">
        <f>'2050WL_W'!$N8</f>
        <v>1.4731148588404568</v>
      </c>
      <c r="G1064" s="22" t="s">
        <v>33</v>
      </c>
      <c r="H1064" s="22">
        <f>'2050WL_W'!$N8</f>
        <v>1.4731148588404568</v>
      </c>
      <c r="I1064" t="str">
        <f t="shared" si="78"/>
        <v>WL2050;winter;96;35;1.47311485884046;TRUE;1.47311485884046</v>
      </c>
    </row>
    <row r="1065" spans="1:9" x14ac:dyDescent="0.25">
      <c r="A1065">
        <f t="shared" si="77"/>
        <v>45.65625</v>
      </c>
      <c r="B1065" t="s">
        <v>21</v>
      </c>
      <c r="C1065" t="s">
        <v>7</v>
      </c>
      <c r="D1065">
        <v>96</v>
      </c>
      <c r="E1065">
        <f t="shared" si="81"/>
        <v>40</v>
      </c>
      <c r="F1065" s="22">
        <f>'2050WL_W'!$N9</f>
        <v>0.94850209306026456</v>
      </c>
      <c r="G1065" s="22" t="s">
        <v>33</v>
      </c>
      <c r="H1065" s="22">
        <f>'2050WL_W'!$N9</f>
        <v>0.94850209306026456</v>
      </c>
      <c r="I1065" t="str">
        <f t="shared" si="78"/>
        <v>WL2050;winter;96;40;0.948502093060265;TRUE;0.948502093060265</v>
      </c>
    </row>
    <row r="1066" spans="1:9" x14ac:dyDescent="0.25">
      <c r="A1066">
        <f t="shared" si="77"/>
        <v>45.65625</v>
      </c>
      <c r="B1066" t="s">
        <v>21</v>
      </c>
      <c r="C1066" t="s">
        <v>7</v>
      </c>
      <c r="D1066">
        <v>96</v>
      </c>
      <c r="E1066">
        <f t="shared" si="81"/>
        <v>45</v>
      </c>
      <c r="F1066" s="22">
        <f>'2050WL_W'!$N10</f>
        <v>0.6132472193297176</v>
      </c>
      <c r="G1066" s="22" t="s">
        <v>33</v>
      </c>
      <c r="H1066" s="22">
        <f>'2050WL_W'!$N10</f>
        <v>0.6132472193297176</v>
      </c>
      <c r="I1066" t="str">
        <f t="shared" si="78"/>
        <v>WL2050;winter;96;45;0.613247219329718;TRUE;0.613247219329718</v>
      </c>
    </row>
    <row r="1067" spans="1:9" x14ac:dyDescent="0.25">
      <c r="A1067">
        <f t="shared" si="77"/>
        <v>45.65625</v>
      </c>
      <c r="B1067" t="s">
        <v>21</v>
      </c>
      <c r="C1067" t="s">
        <v>7</v>
      </c>
      <c r="D1067">
        <v>96</v>
      </c>
      <c r="E1067">
        <f t="shared" si="81"/>
        <v>50</v>
      </c>
      <c r="F1067" s="22">
        <f>'2050WL_W'!$N11</f>
        <v>0.39810264975520415</v>
      </c>
      <c r="G1067" s="22" t="s">
        <v>33</v>
      </c>
      <c r="H1067" s="22">
        <f>'2050WL_W'!$N11</f>
        <v>0.39810264975520415</v>
      </c>
      <c r="I1067" t="str">
        <f t="shared" si="78"/>
        <v>WL2050;winter;96;50;0.398102649755204;TRUE;0.398102649755204</v>
      </c>
    </row>
    <row r="1068" spans="1:9" x14ac:dyDescent="0.25">
      <c r="A1068">
        <f t="shared" si="77"/>
        <v>45.65625</v>
      </c>
      <c r="B1068" t="s">
        <v>21</v>
      </c>
      <c r="C1068" t="s">
        <v>7</v>
      </c>
      <c r="D1068">
        <v>96</v>
      </c>
      <c r="E1068">
        <f t="shared" si="81"/>
        <v>55</v>
      </c>
      <c r="F1068" s="22">
        <f>'2050WL_W'!$N12</f>
        <v>0.25946825808975138</v>
      </c>
      <c r="G1068" s="22" t="s">
        <v>33</v>
      </c>
      <c r="H1068" s="22">
        <f>'2050WL_W'!$N12</f>
        <v>0.25946825808975138</v>
      </c>
      <c r="I1068" t="str">
        <f t="shared" si="78"/>
        <v>WL2050;winter;96;55;0.259468258089751;TRUE;0.259468258089751</v>
      </c>
    </row>
    <row r="1069" spans="1:9" x14ac:dyDescent="0.25">
      <c r="A1069">
        <f t="shared" si="77"/>
        <v>45.65625</v>
      </c>
      <c r="B1069" t="s">
        <v>21</v>
      </c>
      <c r="C1069" t="s">
        <v>7</v>
      </c>
      <c r="D1069">
        <v>96</v>
      </c>
      <c r="E1069">
        <f t="shared" si="81"/>
        <v>60</v>
      </c>
      <c r="F1069" s="22">
        <f>'2050WL_W'!$N13</f>
        <v>0.16977411829604239</v>
      </c>
      <c r="G1069" s="22" t="s">
        <v>33</v>
      </c>
      <c r="H1069" s="22">
        <f>'2050WL_W'!$N13</f>
        <v>0.16977411829604239</v>
      </c>
      <c r="I1069" t="str">
        <f t="shared" si="78"/>
        <v>WL2050;winter;96;60;0.169774118296042;TRUE;0.169774118296042</v>
      </c>
    </row>
    <row r="1070" spans="1:9" x14ac:dyDescent="0.25">
      <c r="A1070">
        <f t="shared" si="77"/>
        <v>45.65625</v>
      </c>
      <c r="B1070" t="s">
        <v>21</v>
      </c>
      <c r="C1070" t="s">
        <v>7</v>
      </c>
      <c r="D1070">
        <v>96</v>
      </c>
      <c r="E1070">
        <f t="shared" si="81"/>
        <v>65</v>
      </c>
      <c r="F1070" s="22">
        <f>'2050WL_W'!$N14</f>
        <v>0.11151314422712844</v>
      </c>
      <c r="G1070" s="22" t="s">
        <v>33</v>
      </c>
      <c r="H1070" s="22">
        <f>'2050WL_W'!$N14</f>
        <v>0.11151314422712844</v>
      </c>
      <c r="I1070" t="str">
        <f t="shared" si="78"/>
        <v>WL2050;winter;96;65;0.111513144227128;TRUE;0.111513144227128</v>
      </c>
    </row>
    <row r="1071" spans="1:9" x14ac:dyDescent="0.25">
      <c r="A1071">
        <f t="shared" si="77"/>
        <v>45.65625</v>
      </c>
      <c r="B1071" t="s">
        <v>21</v>
      </c>
      <c r="C1071" t="s">
        <v>7</v>
      </c>
      <c r="D1071">
        <v>96</v>
      </c>
      <c r="E1071">
        <f t="shared" si="81"/>
        <v>70</v>
      </c>
      <c r="F1071" s="22">
        <f>'2050WL_W'!$N15</f>
        <v>7.3522124526475247E-2</v>
      </c>
      <c r="G1071" s="22" t="s">
        <v>33</v>
      </c>
      <c r="H1071" s="22">
        <f>'2050WL_W'!$N15</f>
        <v>7.3522124526475247E-2</v>
      </c>
      <c r="I1071" t="str">
        <f t="shared" si="78"/>
        <v>WL2050;winter;96;70;7.35221245264752E-02;TRUE;7.35221245264752E-02</v>
      </c>
    </row>
    <row r="1072" spans="1:9" x14ac:dyDescent="0.25">
      <c r="A1072">
        <f t="shared" si="77"/>
        <v>45.65625</v>
      </c>
      <c r="B1072" t="s">
        <v>21</v>
      </c>
      <c r="C1072" t="s">
        <v>7</v>
      </c>
      <c r="D1072">
        <v>96</v>
      </c>
      <c r="E1072">
        <f t="shared" si="81"/>
        <v>75</v>
      </c>
      <c r="F1072" s="22">
        <f>'2050WL_W'!$N16</f>
        <v>4.865397428520335E-2</v>
      </c>
      <c r="G1072" s="22" t="s">
        <v>33</v>
      </c>
      <c r="H1072" s="22">
        <f>'2050WL_W'!$N16</f>
        <v>4.865397428520335E-2</v>
      </c>
      <c r="I1072" t="str">
        <f t="shared" si="78"/>
        <v>WL2050;winter;96;75;4.86539742852033E-02;TRUE;4.86539742852033E-02</v>
      </c>
    </row>
    <row r="1073" spans="1:9" x14ac:dyDescent="0.25">
      <c r="A1073">
        <f t="shared" si="77"/>
        <v>45.65625</v>
      </c>
      <c r="B1073" t="s">
        <v>21</v>
      </c>
      <c r="C1073" t="s">
        <v>7</v>
      </c>
      <c r="D1073">
        <v>96</v>
      </c>
      <c r="E1073">
        <f t="shared" si="81"/>
        <v>80</v>
      </c>
      <c r="F1073" s="22">
        <f>'2050WL_W'!$N17</f>
        <v>3.2314580953613836E-2</v>
      </c>
      <c r="G1073" s="22" t="s">
        <v>33</v>
      </c>
      <c r="H1073" s="22">
        <f>'2050WL_W'!$N17</f>
        <v>3.2314580953613836E-2</v>
      </c>
      <c r="I1073" t="str">
        <f t="shared" si="78"/>
        <v>WL2050;winter;96;80;3.23145809536138E-02;TRUE;3.23145809536138E-02</v>
      </c>
    </row>
    <row r="1074" spans="1:9" x14ac:dyDescent="0.25">
      <c r="A1074">
        <f t="shared" si="77"/>
        <v>45.65625</v>
      </c>
      <c r="B1074" t="s">
        <v>21</v>
      </c>
      <c r="C1074" t="s">
        <v>7</v>
      </c>
      <c r="D1074">
        <v>96</v>
      </c>
      <c r="E1074">
        <f t="shared" si="81"/>
        <v>85</v>
      </c>
      <c r="F1074" s="22">
        <f>'2050WL_W'!$N18</f>
        <v>2.1539273995741362E-2</v>
      </c>
      <c r="G1074" s="22" t="s">
        <v>33</v>
      </c>
      <c r="H1074" s="22">
        <f>'2050WL_W'!$N18</f>
        <v>2.1539273995741362E-2</v>
      </c>
      <c r="I1074" t="str">
        <f t="shared" si="78"/>
        <v>WL2050;winter;96;85;2.15392739957414E-02;TRUE;2.15392739957414E-02</v>
      </c>
    </row>
    <row r="1075" spans="1:9" x14ac:dyDescent="0.25">
      <c r="A1075">
        <f t="shared" si="77"/>
        <v>45.65625</v>
      </c>
      <c r="B1075" t="s">
        <v>21</v>
      </c>
      <c r="C1075" t="s">
        <v>7</v>
      </c>
      <c r="D1075">
        <v>96</v>
      </c>
      <c r="E1075">
        <f t="shared" si="81"/>
        <v>90</v>
      </c>
      <c r="F1075" s="22">
        <f>'2050WL_W'!$N19</f>
        <v>1.4407513230109012E-2</v>
      </c>
      <c r="G1075" s="22" t="s">
        <v>33</v>
      </c>
      <c r="H1075" s="22">
        <f>'2050WL_W'!$N19</f>
        <v>1.4407513230109012E-2</v>
      </c>
      <c r="I1075" t="str">
        <f t="shared" si="78"/>
        <v>WL2050;winter;96;90;0.014407513230109;TRUE;0.014407513230109</v>
      </c>
    </row>
    <row r="1076" spans="1:9" x14ac:dyDescent="0.25">
      <c r="A1076">
        <f t="shared" si="77"/>
        <v>45.65625</v>
      </c>
      <c r="B1076" t="s">
        <v>21</v>
      </c>
      <c r="C1076" t="s">
        <v>7</v>
      </c>
      <c r="D1076">
        <v>96</v>
      </c>
      <c r="E1076">
        <f t="shared" si="81"/>
        <v>95</v>
      </c>
      <c r="F1076" s="22">
        <f>'2050WL_W'!$N20</f>
        <v>9.6704398680485075E-3</v>
      </c>
      <c r="G1076" s="22" t="s">
        <v>33</v>
      </c>
      <c r="H1076" s="22">
        <f>'2050WL_W'!$N20</f>
        <v>9.6704398680485075E-3</v>
      </c>
      <c r="I1076" t="str">
        <f t="shared" si="78"/>
        <v>WL2050;winter;96;95;9.67043986804851E-03;TRUE;9.67043986804851E-03</v>
      </c>
    </row>
    <row r="1077" spans="1:9" x14ac:dyDescent="0.25">
      <c r="A1077">
        <f t="shared" si="77"/>
        <v>45.65625</v>
      </c>
      <c r="B1077" t="s">
        <v>21</v>
      </c>
      <c r="C1077" t="s">
        <v>7</v>
      </c>
      <c r="D1077">
        <v>96</v>
      </c>
      <c r="E1077">
        <f t="shared" si="81"/>
        <v>100</v>
      </c>
      <c r="F1077" s="22">
        <f>'2050WL_W'!$N21</f>
        <v>6.5129408961307426E-3</v>
      </c>
      <c r="G1077" s="22" t="s">
        <v>33</v>
      </c>
      <c r="H1077" s="22">
        <f>'2050WL_W'!$N21</f>
        <v>6.5129408961307426E-3</v>
      </c>
      <c r="I1077" t="str">
        <f t="shared" si="78"/>
        <v>WL2050;winter;96;100;6.51294089613074E-03;TRUE;6.51294089613074E-03</v>
      </c>
    </row>
    <row r="1078" spans="1:9" x14ac:dyDescent="0.25">
      <c r="A1078">
        <f t="shared" si="77"/>
        <v>45.65625</v>
      </c>
      <c r="B1078" t="s">
        <v>21</v>
      </c>
      <c r="C1078" t="s">
        <v>7</v>
      </c>
      <c r="D1078">
        <v>96</v>
      </c>
      <c r="E1078">
        <f t="shared" si="81"/>
        <v>105</v>
      </c>
      <c r="F1078" s="22">
        <f>'2050WL_W'!$N22</f>
        <v>4.4010557460647647E-3</v>
      </c>
      <c r="G1078" s="22" t="s">
        <v>33</v>
      </c>
      <c r="H1078" s="22">
        <f>'2050WL_W'!$N22</f>
        <v>4.4010557460647647E-3</v>
      </c>
      <c r="I1078" t="str">
        <f t="shared" si="78"/>
        <v>WL2050;winter;96;105;4.40105574606476E-03;TRUE;4.40105574606476E-03</v>
      </c>
    </row>
    <row r="1079" spans="1:9" x14ac:dyDescent="0.25">
      <c r="A1079">
        <f t="shared" si="77"/>
        <v>45.65625</v>
      </c>
      <c r="B1079" t="s">
        <v>21</v>
      </c>
      <c r="C1079" t="s">
        <v>7</v>
      </c>
      <c r="D1079">
        <v>96</v>
      </c>
      <c r="E1079">
        <f t="shared" si="81"/>
        <v>110</v>
      </c>
      <c r="F1079" s="22">
        <f>'2050WL_W'!$N23</f>
        <v>2.9837413245903891E-3</v>
      </c>
      <c r="G1079" s="22" t="s">
        <v>33</v>
      </c>
      <c r="H1079" s="22">
        <f>'2050WL_W'!$N23</f>
        <v>2.9837413245903891E-3</v>
      </c>
      <c r="I1079" t="str">
        <f t="shared" si="78"/>
        <v>WL2050;winter;96;110;2.98374132459039E-03;TRUE;2.98374132459039E-03</v>
      </c>
    </row>
    <row r="1080" spans="1:9" x14ac:dyDescent="0.25">
      <c r="A1080">
        <f t="shared" si="77"/>
        <v>45.65625</v>
      </c>
      <c r="B1080" t="s">
        <v>21</v>
      </c>
      <c r="C1080" t="s">
        <v>7</v>
      </c>
      <c r="D1080">
        <v>96</v>
      </c>
      <c r="E1080">
        <f t="shared" si="81"/>
        <v>115</v>
      </c>
      <c r="F1080" s="22">
        <f>'2050WL_W'!$N24</f>
        <v>2.0293940522601635E-3</v>
      </c>
      <c r="G1080" s="22" t="s">
        <v>33</v>
      </c>
      <c r="H1080" s="22">
        <f>'2050WL_W'!$N24</f>
        <v>2.0293940522601635E-3</v>
      </c>
      <c r="I1080" t="str">
        <f t="shared" si="78"/>
        <v>WL2050;winter;96;115;2.02939405226016E-03;TRUE;2.02939405226016E-03</v>
      </c>
    </row>
    <row r="1081" spans="1:9" x14ac:dyDescent="0.25">
      <c r="A1081">
        <f t="shared" si="77"/>
        <v>45.65625</v>
      </c>
      <c r="B1081" t="s">
        <v>21</v>
      </c>
      <c r="C1081" t="s">
        <v>7</v>
      </c>
      <c r="D1081">
        <v>96</v>
      </c>
      <c r="E1081">
        <f t="shared" si="81"/>
        <v>120</v>
      </c>
      <c r="F1081" s="22">
        <f>'2050WL_W'!$N25</f>
        <v>4.4533978281573565E-3</v>
      </c>
      <c r="G1081" s="22" t="s">
        <v>33</v>
      </c>
      <c r="H1081" s="22">
        <f>'2050WL_W'!$N25</f>
        <v>4.4533978281573565E-3</v>
      </c>
      <c r="I1081" t="str">
        <f t="shared" si="78"/>
        <v>WL2050;winter;96;120;4.45339782815736E-03;TRUE;4.45339782815736E-03</v>
      </c>
    </row>
    <row r="1082" spans="1:9" x14ac:dyDescent="0.25">
      <c r="A1082">
        <f t="shared" si="77"/>
        <v>22.828125</v>
      </c>
      <c r="B1082" t="s">
        <v>21</v>
      </c>
      <c r="C1082" t="s">
        <v>7</v>
      </c>
      <c r="D1082">
        <v>192</v>
      </c>
      <c r="E1082">
        <v>25</v>
      </c>
      <c r="F1082" s="22">
        <f>'2050WL_W'!$R6</f>
        <v>35.216232190213347</v>
      </c>
      <c r="G1082" s="22" t="s">
        <v>33</v>
      </c>
      <c r="H1082" s="22">
        <f>'2050WL_W'!$R6</f>
        <v>35.216232190213347</v>
      </c>
      <c r="I1082" t="str">
        <f t="shared" si="78"/>
        <v>WL2050;winter;192;25;35.2162321902133;TRUE;35.2162321902133</v>
      </c>
    </row>
    <row r="1083" spans="1:9" x14ac:dyDescent="0.25">
      <c r="A1083">
        <f t="shared" si="77"/>
        <v>22.828125</v>
      </c>
      <c r="B1083" t="s">
        <v>21</v>
      </c>
      <c r="C1083" t="s">
        <v>7</v>
      </c>
      <c r="D1083">
        <v>192</v>
      </c>
      <c r="E1083">
        <f>E1082+5</f>
        <v>30</v>
      </c>
      <c r="F1083" s="22">
        <f>'2050WL_W'!$R7</f>
        <v>2.5078302245225217</v>
      </c>
      <c r="G1083" s="22" t="s">
        <v>33</v>
      </c>
      <c r="H1083" s="22">
        <f>'2050WL_W'!$R7</f>
        <v>2.5078302245225217</v>
      </c>
      <c r="I1083" t="str">
        <f t="shared" si="78"/>
        <v>WL2050;winter;192;30;2.50783022452252;TRUE;2.50783022452252</v>
      </c>
    </row>
    <row r="1084" spans="1:9" x14ac:dyDescent="0.25">
      <c r="A1084">
        <f t="shared" si="77"/>
        <v>22.828125</v>
      </c>
      <c r="B1084" t="s">
        <v>21</v>
      </c>
      <c r="C1084" t="s">
        <v>7</v>
      </c>
      <c r="D1084">
        <v>192</v>
      </c>
      <c r="E1084">
        <f t="shared" ref="E1084:E1108" si="82">E1083+5</f>
        <v>35</v>
      </c>
      <c r="F1084" s="22">
        <f>'2050WL_W'!$R8</f>
        <v>1.9265696964863785</v>
      </c>
      <c r="G1084" s="22" t="s">
        <v>33</v>
      </c>
      <c r="H1084" s="22">
        <f>'2050WL_W'!$R8</f>
        <v>1.9265696964863785</v>
      </c>
      <c r="I1084" t="str">
        <f t="shared" si="78"/>
        <v>WL2050;winter;192;35;1.92656969648638;TRUE;1.92656969648638</v>
      </c>
    </row>
    <row r="1085" spans="1:9" x14ac:dyDescent="0.25">
      <c r="A1085">
        <f t="shared" si="77"/>
        <v>22.828125</v>
      </c>
      <c r="B1085" t="s">
        <v>21</v>
      </c>
      <c r="C1085" t="s">
        <v>7</v>
      </c>
      <c r="D1085">
        <v>192</v>
      </c>
      <c r="E1085">
        <f t="shared" si="82"/>
        <v>40</v>
      </c>
      <c r="F1085" s="22">
        <f>'2050WL_W'!$R9</f>
        <v>1.4750170088534196</v>
      </c>
      <c r="G1085" s="22" t="s">
        <v>33</v>
      </c>
      <c r="H1085" s="22">
        <f>'2050WL_W'!$R9</f>
        <v>1.4750170088534196</v>
      </c>
      <c r="I1085" t="str">
        <f t="shared" si="78"/>
        <v>WL2050;winter;192;40;1.47501700885342;TRUE;1.47501700885342</v>
      </c>
    </row>
    <row r="1086" spans="1:9" x14ac:dyDescent="0.25">
      <c r="A1086">
        <f t="shared" si="77"/>
        <v>22.828125</v>
      </c>
      <c r="B1086" t="s">
        <v>21</v>
      </c>
      <c r="C1086" t="s">
        <v>7</v>
      </c>
      <c r="D1086">
        <v>192</v>
      </c>
      <c r="E1086">
        <f t="shared" si="82"/>
        <v>45</v>
      </c>
      <c r="F1086" s="22">
        <f>'2050WL_W'!$R10</f>
        <v>1.1253732725194645</v>
      </c>
      <c r="G1086" s="22" t="s">
        <v>33</v>
      </c>
      <c r="H1086" s="22">
        <f>'2050WL_W'!$R10</f>
        <v>1.1253732725194645</v>
      </c>
      <c r="I1086" t="str">
        <f t="shared" si="78"/>
        <v>WL2050;winter;192;45;1.12537327251946;TRUE;1.12537327251946</v>
      </c>
    </row>
    <row r="1087" spans="1:9" x14ac:dyDescent="0.25">
      <c r="A1087">
        <f t="shared" si="77"/>
        <v>22.828125</v>
      </c>
      <c r="B1087" t="s">
        <v>21</v>
      </c>
      <c r="C1087" t="s">
        <v>7</v>
      </c>
      <c r="D1087">
        <v>192</v>
      </c>
      <c r="E1087">
        <f t="shared" si="82"/>
        <v>50</v>
      </c>
      <c r="F1087" s="22">
        <f>'2050WL_W'!$R11</f>
        <v>0.85554618689400685</v>
      </c>
      <c r="G1087" s="22" t="s">
        <v>33</v>
      </c>
      <c r="H1087" s="22">
        <f>'2050WL_W'!$R11</f>
        <v>0.85554618689400685</v>
      </c>
      <c r="I1087" t="str">
        <f t="shared" si="78"/>
        <v>WL2050;winter;192;50;0.855546186894007;TRUE;0.855546186894007</v>
      </c>
    </row>
    <row r="1088" spans="1:9" x14ac:dyDescent="0.25">
      <c r="A1088">
        <f t="shared" si="77"/>
        <v>22.828125</v>
      </c>
      <c r="B1088" t="s">
        <v>21</v>
      </c>
      <c r="C1088" t="s">
        <v>7</v>
      </c>
      <c r="D1088">
        <v>192</v>
      </c>
      <c r="E1088">
        <f t="shared" si="82"/>
        <v>55</v>
      </c>
      <c r="F1088" s="22">
        <f>'2050WL_W'!$R12</f>
        <v>0.64803139214645067</v>
      </c>
      <c r="G1088" s="22" t="s">
        <v>33</v>
      </c>
      <c r="H1088" s="22">
        <f>'2050WL_W'!$R12</f>
        <v>0.64803139214645067</v>
      </c>
      <c r="I1088" t="str">
        <f t="shared" si="78"/>
        <v>WL2050;winter;192;55;0.648031392146451;TRUE;0.648031392146451</v>
      </c>
    </row>
    <row r="1089" spans="1:9" x14ac:dyDescent="0.25">
      <c r="A1089">
        <f t="shared" si="77"/>
        <v>22.828125</v>
      </c>
      <c r="B1089" t="s">
        <v>21</v>
      </c>
      <c r="C1089" t="s">
        <v>7</v>
      </c>
      <c r="D1089">
        <v>192</v>
      </c>
      <c r="E1089">
        <f t="shared" si="82"/>
        <v>60</v>
      </c>
      <c r="F1089" s="22">
        <f>'2050WL_W'!$R13</f>
        <v>0.48900250526072231</v>
      </c>
      <c r="G1089" s="22" t="s">
        <v>33</v>
      </c>
      <c r="H1089" s="22">
        <f>'2050WL_W'!$R13</f>
        <v>0.48900250526072231</v>
      </c>
      <c r="I1089" t="str">
        <f t="shared" si="78"/>
        <v>WL2050;winter;192;60;0.489002505260722;TRUE;0.489002505260722</v>
      </c>
    </row>
    <row r="1090" spans="1:9" x14ac:dyDescent="0.25">
      <c r="A1090">
        <f t="shared" ref="A1090:A1153" si="83">IF(C1090="zomer",24/D1090*365.25 * 6/12,24/D1090*365.25 * 6/12)</f>
        <v>22.828125</v>
      </c>
      <c r="B1090" t="s">
        <v>21</v>
      </c>
      <c r="C1090" t="s">
        <v>7</v>
      </c>
      <c r="D1090">
        <v>192</v>
      </c>
      <c r="E1090">
        <f t="shared" si="82"/>
        <v>65</v>
      </c>
      <c r="F1090" s="22">
        <f>'2050WL_W'!$R14</f>
        <v>0.36757293608139774</v>
      </c>
      <c r="G1090" s="22" t="s">
        <v>33</v>
      </c>
      <c r="H1090" s="22">
        <f>'2050WL_W'!$R14</f>
        <v>0.36757293608139774</v>
      </c>
      <c r="I1090" t="str">
        <f t="shared" ref="I1090:I1153" si="84">CONCATENATEWITHDELIMITER(B1090:H1090,";")</f>
        <v>WL2050;winter;192;65;0.367572936081398;TRUE;0.367572936081398</v>
      </c>
    </row>
    <row r="1091" spans="1:9" x14ac:dyDescent="0.25">
      <c r="A1091">
        <f t="shared" si="83"/>
        <v>22.828125</v>
      </c>
      <c r="B1091" t="s">
        <v>21</v>
      </c>
      <c r="C1091" t="s">
        <v>7</v>
      </c>
      <c r="D1091">
        <v>192</v>
      </c>
      <c r="E1091">
        <f t="shared" si="82"/>
        <v>70</v>
      </c>
      <c r="F1091" s="22">
        <f>'2050WL_W'!$R15</f>
        <v>0.27519873844756348</v>
      </c>
      <c r="G1091" s="22" t="s">
        <v>33</v>
      </c>
      <c r="H1091" s="22">
        <f>'2050WL_W'!$R15</f>
        <v>0.27519873844756348</v>
      </c>
      <c r="I1091" t="str">
        <f t="shared" si="84"/>
        <v>WL2050;winter;192;70;0.275198738447563;TRUE;0.275198738447563</v>
      </c>
    </row>
    <row r="1092" spans="1:9" x14ac:dyDescent="0.25">
      <c r="A1092">
        <f t="shared" si="83"/>
        <v>22.828125</v>
      </c>
      <c r="B1092" t="s">
        <v>21</v>
      </c>
      <c r="C1092" t="s">
        <v>7</v>
      </c>
      <c r="D1092">
        <v>192</v>
      </c>
      <c r="E1092">
        <f t="shared" si="82"/>
        <v>75</v>
      </c>
      <c r="F1092" s="22">
        <f>'2050WL_W'!$R16</f>
        <v>0.20519694537669964</v>
      </c>
      <c r="G1092" s="22" t="s">
        <v>33</v>
      </c>
      <c r="H1092" s="22">
        <f>'2050WL_W'!$R16</f>
        <v>0.20519694537669964</v>
      </c>
      <c r="I1092" t="str">
        <f t="shared" si="84"/>
        <v>WL2050;winter;192;75;0.2051969453767;TRUE;0.2051969453767</v>
      </c>
    </row>
    <row r="1093" spans="1:9" x14ac:dyDescent="0.25">
      <c r="A1093">
        <f t="shared" si="83"/>
        <v>22.828125</v>
      </c>
      <c r="B1093" t="s">
        <v>21</v>
      </c>
      <c r="C1093" t="s">
        <v>7</v>
      </c>
      <c r="D1093">
        <v>192</v>
      </c>
      <c r="E1093">
        <f t="shared" si="82"/>
        <v>80</v>
      </c>
      <c r="F1093" s="22">
        <f>'2050WL_W'!$R17</f>
        <v>0.15235820719897142</v>
      </c>
      <c r="G1093" s="22" t="s">
        <v>33</v>
      </c>
      <c r="H1093" s="22">
        <f>'2050WL_W'!$R17</f>
        <v>0.15235820719897142</v>
      </c>
      <c r="I1093" t="str">
        <f t="shared" si="84"/>
        <v>WL2050;winter;192;80;0.152358207198971;TRUE;0.152358207198971</v>
      </c>
    </row>
    <row r="1094" spans="1:9" x14ac:dyDescent="0.25">
      <c r="A1094">
        <f t="shared" si="83"/>
        <v>22.828125</v>
      </c>
      <c r="B1094" t="s">
        <v>21</v>
      </c>
      <c r="C1094" t="s">
        <v>7</v>
      </c>
      <c r="D1094">
        <v>192</v>
      </c>
      <c r="E1094">
        <f t="shared" si="82"/>
        <v>85</v>
      </c>
      <c r="F1094" s="22">
        <f>'2050WL_W'!$R18</f>
        <v>0.11263621955277714</v>
      </c>
      <c r="G1094" s="22" t="s">
        <v>33</v>
      </c>
      <c r="H1094" s="22">
        <f>'2050WL_W'!$R18</f>
        <v>0.11263621955277714</v>
      </c>
      <c r="I1094" t="str">
        <f t="shared" si="84"/>
        <v>WL2050;winter;192;85;0.112636219552777;TRUE;0.112636219552777</v>
      </c>
    </row>
    <row r="1095" spans="1:9" x14ac:dyDescent="0.25">
      <c r="A1095">
        <f t="shared" si="83"/>
        <v>22.828125</v>
      </c>
      <c r="B1095" t="s">
        <v>21</v>
      </c>
      <c r="C1095" t="s">
        <v>7</v>
      </c>
      <c r="D1095">
        <v>192</v>
      </c>
      <c r="E1095">
        <f t="shared" si="82"/>
        <v>90</v>
      </c>
      <c r="F1095" s="22">
        <f>'2050WL_W'!$R19</f>
        <v>8.2899499490501988E-2</v>
      </c>
      <c r="G1095" s="22" t="s">
        <v>33</v>
      </c>
      <c r="H1095" s="22">
        <f>'2050WL_W'!$R19</f>
        <v>8.2899499490501988E-2</v>
      </c>
      <c r="I1095" t="str">
        <f t="shared" si="84"/>
        <v>WL2050;winter;192;90;0.082899499490502;TRUE;0.082899499490502</v>
      </c>
    </row>
    <row r="1096" spans="1:9" x14ac:dyDescent="0.25">
      <c r="A1096">
        <f t="shared" si="83"/>
        <v>22.828125</v>
      </c>
      <c r="B1096" t="s">
        <v>21</v>
      </c>
      <c r="C1096" t="s">
        <v>7</v>
      </c>
      <c r="D1096">
        <v>192</v>
      </c>
      <c r="E1096">
        <f t="shared" si="82"/>
        <v>95</v>
      </c>
      <c r="F1096" s="22">
        <f>'2050WL_W'!$R20</f>
        <v>6.0733633236995016E-2</v>
      </c>
      <c r="G1096" s="22" t="s">
        <v>33</v>
      </c>
      <c r="H1096" s="22">
        <f>'2050WL_W'!$R20</f>
        <v>6.0733633236995016E-2</v>
      </c>
      <c r="I1096" t="str">
        <f t="shared" si="84"/>
        <v>WL2050;winter;192;95;0.060733633236995;TRUE;0.060733633236995</v>
      </c>
    </row>
    <row r="1097" spans="1:9" x14ac:dyDescent="0.25">
      <c r="A1097">
        <f t="shared" si="83"/>
        <v>22.828125</v>
      </c>
      <c r="B1097" t="s">
        <v>21</v>
      </c>
      <c r="C1097" t="s">
        <v>7</v>
      </c>
      <c r="D1097">
        <v>192</v>
      </c>
      <c r="E1097">
        <f t="shared" si="82"/>
        <v>100</v>
      </c>
      <c r="F1097" s="22">
        <f>'2050WL_W'!$R21</f>
        <v>4.4284256256184151E-2</v>
      </c>
      <c r="G1097" s="22" t="s">
        <v>33</v>
      </c>
      <c r="H1097" s="22">
        <f>'2050WL_W'!$R21</f>
        <v>4.4284256256184151E-2</v>
      </c>
      <c r="I1097" t="str">
        <f t="shared" si="84"/>
        <v>WL2050;winter;192;100;4.42842562561842E-02;TRUE;4.42842562561842E-02</v>
      </c>
    </row>
    <row r="1098" spans="1:9" x14ac:dyDescent="0.25">
      <c r="A1098">
        <f t="shared" si="83"/>
        <v>22.828125</v>
      </c>
      <c r="B1098" t="s">
        <v>21</v>
      </c>
      <c r="C1098" t="s">
        <v>7</v>
      </c>
      <c r="D1098">
        <v>192</v>
      </c>
      <c r="E1098">
        <f t="shared" si="82"/>
        <v>105</v>
      </c>
      <c r="F1098" s="22">
        <f>'2050WL_W'!$R22</f>
        <v>3.2132801969185013E-2</v>
      </c>
      <c r="G1098" s="22" t="s">
        <v>33</v>
      </c>
      <c r="H1098" s="22">
        <f>'2050WL_W'!$R22</f>
        <v>3.2132801969185013E-2</v>
      </c>
      <c r="I1098" t="str">
        <f t="shared" si="84"/>
        <v>WL2050;winter;192;105;0.032132801969185;TRUE;0.032132801969185</v>
      </c>
    </row>
    <row r="1099" spans="1:9" x14ac:dyDescent="0.25">
      <c r="A1099">
        <f t="shared" si="83"/>
        <v>22.828125</v>
      </c>
      <c r="B1099" t="s">
        <v>21</v>
      </c>
      <c r="C1099" t="s">
        <v>7</v>
      </c>
      <c r="D1099">
        <v>192</v>
      </c>
      <c r="E1099">
        <f t="shared" si="82"/>
        <v>110</v>
      </c>
      <c r="F1099" s="22">
        <f>'2050WL_W'!$R23</f>
        <v>2.3198526832727863E-2</v>
      </c>
      <c r="G1099" s="22" t="s">
        <v>33</v>
      </c>
      <c r="H1099" s="22">
        <f>'2050WL_W'!$R23</f>
        <v>2.3198526832727863E-2</v>
      </c>
      <c r="I1099" t="str">
        <f t="shared" si="84"/>
        <v>WL2050;winter;192;110;2.31985268327279E-02;TRUE;2.31985268327279E-02</v>
      </c>
    </row>
    <row r="1100" spans="1:9" x14ac:dyDescent="0.25">
      <c r="A1100">
        <f t="shared" si="83"/>
        <v>22.828125</v>
      </c>
      <c r="B1100" t="s">
        <v>21</v>
      </c>
      <c r="C1100" t="s">
        <v>7</v>
      </c>
      <c r="D1100">
        <v>192</v>
      </c>
      <c r="E1100">
        <f t="shared" si="82"/>
        <v>115</v>
      </c>
      <c r="F1100" s="22">
        <f>'2050WL_W'!$R24</f>
        <v>1.6661535263912459E-2</v>
      </c>
      <c r="G1100" s="22" t="s">
        <v>33</v>
      </c>
      <c r="H1100" s="22">
        <f>'2050WL_W'!$R24</f>
        <v>1.6661535263912459E-2</v>
      </c>
      <c r="I1100" t="str">
        <f t="shared" si="84"/>
        <v>WL2050;winter;192;115;1.66615352639125E-02;TRUE;1.66615352639125E-02</v>
      </c>
    </row>
    <row r="1101" spans="1:9" x14ac:dyDescent="0.25">
      <c r="A1101">
        <f t="shared" si="83"/>
        <v>22.828125</v>
      </c>
      <c r="B1101" t="s">
        <v>21</v>
      </c>
      <c r="C1101" t="s">
        <v>7</v>
      </c>
      <c r="D1101">
        <v>192</v>
      </c>
      <c r="E1101">
        <f t="shared" si="82"/>
        <v>120</v>
      </c>
      <c r="F1101" s="22">
        <f>'2050WL_W'!$R25</f>
        <v>1.1902529579306841E-2</v>
      </c>
      <c r="G1101" s="22" t="s">
        <v>33</v>
      </c>
      <c r="H1101" s="22">
        <f>'2050WL_W'!$R25</f>
        <v>1.1902529579306841E-2</v>
      </c>
      <c r="I1101" t="str">
        <f t="shared" si="84"/>
        <v>WL2050;winter;192;120;1.19025295793068E-02;TRUE;1.19025295793068E-02</v>
      </c>
    </row>
    <row r="1102" spans="1:9" x14ac:dyDescent="0.25">
      <c r="A1102">
        <f t="shared" si="83"/>
        <v>22.828125</v>
      </c>
      <c r="B1102" t="s">
        <v>21</v>
      </c>
      <c r="C1102" t="s">
        <v>7</v>
      </c>
      <c r="D1102">
        <v>192</v>
      </c>
      <c r="E1102">
        <f t="shared" si="82"/>
        <v>125</v>
      </c>
      <c r="F1102" s="22">
        <f>'2050WL_W'!$R26</f>
        <v>8.4558329453461555E-3</v>
      </c>
      <c r="G1102" s="22" t="s">
        <v>33</v>
      </c>
      <c r="H1102" s="22">
        <f>'2050WL_W'!$R26</f>
        <v>8.4558329453461555E-3</v>
      </c>
      <c r="I1102" t="str">
        <f t="shared" si="84"/>
        <v>WL2050;winter;192;125;8.45583294534616E-03;TRUE;8.45583294534616E-03</v>
      </c>
    </row>
    <row r="1103" spans="1:9" x14ac:dyDescent="0.25">
      <c r="A1103">
        <f t="shared" si="83"/>
        <v>22.828125</v>
      </c>
      <c r="B1103" t="s">
        <v>21</v>
      </c>
      <c r="C1103" t="s">
        <v>7</v>
      </c>
      <c r="D1103">
        <v>192</v>
      </c>
      <c r="E1103">
        <f t="shared" si="82"/>
        <v>130</v>
      </c>
      <c r="F1103" s="22">
        <f>'2050WL_W'!$R27</f>
        <v>5.9729071704583536E-3</v>
      </c>
      <c r="G1103" s="22" t="s">
        <v>33</v>
      </c>
      <c r="H1103" s="22">
        <f>'2050WL_W'!$R27</f>
        <v>5.9729071704583536E-3</v>
      </c>
      <c r="I1103" t="str">
        <f t="shared" si="84"/>
        <v>WL2050;winter;192;130;5.97290717045835E-03;TRUE;5.97290717045835E-03</v>
      </c>
    </row>
    <row r="1104" spans="1:9" x14ac:dyDescent="0.25">
      <c r="A1104">
        <f t="shared" si="83"/>
        <v>22.828125</v>
      </c>
      <c r="B1104" t="s">
        <v>21</v>
      </c>
      <c r="C1104" t="s">
        <v>7</v>
      </c>
      <c r="D1104">
        <v>192</v>
      </c>
      <c r="E1104">
        <f t="shared" si="82"/>
        <v>135</v>
      </c>
      <c r="F1104" s="22">
        <f>'2050WL_W'!$R28</f>
        <v>4.1941372375224693E-3</v>
      </c>
      <c r="G1104" s="22" t="s">
        <v>33</v>
      </c>
      <c r="H1104" s="22">
        <f>'2050WL_W'!$R28</f>
        <v>4.1941372375224693E-3</v>
      </c>
      <c r="I1104" t="str">
        <f t="shared" si="84"/>
        <v>WL2050;winter;192;135;4.19413723752247E-03;TRUE;4.19413723752247E-03</v>
      </c>
    </row>
    <row r="1105" spans="1:9" x14ac:dyDescent="0.25">
      <c r="A1105">
        <f t="shared" si="83"/>
        <v>22.828125</v>
      </c>
      <c r="B1105" t="s">
        <v>21</v>
      </c>
      <c r="C1105" t="s">
        <v>7</v>
      </c>
      <c r="D1105">
        <v>192</v>
      </c>
      <c r="E1105">
        <f t="shared" si="82"/>
        <v>140</v>
      </c>
      <c r="F1105" s="22">
        <f>'2050WL_W'!$R29</f>
        <v>2.9271020410961725E-3</v>
      </c>
      <c r="G1105" s="22" t="s">
        <v>33</v>
      </c>
      <c r="H1105" s="22">
        <f>'2050WL_W'!$R29</f>
        <v>2.9271020410961725E-3</v>
      </c>
      <c r="I1105" t="str">
        <f t="shared" si="84"/>
        <v>WL2050;winter;192;140;2.92710204109617E-03;TRUE;2.92710204109617E-03</v>
      </c>
    </row>
    <row r="1106" spans="1:9" x14ac:dyDescent="0.25">
      <c r="A1106">
        <f t="shared" si="83"/>
        <v>22.828125</v>
      </c>
      <c r="B1106" t="s">
        <v>21</v>
      </c>
      <c r="C1106" t="s">
        <v>7</v>
      </c>
      <c r="D1106">
        <v>192</v>
      </c>
      <c r="E1106">
        <f t="shared" si="82"/>
        <v>145</v>
      </c>
      <c r="F1106" s="22">
        <f>'2050WL_W'!$R30</f>
        <v>2.0299137274449068E-3</v>
      </c>
      <c r="G1106" s="22" t="s">
        <v>33</v>
      </c>
      <c r="H1106" s="22">
        <f>'2050WL_W'!$R30</f>
        <v>2.0299137274449068E-3</v>
      </c>
      <c r="I1106" t="str">
        <f t="shared" si="84"/>
        <v>WL2050;winter;192;145;2.02991372744491E-03;TRUE;2.02991372744491E-03</v>
      </c>
    </row>
    <row r="1107" spans="1:9" x14ac:dyDescent="0.25">
      <c r="A1107">
        <f t="shared" si="83"/>
        <v>22.828125</v>
      </c>
      <c r="B1107" t="s">
        <v>21</v>
      </c>
      <c r="C1107" t="s">
        <v>7</v>
      </c>
      <c r="D1107">
        <v>192</v>
      </c>
      <c r="E1107">
        <f t="shared" si="82"/>
        <v>150</v>
      </c>
      <c r="F1107" s="22">
        <f>'2050WL_W'!$R31</f>
        <v>1.3985013126139828E-3</v>
      </c>
      <c r="G1107" s="22" t="s">
        <v>33</v>
      </c>
      <c r="H1107" s="22">
        <f>'2050WL_W'!$R31</f>
        <v>1.3985013126139828E-3</v>
      </c>
      <c r="I1107" t="str">
        <f t="shared" si="84"/>
        <v>WL2050;winter;192;150;1.39850131261398E-03;TRUE;1.39850131261398E-03</v>
      </c>
    </row>
    <row r="1108" spans="1:9" x14ac:dyDescent="0.25">
      <c r="A1108">
        <f t="shared" si="83"/>
        <v>22.828125</v>
      </c>
      <c r="B1108" t="s">
        <v>21</v>
      </c>
      <c r="C1108" t="s">
        <v>7</v>
      </c>
      <c r="D1108">
        <v>192</v>
      </c>
      <c r="E1108">
        <f t="shared" si="82"/>
        <v>155</v>
      </c>
      <c r="F1108" s="22">
        <f>'2050WL_W'!$R32</f>
        <v>2.8932993829875616E-3</v>
      </c>
      <c r="G1108" s="22" t="s">
        <v>33</v>
      </c>
      <c r="H1108" s="22">
        <f>'2050WL_W'!$R32</f>
        <v>2.8932993829875616E-3</v>
      </c>
      <c r="I1108" t="str">
        <f t="shared" si="84"/>
        <v>WL2050;winter;192;155;2.89329938298756E-03;TRUE;2.89329938298756E-03</v>
      </c>
    </row>
    <row r="1109" spans="1:9" x14ac:dyDescent="0.25">
      <c r="A1109">
        <f t="shared" si="83"/>
        <v>20.291666666666664</v>
      </c>
      <c r="B1109" t="s">
        <v>21</v>
      </c>
      <c r="C1109" t="s">
        <v>7</v>
      </c>
      <c r="D1109">
        <v>216</v>
      </c>
      <c r="E1109">
        <v>25</v>
      </c>
      <c r="F1109" s="22">
        <f>'2050WL_W'!$V6</f>
        <v>29.755496106205918</v>
      </c>
      <c r="G1109" s="22" t="s">
        <v>33</v>
      </c>
      <c r="H1109" s="22">
        <f>'2050WL_W'!$V6</f>
        <v>29.755496106205918</v>
      </c>
      <c r="I1109" t="str">
        <f t="shared" si="84"/>
        <v>WL2050;winter;216;25;29.7554961062059;TRUE;29.7554961062059</v>
      </c>
    </row>
    <row r="1110" spans="1:9" x14ac:dyDescent="0.25">
      <c r="A1110">
        <f t="shared" si="83"/>
        <v>20.291666666666664</v>
      </c>
      <c r="B1110" t="s">
        <v>21</v>
      </c>
      <c r="C1110" t="s">
        <v>7</v>
      </c>
      <c r="D1110">
        <v>216</v>
      </c>
      <c r="E1110">
        <f>E1109+5</f>
        <v>30</v>
      </c>
      <c r="F1110" s="22">
        <f>'2050WL_W'!$V7</f>
        <v>2.3871953664048959</v>
      </c>
      <c r="G1110" s="22" t="s">
        <v>33</v>
      </c>
      <c r="H1110" s="22">
        <f>'2050WL_W'!$V7</f>
        <v>2.3871953664048959</v>
      </c>
      <c r="I1110" t="str">
        <f t="shared" si="84"/>
        <v>WL2050;winter;216;30;2.3871953664049;TRUE;2.3871953664049</v>
      </c>
    </row>
    <row r="1111" spans="1:9" x14ac:dyDescent="0.25">
      <c r="A1111">
        <f t="shared" si="83"/>
        <v>20.291666666666664</v>
      </c>
      <c r="B1111" t="s">
        <v>21</v>
      </c>
      <c r="C1111" t="s">
        <v>7</v>
      </c>
      <c r="D1111">
        <v>216</v>
      </c>
      <c r="E1111">
        <f t="shared" ref="E1111:E1136" si="85">E1110+5</f>
        <v>35</v>
      </c>
      <c r="F1111" s="22">
        <f>'2050WL_W'!$V8</f>
        <v>1.8869667205198315</v>
      </c>
      <c r="G1111" s="22" t="s">
        <v>33</v>
      </c>
      <c r="H1111" s="22">
        <f>'2050WL_W'!$V8</f>
        <v>1.8869667205198315</v>
      </c>
      <c r="I1111" t="str">
        <f t="shared" si="84"/>
        <v>WL2050;winter;216;35;1.88696672051983;TRUE;1.88696672051983</v>
      </c>
    </row>
    <row r="1112" spans="1:9" x14ac:dyDescent="0.25">
      <c r="A1112">
        <f t="shared" si="83"/>
        <v>20.291666666666664</v>
      </c>
      <c r="B1112" t="s">
        <v>21</v>
      </c>
      <c r="C1112" t="s">
        <v>7</v>
      </c>
      <c r="D1112">
        <v>216</v>
      </c>
      <c r="E1112">
        <f t="shared" si="85"/>
        <v>40</v>
      </c>
      <c r="F1112" s="22">
        <f>'2050WL_W'!$V9</f>
        <v>1.4859370643218863</v>
      </c>
      <c r="G1112" s="22" t="s">
        <v>33</v>
      </c>
      <c r="H1112" s="22">
        <f>'2050WL_W'!$V9</f>
        <v>1.4859370643218863</v>
      </c>
      <c r="I1112" t="str">
        <f t="shared" si="84"/>
        <v>WL2050;winter;216;40;1.48593706432189;TRUE;1.48593706432189</v>
      </c>
    </row>
    <row r="1113" spans="1:9" x14ac:dyDescent="0.25">
      <c r="A1113">
        <f t="shared" si="83"/>
        <v>20.291666666666664</v>
      </c>
      <c r="B1113" t="s">
        <v>21</v>
      </c>
      <c r="C1113" t="s">
        <v>7</v>
      </c>
      <c r="D1113">
        <v>216</v>
      </c>
      <c r="E1113">
        <f t="shared" si="85"/>
        <v>45</v>
      </c>
      <c r="F1113" s="22">
        <f>'2050WL_W'!$V10</f>
        <v>1.1655823506364409</v>
      </c>
      <c r="G1113" s="22" t="s">
        <v>33</v>
      </c>
      <c r="H1113" s="22">
        <f>'2050WL_W'!$V10</f>
        <v>1.1655823506364409</v>
      </c>
      <c r="I1113" t="str">
        <f t="shared" si="84"/>
        <v>WL2050;winter;216;45;1.16558235063644;TRUE;1.16558235063644</v>
      </c>
    </row>
    <row r="1114" spans="1:9" x14ac:dyDescent="0.25">
      <c r="A1114">
        <f t="shared" si="83"/>
        <v>20.291666666666664</v>
      </c>
      <c r="B1114" t="s">
        <v>21</v>
      </c>
      <c r="C1114" t="s">
        <v>7</v>
      </c>
      <c r="D1114">
        <v>216</v>
      </c>
      <c r="E1114">
        <f t="shared" si="85"/>
        <v>50</v>
      </c>
      <c r="F1114" s="22">
        <f>'2050WL_W'!$V11</f>
        <v>0.91061687590973994</v>
      </c>
      <c r="G1114" s="22" t="s">
        <v>33</v>
      </c>
      <c r="H1114" s="22">
        <f>'2050WL_W'!$V11</f>
        <v>0.91061687590973994</v>
      </c>
      <c r="I1114" t="str">
        <f t="shared" si="84"/>
        <v>WL2050;winter;216;50;0.91061687590974;TRUE;0.91061687590974</v>
      </c>
    </row>
    <row r="1115" spans="1:9" x14ac:dyDescent="0.25">
      <c r="A1115">
        <f t="shared" si="83"/>
        <v>20.291666666666664</v>
      </c>
      <c r="B1115" t="s">
        <v>21</v>
      </c>
      <c r="C1115" t="s">
        <v>7</v>
      </c>
      <c r="D1115">
        <v>216</v>
      </c>
      <c r="E1115">
        <f t="shared" si="85"/>
        <v>55</v>
      </c>
      <c r="F1115" s="22">
        <f>'2050WL_W'!$V12</f>
        <v>0.70846692753997953</v>
      </c>
      <c r="G1115" s="22" t="s">
        <v>33</v>
      </c>
      <c r="H1115" s="22">
        <f>'2050WL_W'!$V12</f>
        <v>0.70846692753997953</v>
      </c>
      <c r="I1115" t="str">
        <f t="shared" si="84"/>
        <v>WL2050;winter;216;55;0.70846692753998;TRUE;0.70846692753998</v>
      </c>
    </row>
    <row r="1116" spans="1:9" x14ac:dyDescent="0.25">
      <c r="A1116">
        <f t="shared" si="83"/>
        <v>20.291666666666664</v>
      </c>
      <c r="B1116" t="s">
        <v>21</v>
      </c>
      <c r="C1116" t="s">
        <v>7</v>
      </c>
      <c r="D1116">
        <v>216</v>
      </c>
      <c r="E1116">
        <f t="shared" si="85"/>
        <v>60</v>
      </c>
      <c r="F1116" s="22">
        <f>'2050WL_W'!$V13</f>
        <v>0.54882331936099549</v>
      </c>
      <c r="G1116" s="22" t="s">
        <v>33</v>
      </c>
      <c r="H1116" s="22">
        <f>'2050WL_W'!$V13</f>
        <v>0.54882331936099549</v>
      </c>
      <c r="I1116" t="str">
        <f t="shared" si="84"/>
        <v>WL2050;winter;216;60;0.548823319360995;TRUE;0.548823319360995</v>
      </c>
    </row>
    <row r="1117" spans="1:9" x14ac:dyDescent="0.25">
      <c r="A1117">
        <f t="shared" si="83"/>
        <v>20.291666666666664</v>
      </c>
      <c r="B1117" t="s">
        <v>21</v>
      </c>
      <c r="C1117" t="s">
        <v>7</v>
      </c>
      <c r="D1117">
        <v>216</v>
      </c>
      <c r="E1117">
        <f t="shared" si="85"/>
        <v>65</v>
      </c>
      <c r="F1117" s="22">
        <f>'2050WL_W'!$V14</f>
        <v>0.42326202193348905</v>
      </c>
      <c r="G1117" s="22" t="s">
        <v>33</v>
      </c>
      <c r="H1117" s="22">
        <f>'2050WL_W'!$V14</f>
        <v>0.42326202193348905</v>
      </c>
      <c r="I1117" t="str">
        <f t="shared" si="84"/>
        <v>WL2050;winter;216;65;0.423262021933489;TRUE;0.423262021933489</v>
      </c>
    </row>
    <row r="1118" spans="1:9" x14ac:dyDescent="0.25">
      <c r="A1118">
        <f t="shared" si="83"/>
        <v>20.291666666666664</v>
      </c>
      <c r="B1118" t="s">
        <v>21</v>
      </c>
      <c r="C1118" t="s">
        <v>7</v>
      </c>
      <c r="D1118">
        <v>216</v>
      </c>
      <c r="E1118">
        <f t="shared" si="85"/>
        <v>70</v>
      </c>
      <c r="F1118" s="22">
        <f>'2050WL_W'!$V15</f>
        <v>0.32492342557399467</v>
      </c>
      <c r="G1118" s="22" t="s">
        <v>33</v>
      </c>
      <c r="H1118" s="22">
        <f>'2050WL_W'!$V15</f>
        <v>0.32492342557399467</v>
      </c>
      <c r="I1118" t="str">
        <f t="shared" si="84"/>
        <v>WL2050;winter;216;70;0.324923425573995;TRUE;0.324923425573995</v>
      </c>
    </row>
    <row r="1119" spans="1:9" x14ac:dyDescent="0.25">
      <c r="A1119">
        <f t="shared" si="83"/>
        <v>20.291666666666664</v>
      </c>
      <c r="B1119" t="s">
        <v>21</v>
      </c>
      <c r="C1119" t="s">
        <v>7</v>
      </c>
      <c r="D1119">
        <v>216</v>
      </c>
      <c r="E1119">
        <f t="shared" si="85"/>
        <v>75</v>
      </c>
      <c r="F1119" s="22">
        <f>'2050WL_W'!$V16</f>
        <v>0.24824195964872897</v>
      </c>
      <c r="G1119" s="22" t="s">
        <v>33</v>
      </c>
      <c r="H1119" s="22">
        <f>'2050WL_W'!$V16</f>
        <v>0.24824195964872897</v>
      </c>
      <c r="I1119" t="str">
        <f t="shared" si="84"/>
        <v>WL2050;winter;216;75;0.248241959648729;TRUE;0.248241959648729</v>
      </c>
    </row>
    <row r="1120" spans="1:9" x14ac:dyDescent="0.25">
      <c r="A1120">
        <f t="shared" si="83"/>
        <v>20.291666666666664</v>
      </c>
      <c r="B1120" t="s">
        <v>21</v>
      </c>
      <c r="C1120" t="s">
        <v>7</v>
      </c>
      <c r="D1120">
        <v>216</v>
      </c>
      <c r="E1120">
        <f t="shared" si="85"/>
        <v>80</v>
      </c>
      <c r="F1120" s="22">
        <f>'2050WL_W'!$V17</f>
        <v>0.18871884542590989</v>
      </c>
      <c r="G1120" s="22" t="s">
        <v>33</v>
      </c>
      <c r="H1120" s="22">
        <f>'2050WL_W'!$V17</f>
        <v>0.18871884542590989</v>
      </c>
      <c r="I1120" t="str">
        <f t="shared" si="84"/>
        <v>WL2050;winter;216;80;0.18871884542591;TRUE;0.18871884542591</v>
      </c>
    </row>
    <row r="1121" spans="1:9" x14ac:dyDescent="0.25">
      <c r="A1121">
        <f t="shared" si="83"/>
        <v>20.291666666666664</v>
      </c>
      <c r="B1121" t="s">
        <v>21</v>
      </c>
      <c r="C1121" t="s">
        <v>7</v>
      </c>
      <c r="D1121">
        <v>216</v>
      </c>
      <c r="E1121">
        <f t="shared" si="85"/>
        <v>85</v>
      </c>
      <c r="F1121" s="22">
        <f>'2050WL_W'!$V18</f>
        <v>0.14273169444952705</v>
      </c>
      <c r="G1121" s="22" t="s">
        <v>33</v>
      </c>
      <c r="H1121" s="22">
        <f>'2050WL_W'!$V18</f>
        <v>0.14273169444952705</v>
      </c>
      <c r="I1121" t="str">
        <f t="shared" si="84"/>
        <v>WL2050;winter;216;85;0.142731694449527;TRUE;0.142731694449527</v>
      </c>
    </row>
    <row r="1122" spans="1:9" x14ac:dyDescent="0.25">
      <c r="A1122">
        <f t="shared" si="83"/>
        <v>20.291666666666664</v>
      </c>
      <c r="B1122" t="s">
        <v>21</v>
      </c>
      <c r="C1122" t="s">
        <v>7</v>
      </c>
      <c r="D1122">
        <v>216</v>
      </c>
      <c r="E1122">
        <f t="shared" si="85"/>
        <v>90</v>
      </c>
      <c r="F1122" s="22">
        <f>'2050WL_W'!$V19</f>
        <v>0.1073754916716439</v>
      </c>
      <c r="G1122" s="22" t="s">
        <v>33</v>
      </c>
      <c r="H1122" s="22">
        <f>'2050WL_W'!$V19</f>
        <v>0.1073754916716439</v>
      </c>
      <c r="I1122" t="str">
        <f t="shared" si="84"/>
        <v>WL2050;winter;216;90;0.107375491671644;TRUE;0.107375491671644</v>
      </c>
    </row>
    <row r="1123" spans="1:9" x14ac:dyDescent="0.25">
      <c r="A1123">
        <f t="shared" si="83"/>
        <v>20.291666666666664</v>
      </c>
      <c r="B1123" t="s">
        <v>21</v>
      </c>
      <c r="C1123" t="s">
        <v>7</v>
      </c>
      <c r="D1123">
        <v>216</v>
      </c>
      <c r="E1123">
        <f t="shared" si="85"/>
        <v>95</v>
      </c>
      <c r="F1123" s="22">
        <f>'2050WL_W'!$V20</f>
        <v>8.0330233185303496E-2</v>
      </c>
      <c r="G1123" s="22" t="s">
        <v>33</v>
      </c>
      <c r="H1123" s="22">
        <f>'2050WL_W'!$V20</f>
        <v>8.0330233185303496E-2</v>
      </c>
      <c r="I1123" t="str">
        <f t="shared" si="84"/>
        <v>WL2050;winter;216;95;8.03302331853035E-02;TRUE;8.03302331853035E-02</v>
      </c>
    </row>
    <row r="1124" spans="1:9" x14ac:dyDescent="0.25">
      <c r="A1124">
        <f t="shared" si="83"/>
        <v>20.291666666666664</v>
      </c>
      <c r="B1124" t="s">
        <v>21</v>
      </c>
      <c r="C1124" t="s">
        <v>7</v>
      </c>
      <c r="D1124">
        <v>216</v>
      </c>
      <c r="E1124">
        <f t="shared" si="85"/>
        <v>100</v>
      </c>
      <c r="F1124" s="22">
        <f>'2050WL_W'!$V21</f>
        <v>5.975113216059541E-2</v>
      </c>
      <c r="G1124" s="22" t="s">
        <v>33</v>
      </c>
      <c r="H1124" s="22">
        <f>'2050WL_W'!$V21</f>
        <v>5.975113216059541E-2</v>
      </c>
      <c r="I1124" t="str">
        <f t="shared" si="84"/>
        <v>WL2050;winter;216;100;5.97511321605954E-02;TRUE;5.97511321605954E-02</v>
      </c>
    </row>
    <row r="1125" spans="1:9" x14ac:dyDescent="0.25">
      <c r="A1125">
        <f t="shared" si="83"/>
        <v>20.291666666666664</v>
      </c>
      <c r="B1125" t="s">
        <v>21</v>
      </c>
      <c r="C1125" t="s">
        <v>7</v>
      </c>
      <c r="D1125">
        <v>216</v>
      </c>
      <c r="E1125">
        <f t="shared" si="85"/>
        <v>105</v>
      </c>
      <c r="F1125" s="22">
        <f>'2050WL_W'!$V22</f>
        <v>4.4177872482125666E-2</v>
      </c>
      <c r="G1125" s="22" t="s">
        <v>33</v>
      </c>
      <c r="H1125" s="22">
        <f>'2050WL_W'!$V22</f>
        <v>4.4177872482125666E-2</v>
      </c>
      <c r="I1125" t="str">
        <f t="shared" si="84"/>
        <v>WL2050;winter;216;105;4.41778724821257E-02;TRUE;4.41778724821257E-02</v>
      </c>
    </row>
    <row r="1126" spans="1:9" x14ac:dyDescent="0.25">
      <c r="A1126">
        <f t="shared" si="83"/>
        <v>20.291666666666664</v>
      </c>
      <c r="B1126" t="s">
        <v>21</v>
      </c>
      <c r="C1126" t="s">
        <v>7</v>
      </c>
      <c r="D1126">
        <v>216</v>
      </c>
      <c r="E1126">
        <f t="shared" si="85"/>
        <v>110</v>
      </c>
      <c r="F1126" s="22">
        <f>'2050WL_W'!$V23</f>
        <v>3.2459885812633552E-2</v>
      </c>
      <c r="G1126" s="22" t="s">
        <v>33</v>
      </c>
      <c r="H1126" s="22">
        <f>'2050WL_W'!$V23</f>
        <v>3.2459885812633552E-2</v>
      </c>
      <c r="I1126" t="str">
        <f t="shared" si="84"/>
        <v>WL2050;winter;216;110;3.24598858126336E-02;TRUE;3.24598858126336E-02</v>
      </c>
    </row>
    <row r="1127" spans="1:9" x14ac:dyDescent="0.25">
      <c r="A1127">
        <f t="shared" si="83"/>
        <v>20.291666666666664</v>
      </c>
      <c r="B1127" t="s">
        <v>21</v>
      </c>
      <c r="C1127" t="s">
        <v>7</v>
      </c>
      <c r="D1127">
        <v>216</v>
      </c>
      <c r="E1127">
        <f t="shared" si="85"/>
        <v>115</v>
      </c>
      <c r="F1127" s="22">
        <f>'2050WL_W'!$V24</f>
        <v>2.369506183129131E-2</v>
      </c>
      <c r="G1127" s="22" t="s">
        <v>33</v>
      </c>
      <c r="H1127" s="22">
        <f>'2050WL_W'!$V24</f>
        <v>2.369506183129131E-2</v>
      </c>
      <c r="I1127" t="str">
        <f t="shared" si="84"/>
        <v>WL2050;winter;216;115;2.36950618312913E-02;TRUE;2.36950618312913E-02</v>
      </c>
    </row>
    <row r="1128" spans="1:9" x14ac:dyDescent="0.25">
      <c r="A1128">
        <f t="shared" si="83"/>
        <v>20.291666666666664</v>
      </c>
      <c r="B1128" t="s">
        <v>21</v>
      </c>
      <c r="C1128" t="s">
        <v>7</v>
      </c>
      <c r="D1128">
        <v>216</v>
      </c>
      <c r="E1128">
        <f t="shared" si="85"/>
        <v>120</v>
      </c>
      <c r="F1128" s="22">
        <f>'2050WL_W'!$V25</f>
        <v>1.7179680005989031E-2</v>
      </c>
      <c r="G1128" s="22" t="s">
        <v>33</v>
      </c>
      <c r="H1128" s="22">
        <f>'2050WL_W'!$V25</f>
        <v>1.7179680005989031E-2</v>
      </c>
      <c r="I1128" t="str">
        <f t="shared" si="84"/>
        <v>WL2050;winter;216;120;0.017179680005989;TRUE;0.017179680005989</v>
      </c>
    </row>
    <row r="1129" spans="1:9" x14ac:dyDescent="0.25">
      <c r="A1129">
        <f t="shared" si="83"/>
        <v>20.291666666666664</v>
      </c>
      <c r="B1129" t="s">
        <v>21</v>
      </c>
      <c r="C1129" t="s">
        <v>7</v>
      </c>
      <c r="D1129">
        <v>216</v>
      </c>
      <c r="E1129">
        <f t="shared" si="85"/>
        <v>125</v>
      </c>
      <c r="F1129" s="22">
        <f>'2050WL_W'!$V26</f>
        <v>1.2367680619657921E-2</v>
      </c>
      <c r="G1129" s="22" t="s">
        <v>33</v>
      </c>
      <c r="H1129" s="22">
        <f>'2050WL_W'!$V26</f>
        <v>1.2367680619657921E-2</v>
      </c>
      <c r="I1129" t="str">
        <f t="shared" si="84"/>
        <v>WL2050;winter;216;125;1.23676806196579E-02;TRUE;1.23676806196579E-02</v>
      </c>
    </row>
    <row r="1130" spans="1:9" x14ac:dyDescent="0.25">
      <c r="A1130">
        <f t="shared" si="83"/>
        <v>20.291666666666664</v>
      </c>
      <c r="B1130" t="s">
        <v>21</v>
      </c>
      <c r="C1130" t="s">
        <v>7</v>
      </c>
      <c r="D1130">
        <v>216</v>
      </c>
      <c r="E1130">
        <f t="shared" si="85"/>
        <v>130</v>
      </c>
      <c r="F1130" s="22">
        <f>'2050WL_W'!$V27</f>
        <v>8.8376784642334311E-3</v>
      </c>
      <c r="G1130" s="22" t="s">
        <v>33</v>
      </c>
      <c r="H1130" s="22">
        <f>'2050WL_W'!$V27</f>
        <v>8.8376784642334311E-3</v>
      </c>
      <c r="I1130" t="str">
        <f t="shared" si="84"/>
        <v>WL2050;winter;216;130;8.83767846423343E-03;TRUE;8.83767846423343E-03</v>
      </c>
    </row>
    <row r="1131" spans="1:9" x14ac:dyDescent="0.25">
      <c r="A1131">
        <f t="shared" si="83"/>
        <v>20.291666666666664</v>
      </c>
      <c r="B1131" t="s">
        <v>21</v>
      </c>
      <c r="C1131" t="s">
        <v>7</v>
      </c>
      <c r="D1131">
        <v>216</v>
      </c>
      <c r="E1131">
        <f t="shared" si="85"/>
        <v>135</v>
      </c>
      <c r="F1131" s="22">
        <f>'2050WL_W'!$V28</f>
        <v>6.2663696894073046E-3</v>
      </c>
      <c r="G1131" s="22" t="s">
        <v>33</v>
      </c>
      <c r="H1131" s="22">
        <f>'2050WL_W'!$V28</f>
        <v>6.2663696894073046E-3</v>
      </c>
      <c r="I1131" t="str">
        <f t="shared" si="84"/>
        <v>WL2050;winter;216;135;6.2663696894073E-03;TRUE;6.2663696894073E-03</v>
      </c>
    </row>
    <row r="1132" spans="1:9" x14ac:dyDescent="0.25">
      <c r="A1132">
        <f t="shared" si="83"/>
        <v>20.291666666666664</v>
      </c>
      <c r="B1132" t="s">
        <v>21</v>
      </c>
      <c r="C1132" t="s">
        <v>7</v>
      </c>
      <c r="D1132">
        <v>216</v>
      </c>
      <c r="E1132">
        <f t="shared" si="85"/>
        <v>140</v>
      </c>
      <c r="F1132" s="22">
        <f>'2050WL_W'!$V29</f>
        <v>4.4071952999940548E-3</v>
      </c>
      <c r="G1132" s="22" t="s">
        <v>33</v>
      </c>
      <c r="H1132" s="22">
        <f>'2050WL_W'!$V29</f>
        <v>4.4071952999940548E-3</v>
      </c>
      <c r="I1132" t="str">
        <f t="shared" si="84"/>
        <v>WL2050;winter;216;140;4.40719529999405E-03;TRUE;4.40719529999405E-03</v>
      </c>
    </row>
    <row r="1133" spans="1:9" x14ac:dyDescent="0.25">
      <c r="A1133">
        <f t="shared" si="83"/>
        <v>20.291666666666664</v>
      </c>
      <c r="B1133" t="s">
        <v>21</v>
      </c>
      <c r="C1133" t="s">
        <v>7</v>
      </c>
      <c r="D1133">
        <v>216</v>
      </c>
      <c r="E1133">
        <f t="shared" si="85"/>
        <v>145</v>
      </c>
      <c r="F1133" s="22">
        <f>'2050WL_W'!$V30</f>
        <v>3.0733078338637974E-3</v>
      </c>
      <c r="G1133" s="22" t="s">
        <v>33</v>
      </c>
      <c r="H1133" s="22">
        <f>'2050WL_W'!$V30</f>
        <v>3.0733078338637974E-3</v>
      </c>
      <c r="I1133" t="str">
        <f t="shared" si="84"/>
        <v>WL2050;winter;216;145;3.0733078338638E-03;TRUE;3.0733078338638E-03</v>
      </c>
    </row>
    <row r="1134" spans="1:9" x14ac:dyDescent="0.25">
      <c r="A1134">
        <f t="shared" si="83"/>
        <v>20.291666666666664</v>
      </c>
      <c r="B1134" t="s">
        <v>21</v>
      </c>
      <c r="C1134" t="s">
        <v>7</v>
      </c>
      <c r="D1134">
        <v>216</v>
      </c>
      <c r="E1134">
        <f t="shared" si="85"/>
        <v>150</v>
      </c>
      <c r="F1134" s="22">
        <f>'2050WL_W'!$V31</f>
        <v>2.1240445024500705E-3</v>
      </c>
      <c r="G1134" s="22" t="s">
        <v>33</v>
      </c>
      <c r="H1134" s="22">
        <f>'2050WL_W'!$V31</f>
        <v>2.1240445024500705E-3</v>
      </c>
      <c r="I1134" t="str">
        <f t="shared" si="84"/>
        <v>WL2050;winter;216;150;2.12404450245007E-03;TRUE;2.12404450245007E-03</v>
      </c>
    </row>
    <row r="1135" spans="1:9" x14ac:dyDescent="0.25">
      <c r="A1135">
        <f t="shared" si="83"/>
        <v>20.291666666666664</v>
      </c>
      <c r="B1135" t="s">
        <v>21</v>
      </c>
      <c r="C1135" t="s">
        <v>7</v>
      </c>
      <c r="D1135">
        <v>216</v>
      </c>
      <c r="E1135">
        <f t="shared" si="85"/>
        <v>155</v>
      </c>
      <c r="F1135" s="22">
        <f>'2050WL_W'!$V32</f>
        <v>1.4542438349338209E-3</v>
      </c>
      <c r="G1135" s="22" t="s">
        <v>33</v>
      </c>
      <c r="H1135" s="22">
        <f>'2050WL_W'!$V32</f>
        <v>1.4542438349338209E-3</v>
      </c>
      <c r="I1135" t="str">
        <f t="shared" si="84"/>
        <v>WL2050;winter;216;155;1.45424383493382E-03;TRUE;1.45424383493382E-03</v>
      </c>
    </row>
    <row r="1136" spans="1:9" x14ac:dyDescent="0.25">
      <c r="A1136">
        <f t="shared" si="83"/>
        <v>20.291666666666664</v>
      </c>
      <c r="B1136" t="s">
        <v>21</v>
      </c>
      <c r="C1136" t="s">
        <v>7</v>
      </c>
      <c r="D1136">
        <v>216</v>
      </c>
      <c r="E1136">
        <f t="shared" si="85"/>
        <v>160</v>
      </c>
      <c r="F1136" s="22">
        <f>'2050WL_W'!$V33</f>
        <v>2.8707780078688142E-3</v>
      </c>
      <c r="G1136" s="22" t="s">
        <v>33</v>
      </c>
      <c r="H1136" s="22">
        <f>'2050WL_W'!$V33</f>
        <v>2.8707780078688142E-3</v>
      </c>
      <c r="I1136" t="str">
        <f t="shared" si="84"/>
        <v>WL2050;winter;216;160;2.87077800786881E-03;TRUE;2.87077800786881E-03</v>
      </c>
    </row>
    <row r="1137" spans="1:9" x14ac:dyDescent="0.25">
      <c r="A1137">
        <f t="shared" si="83"/>
        <v>182.625</v>
      </c>
      <c r="B1137" t="s">
        <v>22</v>
      </c>
      <c r="C1137" t="s">
        <v>11</v>
      </c>
      <c r="D1137">
        <v>24</v>
      </c>
      <c r="E1137">
        <v>15</v>
      </c>
      <c r="F1137" s="22">
        <f>'2050WH_Z'!$F4</f>
        <v>357.58246955194369</v>
      </c>
      <c r="G1137" s="22" t="s">
        <v>33</v>
      </c>
      <c r="H1137" s="22">
        <f>'2050WH_Z'!$F4</f>
        <v>357.58246955194369</v>
      </c>
      <c r="I1137" t="str">
        <f t="shared" si="84"/>
        <v>WH2050;zomer;24;15;357.582469551944;TRUE;357.582469551944</v>
      </c>
    </row>
    <row r="1138" spans="1:9" x14ac:dyDescent="0.25">
      <c r="A1138">
        <f t="shared" si="83"/>
        <v>182.625</v>
      </c>
      <c r="B1138" t="s">
        <v>22</v>
      </c>
      <c r="C1138" t="s">
        <v>11</v>
      </c>
      <c r="D1138">
        <v>24</v>
      </c>
      <c r="E1138">
        <f>E1137+5</f>
        <v>20</v>
      </c>
      <c r="F1138" s="22">
        <f>'2050WH_Z'!$F5</f>
        <v>3.2943059912718367</v>
      </c>
      <c r="G1138" s="22" t="s">
        <v>33</v>
      </c>
      <c r="H1138" s="22">
        <f>'2050WH_Z'!$F5</f>
        <v>3.2943059912718367</v>
      </c>
      <c r="I1138" t="str">
        <f t="shared" si="84"/>
        <v>WH2050;zomer;24;20;3.29430599127184;TRUE;3.29430599127184</v>
      </c>
    </row>
    <row r="1139" spans="1:9" x14ac:dyDescent="0.25">
      <c r="A1139">
        <f t="shared" si="83"/>
        <v>182.625</v>
      </c>
      <c r="B1139" t="s">
        <v>22</v>
      </c>
      <c r="C1139" t="s">
        <v>11</v>
      </c>
      <c r="D1139">
        <v>24</v>
      </c>
      <c r="E1139">
        <f t="shared" ref="E1139:E1155" si="86">E1138+5</f>
        <v>25</v>
      </c>
      <c r="F1139" s="22">
        <f>'2050WH_Z'!$F6</f>
        <v>1.8231607156215066</v>
      </c>
      <c r="G1139" s="22" t="s">
        <v>33</v>
      </c>
      <c r="H1139" s="22">
        <f>'2050WH_Z'!$F6</f>
        <v>1.8231607156215066</v>
      </c>
      <c r="I1139" t="str">
        <f t="shared" si="84"/>
        <v>WH2050;zomer;24;25;1.82316071562151;TRUE;1.82316071562151</v>
      </c>
    </row>
    <row r="1140" spans="1:9" x14ac:dyDescent="0.25">
      <c r="A1140">
        <f t="shared" si="83"/>
        <v>182.625</v>
      </c>
      <c r="B1140" t="s">
        <v>22</v>
      </c>
      <c r="C1140" t="s">
        <v>11</v>
      </c>
      <c r="D1140">
        <v>24</v>
      </c>
      <c r="E1140">
        <f t="shared" si="86"/>
        <v>30</v>
      </c>
      <c r="F1140" s="22">
        <f>'2050WH_Z'!$F7</f>
        <v>1.032400045084449</v>
      </c>
      <c r="G1140" s="22" t="s">
        <v>33</v>
      </c>
      <c r="H1140" s="22">
        <f>'2050WH_Z'!$F7</f>
        <v>1.032400045084449</v>
      </c>
      <c r="I1140" t="str">
        <f t="shared" si="84"/>
        <v>WH2050;zomer;24;30;1.03240004508445;TRUE;1.03240004508445</v>
      </c>
    </row>
    <row r="1141" spans="1:9" x14ac:dyDescent="0.25">
      <c r="A1141">
        <f t="shared" si="83"/>
        <v>182.625</v>
      </c>
      <c r="B1141" t="s">
        <v>22</v>
      </c>
      <c r="C1141" t="s">
        <v>11</v>
      </c>
      <c r="D1141">
        <v>24</v>
      </c>
      <c r="E1141">
        <f t="shared" si="86"/>
        <v>35</v>
      </c>
      <c r="F1141" s="22">
        <f>'2050WH_Z'!$F8</f>
        <v>0.59715637218253514</v>
      </c>
      <c r="G1141" s="22" t="s">
        <v>33</v>
      </c>
      <c r="H1141" s="22">
        <f>'2050WH_Z'!$F8</f>
        <v>0.59715637218253514</v>
      </c>
      <c r="I1141" t="str">
        <f t="shared" si="84"/>
        <v>WH2050;zomer;24;35;0.597156372182535;TRUE;0.597156372182535</v>
      </c>
    </row>
    <row r="1142" spans="1:9" x14ac:dyDescent="0.25">
      <c r="A1142">
        <f t="shared" si="83"/>
        <v>182.625</v>
      </c>
      <c r="B1142" t="s">
        <v>22</v>
      </c>
      <c r="C1142" t="s">
        <v>11</v>
      </c>
      <c r="D1142">
        <v>24</v>
      </c>
      <c r="E1142">
        <f t="shared" si="86"/>
        <v>40</v>
      </c>
      <c r="F1142" s="22">
        <f>'2050WH_Z'!$F9</f>
        <v>0.35227415386304906</v>
      </c>
      <c r="G1142" s="22" t="s">
        <v>33</v>
      </c>
      <c r="H1142" s="22">
        <f>'2050WH_Z'!$F9</f>
        <v>0.35227415386304906</v>
      </c>
      <c r="I1142" t="str">
        <f t="shared" si="84"/>
        <v>WH2050;zomer;24;40;0.352274153863049;TRUE;0.352274153863049</v>
      </c>
    </row>
    <row r="1143" spans="1:9" x14ac:dyDescent="0.25">
      <c r="A1143">
        <f t="shared" si="83"/>
        <v>182.625</v>
      </c>
      <c r="B1143" t="s">
        <v>22</v>
      </c>
      <c r="C1143" t="s">
        <v>11</v>
      </c>
      <c r="D1143">
        <v>24</v>
      </c>
      <c r="E1143">
        <f t="shared" si="86"/>
        <v>45</v>
      </c>
      <c r="F1143" s="22">
        <f>'2050WH_Z'!$F10</f>
        <v>0.21165631873826041</v>
      </c>
      <c r="G1143" s="22" t="s">
        <v>33</v>
      </c>
      <c r="H1143" s="22">
        <f>'2050WH_Z'!$F10</f>
        <v>0.21165631873826041</v>
      </c>
      <c r="I1143" t="str">
        <f t="shared" si="84"/>
        <v>WH2050;zomer;24;45;0.21165631873826;TRUE;0.21165631873826</v>
      </c>
    </row>
    <row r="1144" spans="1:9" x14ac:dyDescent="0.25">
      <c r="A1144">
        <f t="shared" si="83"/>
        <v>182.625</v>
      </c>
      <c r="B1144" t="s">
        <v>22</v>
      </c>
      <c r="C1144" t="s">
        <v>11</v>
      </c>
      <c r="D1144">
        <v>24</v>
      </c>
      <c r="E1144">
        <f t="shared" si="86"/>
        <v>50</v>
      </c>
      <c r="F1144" s="22">
        <f>'2050WH_Z'!$F11</f>
        <v>0.12936137192013275</v>
      </c>
      <c r="G1144" s="22" t="s">
        <v>33</v>
      </c>
      <c r="H1144" s="22">
        <f>'2050WH_Z'!$F11</f>
        <v>0.12936137192013275</v>
      </c>
      <c r="I1144" t="str">
        <f t="shared" si="84"/>
        <v>WH2050;zomer;24;50;0.129361371920133;TRUE;0.129361371920133</v>
      </c>
    </row>
    <row r="1145" spans="1:9" x14ac:dyDescent="0.25">
      <c r="A1145">
        <f t="shared" si="83"/>
        <v>182.625</v>
      </c>
      <c r="B1145" t="s">
        <v>22</v>
      </c>
      <c r="C1145" t="s">
        <v>11</v>
      </c>
      <c r="D1145">
        <v>24</v>
      </c>
      <c r="E1145">
        <f t="shared" si="86"/>
        <v>55</v>
      </c>
      <c r="F1145" s="22">
        <f>'2050WH_Z'!$F12</f>
        <v>8.0337499370577076E-2</v>
      </c>
      <c r="G1145" s="22" t="s">
        <v>33</v>
      </c>
      <c r="H1145" s="22">
        <f>'2050WH_Z'!$F12</f>
        <v>8.0337499370577076E-2</v>
      </c>
      <c r="I1145" t="str">
        <f t="shared" si="84"/>
        <v>WH2050;zomer;24;55;8.03374993705771E-02;TRUE;8.03374993705771E-02</v>
      </c>
    </row>
    <row r="1146" spans="1:9" x14ac:dyDescent="0.25">
      <c r="A1146">
        <f t="shared" si="83"/>
        <v>182.625</v>
      </c>
      <c r="B1146" t="s">
        <v>22</v>
      </c>
      <c r="C1146" t="s">
        <v>11</v>
      </c>
      <c r="D1146">
        <v>24</v>
      </c>
      <c r="E1146">
        <f t="shared" si="86"/>
        <v>60</v>
      </c>
      <c r="F1146" s="22">
        <f>'2050WH_Z'!$F13</f>
        <v>5.0644860054377072E-2</v>
      </c>
      <c r="G1146" s="22" t="s">
        <v>33</v>
      </c>
      <c r="H1146" s="22">
        <f>'2050WH_Z'!$F13</f>
        <v>5.0644860054377072E-2</v>
      </c>
      <c r="I1146" t="str">
        <f t="shared" si="84"/>
        <v>WH2050;zomer;24;60;5.06448600543771E-02;TRUE;5.06448600543771E-02</v>
      </c>
    </row>
    <row r="1147" spans="1:9" x14ac:dyDescent="0.25">
      <c r="A1147">
        <f t="shared" si="83"/>
        <v>182.625</v>
      </c>
      <c r="B1147" t="s">
        <v>22</v>
      </c>
      <c r="C1147" t="s">
        <v>11</v>
      </c>
      <c r="D1147">
        <v>24</v>
      </c>
      <c r="E1147">
        <f t="shared" si="86"/>
        <v>65</v>
      </c>
      <c r="F1147" s="22">
        <f>'2050WH_Z'!$F14</f>
        <v>3.2378663036342889E-2</v>
      </c>
      <c r="G1147" s="22" t="s">
        <v>33</v>
      </c>
      <c r="H1147" s="22">
        <f>'2050WH_Z'!$F14</f>
        <v>3.2378663036342889E-2</v>
      </c>
      <c r="I1147" t="str">
        <f t="shared" si="84"/>
        <v>WH2050;zomer;24;65;3.23786630363429E-02;TRUE;3.23786630363429E-02</v>
      </c>
    </row>
    <row r="1148" spans="1:9" x14ac:dyDescent="0.25">
      <c r="A1148">
        <f t="shared" si="83"/>
        <v>182.625</v>
      </c>
      <c r="B1148" t="s">
        <v>22</v>
      </c>
      <c r="C1148" t="s">
        <v>11</v>
      </c>
      <c r="D1148">
        <v>24</v>
      </c>
      <c r="E1148">
        <f t="shared" si="86"/>
        <v>70</v>
      </c>
      <c r="F1148" s="22">
        <f>'2050WH_Z'!$F15</f>
        <v>2.0976224399670604E-2</v>
      </c>
      <c r="G1148" s="22" t="s">
        <v>33</v>
      </c>
      <c r="H1148" s="22">
        <f>'2050WH_Z'!$F15</f>
        <v>2.0976224399670604E-2</v>
      </c>
      <c r="I1148" t="str">
        <f t="shared" si="84"/>
        <v>WH2050;zomer;24;70;2.09762243996706E-02;TRUE;2.09762243996706E-02</v>
      </c>
    </row>
    <row r="1149" spans="1:9" x14ac:dyDescent="0.25">
      <c r="A1149">
        <f t="shared" si="83"/>
        <v>182.625</v>
      </c>
      <c r="B1149" t="s">
        <v>22</v>
      </c>
      <c r="C1149" t="s">
        <v>11</v>
      </c>
      <c r="D1149">
        <v>24</v>
      </c>
      <c r="E1149">
        <f t="shared" si="86"/>
        <v>75</v>
      </c>
      <c r="F1149" s="22">
        <f>'2050WH_Z'!$F16</f>
        <v>1.3759740078102767E-2</v>
      </c>
      <c r="G1149" s="22" t="s">
        <v>33</v>
      </c>
      <c r="H1149" s="22">
        <f>'2050WH_Z'!$F16</f>
        <v>1.3759740078102767E-2</v>
      </c>
      <c r="I1149" t="str">
        <f t="shared" si="84"/>
        <v>WH2050;zomer;24;75;1.37597400781028E-02;TRUE;1.37597400781028E-02</v>
      </c>
    </row>
    <row r="1150" spans="1:9" x14ac:dyDescent="0.25">
      <c r="A1150">
        <f t="shared" si="83"/>
        <v>182.625</v>
      </c>
      <c r="B1150" t="s">
        <v>22</v>
      </c>
      <c r="C1150" t="s">
        <v>11</v>
      </c>
      <c r="D1150">
        <v>24</v>
      </c>
      <c r="E1150">
        <f t="shared" si="86"/>
        <v>80</v>
      </c>
      <c r="F1150" s="22">
        <f>'2050WH_Z'!$F17</f>
        <v>9.1328221758028606E-3</v>
      </c>
      <c r="G1150" s="22" t="s">
        <v>33</v>
      </c>
      <c r="H1150" s="22">
        <f>'2050WH_Z'!$F17</f>
        <v>9.1328221758028606E-3</v>
      </c>
      <c r="I1150" t="str">
        <f t="shared" si="84"/>
        <v>WH2050;zomer;24;80;9.13282217580286E-03;TRUE;9.13282217580286E-03</v>
      </c>
    </row>
    <row r="1151" spans="1:9" x14ac:dyDescent="0.25">
      <c r="A1151">
        <f t="shared" si="83"/>
        <v>182.625</v>
      </c>
      <c r="B1151" t="s">
        <v>22</v>
      </c>
      <c r="C1151" t="s">
        <v>11</v>
      </c>
      <c r="D1151">
        <v>24</v>
      </c>
      <c r="E1151">
        <f t="shared" si="86"/>
        <v>85</v>
      </c>
      <c r="F1151" s="22">
        <f>'2050WH_Z'!$F18</f>
        <v>6.1296221407828606E-3</v>
      </c>
      <c r="G1151" s="22" t="s">
        <v>33</v>
      </c>
      <c r="H1151" s="22">
        <f>'2050WH_Z'!$F18</f>
        <v>6.1296221407828606E-3</v>
      </c>
      <c r="I1151" t="str">
        <f t="shared" si="84"/>
        <v>WH2050;zomer;24;85;6.12962214078286E-03;TRUE;6.12962214078286E-03</v>
      </c>
    </row>
    <row r="1152" spans="1:9" x14ac:dyDescent="0.25">
      <c r="A1152">
        <f t="shared" si="83"/>
        <v>182.625</v>
      </c>
      <c r="B1152" t="s">
        <v>22</v>
      </c>
      <c r="C1152" t="s">
        <v>11</v>
      </c>
      <c r="D1152">
        <v>24</v>
      </c>
      <c r="E1152">
        <f t="shared" si="86"/>
        <v>90</v>
      </c>
      <c r="F1152" s="22">
        <f>'2050WH_Z'!$F19</f>
        <v>4.1575788195107582E-3</v>
      </c>
      <c r="G1152" s="22" t="s">
        <v>33</v>
      </c>
      <c r="H1152" s="22">
        <f>'2050WH_Z'!$F19</f>
        <v>4.1575788195107582E-3</v>
      </c>
      <c r="I1152" t="str">
        <f t="shared" si="84"/>
        <v>WH2050;zomer;24;90;4.15757881951076E-03;TRUE;4.15757881951076E-03</v>
      </c>
    </row>
    <row r="1153" spans="1:9" x14ac:dyDescent="0.25">
      <c r="A1153">
        <f t="shared" si="83"/>
        <v>182.625</v>
      </c>
      <c r="B1153" t="s">
        <v>22</v>
      </c>
      <c r="C1153" t="s">
        <v>11</v>
      </c>
      <c r="D1153">
        <v>24</v>
      </c>
      <c r="E1153">
        <f t="shared" si="86"/>
        <v>95</v>
      </c>
      <c r="F1153" s="22">
        <f>'2050WH_Z'!$F20</f>
        <v>2.8483235922175856E-3</v>
      </c>
      <c r="G1153" s="22" t="s">
        <v>33</v>
      </c>
      <c r="H1153" s="22">
        <f>'2050WH_Z'!$F20</f>
        <v>2.8483235922175856E-3</v>
      </c>
      <c r="I1153" t="str">
        <f t="shared" si="84"/>
        <v>WH2050;zomer;24;95;2.84832359221759E-03;TRUE;2.84832359221759E-03</v>
      </c>
    </row>
    <row r="1154" spans="1:9" x14ac:dyDescent="0.25">
      <c r="A1154">
        <f t="shared" ref="A1154:A1217" si="87">IF(C1154="zomer",24/D1154*365.25 * 6/12,24/D1154*365.25 * 6/12)</f>
        <v>182.625</v>
      </c>
      <c r="B1154" t="s">
        <v>22</v>
      </c>
      <c r="C1154" t="s">
        <v>11</v>
      </c>
      <c r="D1154">
        <v>24</v>
      </c>
      <c r="E1154">
        <f t="shared" si="86"/>
        <v>100</v>
      </c>
      <c r="F1154" s="22">
        <f>'2050WH_Z'!$F21</f>
        <v>1.9699807529588954E-3</v>
      </c>
      <c r="G1154" s="22" t="s">
        <v>33</v>
      </c>
      <c r="H1154" s="22">
        <f>'2050WH_Z'!$F21</f>
        <v>1.9699807529588954E-3</v>
      </c>
      <c r="I1154" t="str">
        <f t="shared" ref="I1154:I1217" si="88">CONCATENATEWITHDELIMITER(B1154:H1154,";")</f>
        <v>WH2050;zomer;24;100;1.9699807529589E-03;TRUE;1.9699807529589E-03</v>
      </c>
    </row>
    <row r="1155" spans="1:9" x14ac:dyDescent="0.25">
      <c r="A1155">
        <f t="shared" si="87"/>
        <v>182.625</v>
      </c>
      <c r="B1155" t="s">
        <v>22</v>
      </c>
      <c r="C1155" t="s">
        <v>11</v>
      </c>
      <c r="D1155">
        <v>24</v>
      </c>
      <c r="E1155">
        <f t="shared" si="86"/>
        <v>105</v>
      </c>
      <c r="F1155" s="22">
        <f>'2050WH_Z'!$F22</f>
        <v>4.880164954224951E-3</v>
      </c>
      <c r="G1155" s="22" t="s">
        <v>33</v>
      </c>
      <c r="H1155" s="22">
        <f>'2050WH_Z'!$F22</f>
        <v>4.880164954224951E-3</v>
      </c>
      <c r="I1155" t="str">
        <f t="shared" si="88"/>
        <v>WH2050;zomer;24;105;4.88016495422495E-03;TRUE;4.88016495422495E-03</v>
      </c>
    </row>
    <row r="1156" spans="1:9" x14ac:dyDescent="0.25">
      <c r="A1156">
        <f t="shared" si="87"/>
        <v>91.3125</v>
      </c>
      <c r="B1156" t="s">
        <v>22</v>
      </c>
      <c r="C1156" t="s">
        <v>11</v>
      </c>
      <c r="D1156">
        <v>48</v>
      </c>
      <c r="E1156">
        <v>15</v>
      </c>
      <c r="F1156" s="22">
        <f>'2050WH_Z'!$J4</f>
        <v>170.3862518559111</v>
      </c>
      <c r="G1156" s="22" t="s">
        <v>33</v>
      </c>
      <c r="H1156" s="22">
        <f>'2050WH_Z'!$J4</f>
        <v>170.3862518559111</v>
      </c>
      <c r="I1156" t="str">
        <f t="shared" si="88"/>
        <v>WH2050;zomer;48;15;170.386251855911;TRUE;170.386251855911</v>
      </c>
    </row>
    <row r="1157" spans="1:9" x14ac:dyDescent="0.25">
      <c r="A1157">
        <f t="shared" si="87"/>
        <v>91.3125</v>
      </c>
      <c r="B1157" t="s">
        <v>22</v>
      </c>
      <c r="C1157" t="s">
        <v>11</v>
      </c>
      <c r="D1157">
        <v>48</v>
      </c>
      <c r="E1157">
        <f>E1156+5</f>
        <v>20</v>
      </c>
      <c r="F1157" s="22">
        <f>'2050WH_Z'!$J5</f>
        <v>4.6161458945077891</v>
      </c>
      <c r="G1157" s="22" t="s">
        <v>33</v>
      </c>
      <c r="H1157" s="22">
        <f>'2050WH_Z'!$J5</f>
        <v>4.6161458945077891</v>
      </c>
      <c r="I1157" t="str">
        <f t="shared" si="88"/>
        <v>WH2050;zomer;48;20;4.61614589450779;TRUE;4.61614589450779</v>
      </c>
    </row>
    <row r="1158" spans="1:9" x14ac:dyDescent="0.25">
      <c r="A1158">
        <f t="shared" si="87"/>
        <v>91.3125</v>
      </c>
      <c r="B1158" t="s">
        <v>22</v>
      </c>
      <c r="C1158" t="s">
        <v>11</v>
      </c>
      <c r="D1158">
        <v>48</v>
      </c>
      <c r="E1158">
        <f t="shared" ref="E1158:E1175" si="89">E1157+5</f>
        <v>25</v>
      </c>
      <c r="F1158" s="22">
        <f>'2050WH_Z'!$J6</f>
        <v>2.8166280502979451</v>
      </c>
      <c r="G1158" s="22" t="s">
        <v>33</v>
      </c>
      <c r="H1158" s="22">
        <f>'2050WH_Z'!$J6</f>
        <v>2.8166280502979451</v>
      </c>
      <c r="I1158" t="str">
        <f t="shared" si="88"/>
        <v>WH2050;zomer;48;25;2.81662805029795;TRUE;2.81662805029795</v>
      </c>
    </row>
    <row r="1159" spans="1:9" x14ac:dyDescent="0.25">
      <c r="A1159">
        <f t="shared" si="87"/>
        <v>91.3125</v>
      </c>
      <c r="B1159" t="s">
        <v>22</v>
      </c>
      <c r="C1159" t="s">
        <v>11</v>
      </c>
      <c r="D1159">
        <v>48</v>
      </c>
      <c r="E1159">
        <f t="shared" si="89"/>
        <v>30</v>
      </c>
      <c r="F1159" s="22">
        <f>'2050WH_Z'!$J7</f>
        <v>1.7404553627305943</v>
      </c>
      <c r="G1159" s="22" t="s">
        <v>33</v>
      </c>
      <c r="H1159" s="22">
        <f>'2050WH_Z'!$J7</f>
        <v>1.7404553627305943</v>
      </c>
      <c r="I1159" t="str">
        <f t="shared" si="88"/>
        <v>WH2050;zomer;48;30;1.74045536273059;TRUE;1.74045536273059</v>
      </c>
    </row>
    <row r="1160" spans="1:9" x14ac:dyDescent="0.25">
      <c r="A1160">
        <f t="shared" si="87"/>
        <v>91.3125</v>
      </c>
      <c r="B1160" t="s">
        <v>22</v>
      </c>
      <c r="C1160" t="s">
        <v>11</v>
      </c>
      <c r="D1160">
        <v>48</v>
      </c>
      <c r="E1160">
        <f t="shared" si="89"/>
        <v>35</v>
      </c>
      <c r="F1160" s="22">
        <f>'2050WH_Z'!$J8</f>
        <v>1.088444039328091</v>
      </c>
      <c r="G1160" s="22" t="s">
        <v>33</v>
      </c>
      <c r="H1160" s="22">
        <f>'2050WH_Z'!$J8</f>
        <v>1.088444039328091</v>
      </c>
      <c r="I1160" t="str">
        <f t="shared" si="88"/>
        <v>WH2050;zomer;48;35;1.08844403932809;TRUE;1.08844403932809</v>
      </c>
    </row>
    <row r="1161" spans="1:9" x14ac:dyDescent="0.25">
      <c r="A1161">
        <f t="shared" si="87"/>
        <v>91.3125</v>
      </c>
      <c r="B1161" t="s">
        <v>22</v>
      </c>
      <c r="C1161" t="s">
        <v>11</v>
      </c>
      <c r="D1161">
        <v>48</v>
      </c>
      <c r="E1161">
        <f t="shared" si="89"/>
        <v>40</v>
      </c>
      <c r="F1161" s="22">
        <f>'2050WH_Z'!$J9</f>
        <v>0.6885025536425613</v>
      </c>
      <c r="G1161" s="22" t="s">
        <v>33</v>
      </c>
      <c r="H1161" s="22">
        <f>'2050WH_Z'!$J9</f>
        <v>0.6885025536425613</v>
      </c>
      <c r="I1161" t="str">
        <f t="shared" si="88"/>
        <v>WH2050;zomer;48;40;0.688502553642561;TRUE;0.688502553642561</v>
      </c>
    </row>
    <row r="1162" spans="1:9" x14ac:dyDescent="0.25">
      <c r="A1162">
        <f t="shared" si="87"/>
        <v>91.3125</v>
      </c>
      <c r="B1162" t="s">
        <v>22</v>
      </c>
      <c r="C1162" t="s">
        <v>11</v>
      </c>
      <c r="D1162">
        <v>48</v>
      </c>
      <c r="E1162">
        <f t="shared" si="89"/>
        <v>45</v>
      </c>
      <c r="F1162" s="22">
        <f>'2050WH_Z'!$J10</f>
        <v>0.44027673770351816</v>
      </c>
      <c r="G1162" s="22" t="s">
        <v>33</v>
      </c>
      <c r="H1162" s="22">
        <f>'2050WH_Z'!$J10</f>
        <v>0.44027673770351816</v>
      </c>
      <c r="I1162" t="str">
        <f t="shared" si="88"/>
        <v>WH2050;zomer;48;45;0.440276737703518;TRUE;0.440276737703518</v>
      </c>
    </row>
    <row r="1163" spans="1:9" x14ac:dyDescent="0.25">
      <c r="A1163">
        <f t="shared" si="87"/>
        <v>91.3125</v>
      </c>
      <c r="B1163" t="s">
        <v>22</v>
      </c>
      <c r="C1163" t="s">
        <v>11</v>
      </c>
      <c r="D1163">
        <v>48</v>
      </c>
      <c r="E1163">
        <f t="shared" si="89"/>
        <v>50</v>
      </c>
      <c r="F1163" s="22">
        <f>'2050WH_Z'!$J11</f>
        <v>0.28447726843841437</v>
      </c>
      <c r="G1163" s="22" t="s">
        <v>33</v>
      </c>
      <c r="H1163" s="22">
        <f>'2050WH_Z'!$J11</f>
        <v>0.28447726843841437</v>
      </c>
      <c r="I1163" t="str">
        <f t="shared" si="88"/>
        <v>WH2050;zomer;48;50;0.284477268438414;TRUE;0.284477268438414</v>
      </c>
    </row>
    <row r="1164" spans="1:9" x14ac:dyDescent="0.25">
      <c r="A1164">
        <f t="shared" si="87"/>
        <v>91.3125</v>
      </c>
      <c r="B1164" t="s">
        <v>22</v>
      </c>
      <c r="C1164" t="s">
        <v>11</v>
      </c>
      <c r="D1164">
        <v>48</v>
      </c>
      <c r="E1164">
        <f t="shared" si="89"/>
        <v>55</v>
      </c>
      <c r="F1164" s="22">
        <f>'2050WH_Z'!$J12</f>
        <v>0.18563799652764873</v>
      </c>
      <c r="G1164" s="22" t="s">
        <v>33</v>
      </c>
      <c r="H1164" s="22">
        <f>'2050WH_Z'!$J12</f>
        <v>0.18563799652764873</v>
      </c>
      <c r="I1164" t="str">
        <f t="shared" si="88"/>
        <v>WH2050;zomer;48;55;0.185637996527649;TRUE;0.185637996527649</v>
      </c>
    </row>
    <row r="1165" spans="1:9" x14ac:dyDescent="0.25">
      <c r="A1165">
        <f t="shared" si="87"/>
        <v>91.3125</v>
      </c>
      <c r="B1165" t="s">
        <v>22</v>
      </c>
      <c r="C1165" t="s">
        <v>11</v>
      </c>
      <c r="D1165">
        <v>48</v>
      </c>
      <c r="E1165">
        <f t="shared" si="89"/>
        <v>60</v>
      </c>
      <c r="F1165" s="22">
        <f>'2050WH_Z'!$J13</f>
        <v>0.12229059919430108</v>
      </c>
      <c r="G1165" s="22" t="s">
        <v>33</v>
      </c>
      <c r="H1165" s="22">
        <f>'2050WH_Z'!$J13</f>
        <v>0.12229059919430108</v>
      </c>
      <c r="I1165" t="str">
        <f t="shared" si="88"/>
        <v>WH2050;zomer;48;60;0.122290599194301;TRUE;0.122290599194301</v>
      </c>
    </row>
    <row r="1166" spans="1:9" x14ac:dyDescent="0.25">
      <c r="A1166">
        <f t="shared" si="87"/>
        <v>91.3125</v>
      </c>
      <c r="B1166" t="s">
        <v>22</v>
      </c>
      <c r="C1166" t="s">
        <v>11</v>
      </c>
      <c r="D1166">
        <v>48</v>
      </c>
      <c r="E1166">
        <f t="shared" si="89"/>
        <v>65</v>
      </c>
      <c r="F1166" s="22">
        <f>'2050WH_Z'!$J14</f>
        <v>8.1292036661406025E-2</v>
      </c>
      <c r="G1166" s="22" t="s">
        <v>33</v>
      </c>
      <c r="H1166" s="22">
        <f>'2050WH_Z'!$J14</f>
        <v>8.1292036661406025E-2</v>
      </c>
      <c r="I1166" t="str">
        <f t="shared" si="88"/>
        <v>WH2050;zomer;48;65;0.081292036661406;TRUE;0.081292036661406</v>
      </c>
    </row>
    <row r="1167" spans="1:9" x14ac:dyDescent="0.25">
      <c r="A1167">
        <f t="shared" si="87"/>
        <v>91.3125</v>
      </c>
      <c r="B1167" t="s">
        <v>22</v>
      </c>
      <c r="C1167" t="s">
        <v>11</v>
      </c>
      <c r="D1167">
        <v>48</v>
      </c>
      <c r="E1167">
        <f t="shared" si="89"/>
        <v>70</v>
      </c>
      <c r="F1167" s="22">
        <f>'2050WH_Z'!$J15</f>
        <v>5.4508578643892913E-2</v>
      </c>
      <c r="G1167" s="22" t="s">
        <v>33</v>
      </c>
      <c r="H1167" s="22">
        <f>'2050WH_Z'!$J15</f>
        <v>5.4508578643892913E-2</v>
      </c>
      <c r="I1167" t="str">
        <f t="shared" si="88"/>
        <v>WH2050;zomer;48;70;5.45085786438929E-02;TRUE;5.45085786438929E-02</v>
      </c>
    </row>
    <row r="1168" spans="1:9" x14ac:dyDescent="0.25">
      <c r="A1168">
        <f t="shared" si="87"/>
        <v>91.3125</v>
      </c>
      <c r="B1168" t="s">
        <v>22</v>
      </c>
      <c r="C1168" t="s">
        <v>11</v>
      </c>
      <c r="D1168">
        <v>48</v>
      </c>
      <c r="E1168">
        <f t="shared" si="89"/>
        <v>75</v>
      </c>
      <c r="F1168" s="22">
        <f>'2050WH_Z'!$J16</f>
        <v>3.6854220831094714E-2</v>
      </c>
      <c r="G1168" s="22" t="s">
        <v>33</v>
      </c>
      <c r="H1168" s="22">
        <f>'2050WH_Z'!$J16</f>
        <v>3.6854220831094714E-2</v>
      </c>
      <c r="I1168" t="str">
        <f t="shared" si="88"/>
        <v>WH2050;zomer;48;75;3.68542208310947E-02;TRUE;3.68542208310947E-02</v>
      </c>
    </row>
    <row r="1169" spans="1:9" x14ac:dyDescent="0.25">
      <c r="A1169">
        <f t="shared" si="87"/>
        <v>91.3125</v>
      </c>
      <c r="B1169" t="s">
        <v>22</v>
      </c>
      <c r="C1169" t="s">
        <v>11</v>
      </c>
      <c r="D1169">
        <v>48</v>
      </c>
      <c r="E1169">
        <f t="shared" si="89"/>
        <v>80</v>
      </c>
      <c r="F1169" s="22">
        <f>'2050WH_Z'!$J17</f>
        <v>2.5117030644088427E-2</v>
      </c>
      <c r="G1169" s="22" t="s">
        <v>33</v>
      </c>
      <c r="H1169" s="22">
        <f>'2050WH_Z'!$J17</f>
        <v>2.5117030644088427E-2</v>
      </c>
      <c r="I1169" t="str">
        <f t="shared" si="88"/>
        <v>WH2050;zomer;48;80;2.51170306440884E-02;TRUE;2.51170306440884E-02</v>
      </c>
    </row>
    <row r="1170" spans="1:9" x14ac:dyDescent="0.25">
      <c r="A1170">
        <f t="shared" si="87"/>
        <v>91.3125</v>
      </c>
      <c r="B1170" t="s">
        <v>22</v>
      </c>
      <c r="C1170" t="s">
        <v>11</v>
      </c>
      <c r="D1170">
        <v>48</v>
      </c>
      <c r="E1170">
        <f t="shared" si="89"/>
        <v>85</v>
      </c>
      <c r="F1170" s="22">
        <f>'2050WH_Z'!$J18</f>
        <v>1.7249241471607925E-2</v>
      </c>
      <c r="G1170" s="22" t="s">
        <v>33</v>
      </c>
      <c r="H1170" s="22">
        <f>'2050WH_Z'!$J18</f>
        <v>1.7249241471607925E-2</v>
      </c>
      <c r="I1170" t="str">
        <f t="shared" si="88"/>
        <v>WH2050;zomer;48;85;1.72492414716079E-02;TRUE;1.72492414716079E-02</v>
      </c>
    </row>
    <row r="1171" spans="1:9" x14ac:dyDescent="0.25">
      <c r="A1171">
        <f t="shared" si="87"/>
        <v>91.3125</v>
      </c>
      <c r="B1171" t="s">
        <v>22</v>
      </c>
      <c r="C1171" t="s">
        <v>11</v>
      </c>
      <c r="D1171">
        <v>48</v>
      </c>
      <c r="E1171">
        <f t="shared" si="89"/>
        <v>90</v>
      </c>
      <c r="F1171" s="22">
        <f>'2050WH_Z'!$J19</f>
        <v>1.1933351146113425E-2</v>
      </c>
      <c r="G1171" s="22" t="s">
        <v>33</v>
      </c>
      <c r="H1171" s="22">
        <f>'2050WH_Z'!$J19</f>
        <v>1.1933351146113425E-2</v>
      </c>
      <c r="I1171" t="str">
        <f t="shared" si="88"/>
        <v>WH2050;zomer;48;90;1.19333511461134E-02;TRUE;1.19333511461134E-02</v>
      </c>
    </row>
    <row r="1172" spans="1:9" x14ac:dyDescent="0.25">
      <c r="A1172">
        <f t="shared" si="87"/>
        <v>91.3125</v>
      </c>
      <c r="B1172" t="s">
        <v>22</v>
      </c>
      <c r="C1172" t="s">
        <v>11</v>
      </c>
      <c r="D1172">
        <v>48</v>
      </c>
      <c r="E1172">
        <f t="shared" si="89"/>
        <v>95</v>
      </c>
      <c r="F1172" s="22">
        <f>'2050WH_Z'!$J20</f>
        <v>8.3142504348122787E-3</v>
      </c>
      <c r="G1172" s="22" t="s">
        <v>33</v>
      </c>
      <c r="H1172" s="22">
        <f>'2050WH_Z'!$J20</f>
        <v>8.3142504348122787E-3</v>
      </c>
      <c r="I1172" t="str">
        <f t="shared" si="88"/>
        <v>WH2050;zomer;48;95;8.31425043481228E-03;TRUE;8.31425043481228E-03</v>
      </c>
    </row>
    <row r="1173" spans="1:9" x14ac:dyDescent="0.25">
      <c r="A1173">
        <f t="shared" si="87"/>
        <v>91.3125</v>
      </c>
      <c r="B1173" t="s">
        <v>22</v>
      </c>
      <c r="C1173" t="s">
        <v>11</v>
      </c>
      <c r="D1173">
        <v>48</v>
      </c>
      <c r="E1173">
        <f t="shared" si="89"/>
        <v>100</v>
      </c>
      <c r="F1173" s="22">
        <f>'2050WH_Z'!$J21</f>
        <v>5.8322551926531744E-3</v>
      </c>
      <c r="G1173" s="22" t="s">
        <v>33</v>
      </c>
      <c r="H1173" s="22">
        <f>'2050WH_Z'!$J21</f>
        <v>5.8322551926531744E-3</v>
      </c>
      <c r="I1173" t="str">
        <f t="shared" si="88"/>
        <v>WH2050;zomer;48;100;5.83225519265317E-03;TRUE;5.83225519265317E-03</v>
      </c>
    </row>
    <row r="1174" spans="1:9" x14ac:dyDescent="0.25">
      <c r="A1174">
        <f t="shared" si="87"/>
        <v>91.3125</v>
      </c>
      <c r="B1174" t="s">
        <v>22</v>
      </c>
      <c r="C1174" t="s">
        <v>11</v>
      </c>
      <c r="D1174">
        <v>48</v>
      </c>
      <c r="E1174">
        <f t="shared" si="89"/>
        <v>105</v>
      </c>
      <c r="F1174" s="22">
        <f>'2050WH_Z'!$J22</f>
        <v>4.1180683427784488E-3</v>
      </c>
      <c r="G1174" s="22" t="s">
        <v>33</v>
      </c>
      <c r="H1174" s="22">
        <f>'2050WH_Z'!$J22</f>
        <v>4.1180683427784488E-3</v>
      </c>
      <c r="I1174" t="str">
        <f t="shared" si="88"/>
        <v>WH2050;zomer;48;105;4.11806834277845E-03;TRUE;4.11806834277845E-03</v>
      </c>
    </row>
    <row r="1175" spans="1:9" x14ac:dyDescent="0.25">
      <c r="A1175">
        <f t="shared" si="87"/>
        <v>91.3125</v>
      </c>
      <c r="B1175" t="s">
        <v>22</v>
      </c>
      <c r="C1175" t="s">
        <v>11</v>
      </c>
      <c r="D1175">
        <v>48</v>
      </c>
      <c r="E1175">
        <f t="shared" si="89"/>
        <v>110</v>
      </c>
      <c r="F1175" s="22">
        <f>'2050WH_Z'!$J23</f>
        <v>1.0670608349587912E-2</v>
      </c>
      <c r="G1175" s="22" t="s">
        <v>33</v>
      </c>
      <c r="H1175" s="22">
        <f>'2050WH_Z'!$J23</f>
        <v>1.0670608349587912E-2</v>
      </c>
      <c r="I1175" t="str">
        <f t="shared" si="88"/>
        <v>WH2050;zomer;48;110;1.06706083495879E-02;TRUE;1.06706083495879E-02</v>
      </c>
    </row>
    <row r="1176" spans="1:9" x14ac:dyDescent="0.25">
      <c r="A1176">
        <f t="shared" si="87"/>
        <v>45.65625</v>
      </c>
      <c r="B1176" t="s">
        <v>22</v>
      </c>
      <c r="C1176" t="s">
        <v>11</v>
      </c>
      <c r="D1176">
        <v>96</v>
      </c>
      <c r="E1176">
        <v>20</v>
      </c>
      <c r="F1176" s="22">
        <f>'2050WH_Z'!$N5</f>
        <v>79.86273225506892</v>
      </c>
      <c r="G1176" s="22" t="s">
        <v>33</v>
      </c>
      <c r="H1176" s="22">
        <f>'2050WH_Z'!$N5</f>
        <v>79.86273225506892</v>
      </c>
      <c r="I1176" t="str">
        <f t="shared" si="88"/>
        <v>WH2050;zomer;96;20;79.8627322550689;TRUE;79.8627322550689</v>
      </c>
    </row>
    <row r="1177" spans="1:9" x14ac:dyDescent="0.25">
      <c r="A1177">
        <f t="shared" si="87"/>
        <v>45.65625</v>
      </c>
      <c r="B1177" t="s">
        <v>22</v>
      </c>
      <c r="C1177" t="s">
        <v>11</v>
      </c>
      <c r="D1177">
        <v>96</v>
      </c>
      <c r="E1177">
        <f>E1176+5</f>
        <v>25</v>
      </c>
      <c r="F1177" s="22">
        <f>'2050WH_Z'!$N6</f>
        <v>3.3994166219553925</v>
      </c>
      <c r="G1177" s="22" t="s">
        <v>33</v>
      </c>
      <c r="H1177" s="22">
        <f>'2050WH_Z'!$N6</f>
        <v>3.3994166219553925</v>
      </c>
      <c r="I1177" t="str">
        <f t="shared" si="88"/>
        <v>WH2050;zomer;96;25;3.39941662195539;TRUE;3.39941662195539</v>
      </c>
    </row>
    <row r="1178" spans="1:9" x14ac:dyDescent="0.25">
      <c r="A1178">
        <f t="shared" si="87"/>
        <v>45.65625</v>
      </c>
      <c r="B1178" t="s">
        <v>22</v>
      </c>
      <c r="C1178" t="s">
        <v>11</v>
      </c>
      <c r="D1178">
        <v>96</v>
      </c>
      <c r="E1178">
        <f t="shared" ref="E1178:E1196" si="90">E1177+5</f>
        <v>30</v>
      </c>
      <c r="F1178" s="22">
        <f>'2050WH_Z'!$N7</f>
        <v>2.3747821872048069</v>
      </c>
      <c r="G1178" s="22" t="s">
        <v>33</v>
      </c>
      <c r="H1178" s="22">
        <f>'2050WH_Z'!$N7</f>
        <v>2.3747821872048069</v>
      </c>
      <c r="I1178" t="str">
        <f t="shared" si="88"/>
        <v>WH2050;zomer;96;30;2.37478218720481;TRUE;2.37478218720481</v>
      </c>
    </row>
    <row r="1179" spans="1:9" x14ac:dyDescent="0.25">
      <c r="A1179">
        <f t="shared" si="87"/>
        <v>45.65625</v>
      </c>
      <c r="B1179" t="s">
        <v>22</v>
      </c>
      <c r="C1179" t="s">
        <v>11</v>
      </c>
      <c r="D1179">
        <v>96</v>
      </c>
      <c r="E1179">
        <f t="shared" si="90"/>
        <v>35</v>
      </c>
      <c r="F1179" s="22">
        <f>'2050WH_Z'!$N8</f>
        <v>1.6635547318776487</v>
      </c>
      <c r="G1179" s="22" t="s">
        <v>33</v>
      </c>
      <c r="H1179" s="22">
        <f>'2050WH_Z'!$N8</f>
        <v>1.6635547318776487</v>
      </c>
      <c r="I1179" t="str">
        <f t="shared" si="88"/>
        <v>WH2050;zomer;96;35;1.66355473187765;TRUE;1.66355473187765</v>
      </c>
    </row>
    <row r="1180" spans="1:9" x14ac:dyDescent="0.25">
      <c r="A1180">
        <f t="shared" si="87"/>
        <v>45.65625</v>
      </c>
      <c r="B1180" t="s">
        <v>22</v>
      </c>
      <c r="C1180" t="s">
        <v>11</v>
      </c>
      <c r="D1180">
        <v>96</v>
      </c>
      <c r="E1180">
        <f t="shared" si="90"/>
        <v>40</v>
      </c>
      <c r="F1180" s="22">
        <f>'2050WH_Z'!$N9</f>
        <v>1.1684931255233284</v>
      </c>
      <c r="G1180" s="22" t="s">
        <v>33</v>
      </c>
      <c r="H1180" s="22">
        <f>'2050WH_Z'!$N9</f>
        <v>1.1684931255233284</v>
      </c>
      <c r="I1180" t="str">
        <f t="shared" si="88"/>
        <v>WH2050;zomer;96;40;1.16849312552333;TRUE;1.16849312552333</v>
      </c>
    </row>
    <row r="1181" spans="1:9" x14ac:dyDescent="0.25">
      <c r="A1181">
        <f t="shared" si="87"/>
        <v>45.65625</v>
      </c>
      <c r="B1181" t="s">
        <v>22</v>
      </c>
      <c r="C1181" t="s">
        <v>11</v>
      </c>
      <c r="D1181">
        <v>96</v>
      </c>
      <c r="E1181">
        <f t="shared" si="90"/>
        <v>45</v>
      </c>
      <c r="F1181" s="22">
        <f>'2050WH_Z'!$N10</f>
        <v>0.82294958716156641</v>
      </c>
      <c r="G1181" s="22" t="s">
        <v>33</v>
      </c>
      <c r="H1181" s="22">
        <f>'2050WH_Z'!$N10</f>
        <v>0.82294958716156641</v>
      </c>
      <c r="I1181" t="str">
        <f t="shared" si="88"/>
        <v>WH2050;zomer;96;45;0.822949587161566;TRUE;0.822949587161566</v>
      </c>
    </row>
    <row r="1182" spans="1:9" x14ac:dyDescent="0.25">
      <c r="A1182">
        <f t="shared" si="87"/>
        <v>45.65625</v>
      </c>
      <c r="B1182" t="s">
        <v>22</v>
      </c>
      <c r="C1182" t="s">
        <v>11</v>
      </c>
      <c r="D1182">
        <v>96</v>
      </c>
      <c r="E1182">
        <f t="shared" si="90"/>
        <v>50</v>
      </c>
      <c r="F1182" s="22">
        <f>'2050WH_Z'!$N11</f>
        <v>0.58111347894555965</v>
      </c>
      <c r="G1182" s="22" t="s">
        <v>33</v>
      </c>
      <c r="H1182" s="22">
        <f>'2050WH_Z'!$N11</f>
        <v>0.58111347894555965</v>
      </c>
      <c r="I1182" t="str">
        <f t="shared" si="88"/>
        <v>WH2050;zomer;96;50;0.58111347894556;TRUE;0.58111347894556</v>
      </c>
    </row>
    <row r="1183" spans="1:9" x14ac:dyDescent="0.25">
      <c r="A1183">
        <f t="shared" si="87"/>
        <v>45.65625</v>
      </c>
      <c r="B1183" t="s">
        <v>22</v>
      </c>
      <c r="C1183" t="s">
        <v>11</v>
      </c>
      <c r="D1183">
        <v>96</v>
      </c>
      <c r="E1183">
        <f t="shared" si="90"/>
        <v>55</v>
      </c>
      <c r="F1183" s="22">
        <f>'2050WH_Z'!$N12</f>
        <v>0.41140763392933999</v>
      </c>
      <c r="G1183" s="22" t="s">
        <v>33</v>
      </c>
      <c r="H1183" s="22">
        <f>'2050WH_Z'!$N12</f>
        <v>0.41140763392933999</v>
      </c>
      <c r="I1183" t="str">
        <f t="shared" si="88"/>
        <v>WH2050;zomer;96;55;0.41140763392934;TRUE;0.41140763392934</v>
      </c>
    </row>
    <row r="1184" spans="1:9" x14ac:dyDescent="0.25">
      <c r="A1184">
        <f t="shared" si="87"/>
        <v>45.65625</v>
      </c>
      <c r="B1184" t="s">
        <v>22</v>
      </c>
      <c r="C1184" t="s">
        <v>11</v>
      </c>
      <c r="D1184">
        <v>96</v>
      </c>
      <c r="E1184">
        <f t="shared" si="90"/>
        <v>60</v>
      </c>
      <c r="F1184" s="22">
        <f>'2050WH_Z'!$N13</f>
        <v>0.29200536513673103</v>
      </c>
      <c r="G1184" s="22" t="s">
        <v>33</v>
      </c>
      <c r="H1184" s="22">
        <f>'2050WH_Z'!$N13</f>
        <v>0.29200536513673103</v>
      </c>
      <c r="I1184" t="str">
        <f t="shared" si="88"/>
        <v>WH2050;zomer;96;60;0.292005365136731;TRUE;0.292005365136731</v>
      </c>
    </row>
    <row r="1185" spans="1:9" x14ac:dyDescent="0.25">
      <c r="A1185">
        <f t="shared" si="87"/>
        <v>45.65625</v>
      </c>
      <c r="B1185" t="s">
        <v>22</v>
      </c>
      <c r="C1185" t="s">
        <v>11</v>
      </c>
      <c r="D1185">
        <v>96</v>
      </c>
      <c r="E1185">
        <f t="shared" si="90"/>
        <v>65</v>
      </c>
      <c r="F1185" s="22">
        <f>'2050WH_Z'!$N14</f>
        <v>0.20777829443537332</v>
      </c>
      <c r="G1185" s="22" t="s">
        <v>33</v>
      </c>
      <c r="H1185" s="22">
        <f>'2050WH_Z'!$N14</f>
        <v>0.20777829443537332</v>
      </c>
      <c r="I1185" t="str">
        <f t="shared" si="88"/>
        <v>WH2050;zomer;96;65;0.207778294435373;TRUE;0.207778294435373</v>
      </c>
    </row>
    <row r="1186" spans="1:9" x14ac:dyDescent="0.25">
      <c r="A1186">
        <f t="shared" si="87"/>
        <v>45.65625</v>
      </c>
      <c r="B1186" t="s">
        <v>22</v>
      </c>
      <c r="C1186" t="s">
        <v>11</v>
      </c>
      <c r="D1186">
        <v>96</v>
      </c>
      <c r="E1186">
        <f t="shared" si="90"/>
        <v>70</v>
      </c>
      <c r="F1186" s="22">
        <f>'2050WH_Z'!$N15</f>
        <v>0.14821239030166961</v>
      </c>
      <c r="G1186" s="22" t="s">
        <v>33</v>
      </c>
      <c r="H1186" s="22">
        <f>'2050WH_Z'!$N15</f>
        <v>0.14821239030166961</v>
      </c>
      <c r="I1186" t="str">
        <f t="shared" si="88"/>
        <v>WH2050;zomer;96;70;0.14821239030167;TRUE;0.14821239030167</v>
      </c>
    </row>
    <row r="1187" spans="1:9" x14ac:dyDescent="0.25">
      <c r="A1187">
        <f t="shared" si="87"/>
        <v>45.65625</v>
      </c>
      <c r="B1187" t="s">
        <v>22</v>
      </c>
      <c r="C1187" t="s">
        <v>11</v>
      </c>
      <c r="D1187">
        <v>96</v>
      </c>
      <c r="E1187">
        <f t="shared" si="90"/>
        <v>75</v>
      </c>
      <c r="F1187" s="22">
        <f>'2050WH_Z'!$N16</f>
        <v>0.10598107140108259</v>
      </c>
      <c r="G1187" s="22" t="s">
        <v>33</v>
      </c>
      <c r="H1187" s="22">
        <f>'2050WH_Z'!$N16</f>
        <v>0.10598107140108259</v>
      </c>
      <c r="I1187" t="str">
        <f t="shared" si="88"/>
        <v>WH2050;zomer;96;75;0.105981071401083;TRUE;0.105981071401083</v>
      </c>
    </row>
    <row r="1188" spans="1:9" x14ac:dyDescent="0.25">
      <c r="A1188">
        <f t="shared" si="87"/>
        <v>45.65625</v>
      </c>
      <c r="B1188" t="s">
        <v>22</v>
      </c>
      <c r="C1188" t="s">
        <v>11</v>
      </c>
      <c r="D1188">
        <v>96</v>
      </c>
      <c r="E1188">
        <f t="shared" si="90"/>
        <v>80</v>
      </c>
      <c r="F1188" s="22">
        <f>'2050WH_Z'!$N17</f>
        <v>7.5965493779003079E-2</v>
      </c>
      <c r="G1188" s="22" t="s">
        <v>33</v>
      </c>
      <c r="H1188" s="22">
        <f>'2050WH_Z'!$N17</f>
        <v>7.5965493779003079E-2</v>
      </c>
      <c r="I1188" t="str">
        <f t="shared" si="88"/>
        <v>WH2050;zomer;96;80;7.59654937790031E-02;TRUE;7.59654937790031E-02</v>
      </c>
    </row>
    <row r="1189" spans="1:9" x14ac:dyDescent="0.25">
      <c r="A1189">
        <f t="shared" si="87"/>
        <v>45.65625</v>
      </c>
      <c r="B1189" t="s">
        <v>22</v>
      </c>
      <c r="C1189" t="s">
        <v>11</v>
      </c>
      <c r="D1189">
        <v>96</v>
      </c>
      <c r="E1189">
        <f t="shared" si="90"/>
        <v>85</v>
      </c>
      <c r="F1189" s="22">
        <f>'2050WH_Z'!$N18</f>
        <v>5.4580036274221588E-2</v>
      </c>
      <c r="G1189" s="22" t="s">
        <v>33</v>
      </c>
      <c r="H1189" s="22">
        <f>'2050WH_Z'!$N18</f>
        <v>5.4580036274221588E-2</v>
      </c>
      <c r="I1189" t="str">
        <f t="shared" si="88"/>
        <v>WH2050;zomer;96;85;5.45800362742216E-02;TRUE;5.45800362742216E-02</v>
      </c>
    </row>
    <row r="1190" spans="1:9" x14ac:dyDescent="0.25">
      <c r="A1190">
        <f t="shared" si="87"/>
        <v>45.65625</v>
      </c>
      <c r="B1190" t="s">
        <v>22</v>
      </c>
      <c r="C1190" t="s">
        <v>11</v>
      </c>
      <c r="D1190">
        <v>96</v>
      </c>
      <c r="E1190">
        <f t="shared" si="90"/>
        <v>90</v>
      </c>
      <c r="F1190" s="22">
        <f>'2050WH_Z'!$N19</f>
        <v>3.9306657609797555E-2</v>
      </c>
      <c r="G1190" s="22" t="s">
        <v>33</v>
      </c>
      <c r="H1190" s="22">
        <f>'2050WH_Z'!$N19</f>
        <v>3.9306657609797555E-2</v>
      </c>
      <c r="I1190" t="str">
        <f t="shared" si="88"/>
        <v>WH2050;zomer;96;90;3.93066576097976E-02;TRUE;3.93066576097976E-02</v>
      </c>
    </row>
    <row r="1191" spans="1:9" x14ac:dyDescent="0.25">
      <c r="A1191">
        <f t="shared" si="87"/>
        <v>45.65625</v>
      </c>
      <c r="B1191" t="s">
        <v>22</v>
      </c>
      <c r="C1191" t="s">
        <v>11</v>
      </c>
      <c r="D1191">
        <v>96</v>
      </c>
      <c r="E1191">
        <f t="shared" si="90"/>
        <v>95</v>
      </c>
      <c r="F1191" s="22">
        <f>'2050WH_Z'!$N20</f>
        <v>2.8372591449791401E-2</v>
      </c>
      <c r="G1191" s="22" t="s">
        <v>33</v>
      </c>
      <c r="H1191" s="22">
        <f>'2050WH_Z'!$N20</f>
        <v>2.8372591449791401E-2</v>
      </c>
      <c r="I1191" t="str">
        <f t="shared" si="88"/>
        <v>WH2050;zomer;96;95;2.83725914497914E-02;TRUE;2.83725914497914E-02</v>
      </c>
    </row>
    <row r="1192" spans="1:9" x14ac:dyDescent="0.25">
      <c r="A1192">
        <f t="shared" si="87"/>
        <v>45.65625</v>
      </c>
      <c r="B1192" t="s">
        <v>22</v>
      </c>
      <c r="C1192" t="s">
        <v>11</v>
      </c>
      <c r="D1192">
        <v>96</v>
      </c>
      <c r="E1192">
        <f t="shared" si="90"/>
        <v>100</v>
      </c>
      <c r="F1192" s="22">
        <f>'2050WH_Z'!$N21</f>
        <v>2.0526671702074374E-2</v>
      </c>
      <c r="G1192" s="22" t="s">
        <v>33</v>
      </c>
      <c r="H1192" s="22">
        <f>'2050WH_Z'!$N21</f>
        <v>2.0526671702074374E-2</v>
      </c>
      <c r="I1192" t="str">
        <f t="shared" si="88"/>
        <v>WH2050;zomer;96;100;2.05266717020744E-02;TRUE;2.05266717020744E-02</v>
      </c>
    </row>
    <row r="1193" spans="1:9" x14ac:dyDescent="0.25">
      <c r="A1193">
        <f t="shared" si="87"/>
        <v>45.65625</v>
      </c>
      <c r="B1193" t="s">
        <v>22</v>
      </c>
      <c r="C1193" t="s">
        <v>11</v>
      </c>
      <c r="D1193">
        <v>96</v>
      </c>
      <c r="E1193">
        <f t="shared" si="90"/>
        <v>105</v>
      </c>
      <c r="F1193" s="22">
        <f>'2050WH_Z'!$N22</f>
        <v>1.4883704921390135E-2</v>
      </c>
      <c r="G1193" s="22" t="s">
        <v>33</v>
      </c>
      <c r="H1193" s="22">
        <f>'2050WH_Z'!$N22</f>
        <v>1.4883704921390135E-2</v>
      </c>
      <c r="I1193" t="str">
        <f t="shared" si="88"/>
        <v>WH2050;zomer;96;105;1.48837049213901E-02;TRUE;1.48837049213901E-02</v>
      </c>
    </row>
    <row r="1194" spans="1:9" x14ac:dyDescent="0.25">
      <c r="A1194">
        <f t="shared" si="87"/>
        <v>45.65625</v>
      </c>
      <c r="B1194" t="s">
        <v>22</v>
      </c>
      <c r="C1194" t="s">
        <v>11</v>
      </c>
      <c r="D1194">
        <v>96</v>
      </c>
      <c r="E1194">
        <f t="shared" si="90"/>
        <v>110</v>
      </c>
      <c r="F1194" s="22">
        <f>'2050WH_Z'!$N23</f>
        <v>1.0815912640655703E-2</v>
      </c>
      <c r="G1194" s="22" t="s">
        <v>33</v>
      </c>
      <c r="H1194" s="22">
        <f>'2050WH_Z'!$N23</f>
        <v>1.0815912640655703E-2</v>
      </c>
      <c r="I1194" t="str">
        <f t="shared" si="88"/>
        <v>WH2050;zomer;96;110;1.08159126406557E-02;TRUE;1.08159126406557E-02</v>
      </c>
    </row>
    <row r="1195" spans="1:9" x14ac:dyDescent="0.25">
      <c r="A1195">
        <f t="shared" si="87"/>
        <v>45.65625</v>
      </c>
      <c r="B1195" t="s">
        <v>22</v>
      </c>
      <c r="C1195" t="s">
        <v>11</v>
      </c>
      <c r="D1195">
        <v>96</v>
      </c>
      <c r="E1195">
        <f t="shared" si="90"/>
        <v>115</v>
      </c>
      <c r="F1195" s="22">
        <f>'2050WH_Z'!$N24</f>
        <v>7.8770171467417334E-3</v>
      </c>
      <c r="G1195" s="22" t="s">
        <v>33</v>
      </c>
      <c r="H1195" s="22">
        <f>'2050WH_Z'!$N24</f>
        <v>7.8770171467417334E-3</v>
      </c>
      <c r="I1195" t="str">
        <f t="shared" si="88"/>
        <v>WH2050;zomer;96;115;7.87701714674173E-03;TRUE;7.87701714674173E-03</v>
      </c>
    </row>
    <row r="1196" spans="1:9" x14ac:dyDescent="0.25">
      <c r="A1196">
        <f t="shared" si="87"/>
        <v>45.65625</v>
      </c>
      <c r="B1196" t="s">
        <v>22</v>
      </c>
      <c r="C1196" t="s">
        <v>11</v>
      </c>
      <c r="D1196">
        <v>96</v>
      </c>
      <c r="E1196">
        <f t="shared" si="90"/>
        <v>120</v>
      </c>
      <c r="F1196" s="22">
        <f>'2050WH_Z'!$N25</f>
        <v>2.1745171534898147E-2</v>
      </c>
      <c r="G1196" s="22" t="s">
        <v>33</v>
      </c>
      <c r="H1196" s="22">
        <f>'2050WH_Z'!$N25</f>
        <v>2.1745171534898147E-2</v>
      </c>
      <c r="I1196" t="str">
        <f t="shared" si="88"/>
        <v>WH2050;zomer;96;120;2.17451715348981E-02;TRUE;2.17451715348981E-02</v>
      </c>
    </row>
    <row r="1197" spans="1:9" x14ac:dyDescent="0.25">
      <c r="A1197">
        <f t="shared" si="87"/>
        <v>22.828125</v>
      </c>
      <c r="B1197" t="s">
        <v>22</v>
      </c>
      <c r="C1197" t="s">
        <v>11</v>
      </c>
      <c r="D1197">
        <v>192</v>
      </c>
      <c r="E1197">
        <v>20</v>
      </c>
      <c r="F1197" s="22">
        <f>'2050WH_Z'!$R5</f>
        <v>32.67977476339037</v>
      </c>
      <c r="G1197" s="22" t="s">
        <v>33</v>
      </c>
      <c r="H1197" s="22">
        <f>'2050WH_Z'!$R5</f>
        <v>32.67977476339037</v>
      </c>
      <c r="I1197" t="str">
        <f t="shared" si="88"/>
        <v>WH2050;zomer;192;20;32.6797747633904;TRUE;32.6797747633904</v>
      </c>
    </row>
    <row r="1198" spans="1:9" x14ac:dyDescent="0.25">
      <c r="A1198">
        <f t="shared" si="87"/>
        <v>22.828125</v>
      </c>
      <c r="B1198" t="s">
        <v>22</v>
      </c>
      <c r="C1198" t="s">
        <v>11</v>
      </c>
      <c r="D1198">
        <v>192</v>
      </c>
      <c r="E1198">
        <f>E1197+5</f>
        <v>25</v>
      </c>
      <c r="F1198" s="22">
        <f>'2050WH_Z'!$R6</f>
        <v>2.6381728813192513</v>
      </c>
      <c r="G1198" s="22" t="s">
        <v>33</v>
      </c>
      <c r="H1198" s="22">
        <f>'2050WH_Z'!$R6</f>
        <v>2.6381728813192513</v>
      </c>
      <c r="I1198" t="str">
        <f t="shared" si="88"/>
        <v>WH2050;zomer;192;25;2.63817288131925;TRUE;2.63817288131925</v>
      </c>
    </row>
    <row r="1199" spans="1:9" x14ac:dyDescent="0.25">
      <c r="A1199">
        <f t="shared" si="87"/>
        <v>22.828125</v>
      </c>
      <c r="B1199" t="s">
        <v>22</v>
      </c>
      <c r="C1199" t="s">
        <v>11</v>
      </c>
      <c r="D1199">
        <v>192</v>
      </c>
      <c r="E1199">
        <f t="shared" ref="E1199:E1223" si="91">E1198+5</f>
        <v>30</v>
      </c>
      <c r="F1199" s="22">
        <f>'2050WH_Z'!$R7</f>
        <v>2.1215761241909767</v>
      </c>
      <c r="G1199" s="22" t="s">
        <v>33</v>
      </c>
      <c r="H1199" s="22">
        <f>'2050WH_Z'!$R7</f>
        <v>2.1215761241909767</v>
      </c>
      <c r="I1199" t="str">
        <f t="shared" si="88"/>
        <v>WH2050;zomer;192;30;2.12157612419098;TRUE;2.12157612419098</v>
      </c>
    </row>
    <row r="1200" spans="1:9" x14ac:dyDescent="0.25">
      <c r="A1200">
        <f t="shared" si="87"/>
        <v>22.828125</v>
      </c>
      <c r="B1200" t="s">
        <v>22</v>
      </c>
      <c r="C1200" t="s">
        <v>11</v>
      </c>
      <c r="D1200">
        <v>192</v>
      </c>
      <c r="E1200">
        <f t="shared" si="91"/>
        <v>35</v>
      </c>
      <c r="F1200" s="22">
        <f>'2050WH_Z'!$R8</f>
        <v>1.7021940718849216</v>
      </c>
      <c r="G1200" s="22" t="s">
        <v>33</v>
      </c>
      <c r="H1200" s="22">
        <f>'2050WH_Z'!$R8</f>
        <v>1.7021940718849216</v>
      </c>
      <c r="I1200" t="str">
        <f t="shared" si="88"/>
        <v>WH2050;zomer;192;35;1.70219407188492;TRUE;1.70219407188492</v>
      </c>
    </row>
    <row r="1201" spans="1:9" x14ac:dyDescent="0.25">
      <c r="A1201">
        <f t="shared" si="87"/>
        <v>22.828125</v>
      </c>
      <c r="B1201" t="s">
        <v>22</v>
      </c>
      <c r="C1201" t="s">
        <v>11</v>
      </c>
      <c r="D1201">
        <v>192</v>
      </c>
      <c r="E1201">
        <f t="shared" si="91"/>
        <v>40</v>
      </c>
      <c r="F1201" s="22">
        <f>'2050WH_Z'!$R9</f>
        <v>1.3624891421324481</v>
      </c>
      <c r="G1201" s="22" t="s">
        <v>33</v>
      </c>
      <c r="H1201" s="22">
        <f>'2050WH_Z'!$R9</f>
        <v>1.3624891421324481</v>
      </c>
      <c r="I1201" t="str">
        <f t="shared" si="88"/>
        <v>WH2050;zomer;192;40;1.36248914213245;TRUE;1.36248914213245</v>
      </c>
    </row>
    <row r="1202" spans="1:9" x14ac:dyDescent="0.25">
      <c r="A1202">
        <f t="shared" si="87"/>
        <v>22.828125</v>
      </c>
      <c r="B1202" t="s">
        <v>22</v>
      </c>
      <c r="C1202" t="s">
        <v>11</v>
      </c>
      <c r="D1202">
        <v>192</v>
      </c>
      <c r="E1202">
        <f t="shared" si="91"/>
        <v>45</v>
      </c>
      <c r="F1202" s="22">
        <f>'2050WH_Z'!$R10</f>
        <v>1.0879483595798902</v>
      </c>
      <c r="G1202" s="22" t="s">
        <v>33</v>
      </c>
      <c r="H1202" s="22">
        <f>'2050WH_Z'!$R10</f>
        <v>1.0879483595798902</v>
      </c>
      <c r="I1202" t="str">
        <f t="shared" si="88"/>
        <v>WH2050;zomer;192;45;1.08794835957989;TRUE;1.08794835957989</v>
      </c>
    </row>
    <row r="1203" spans="1:9" x14ac:dyDescent="0.25">
      <c r="A1203">
        <f t="shared" si="87"/>
        <v>22.828125</v>
      </c>
      <c r="B1203" t="s">
        <v>22</v>
      </c>
      <c r="C1203" t="s">
        <v>11</v>
      </c>
      <c r="D1203">
        <v>192</v>
      </c>
      <c r="E1203">
        <f t="shared" si="91"/>
        <v>50</v>
      </c>
      <c r="F1203" s="22">
        <f>'2050WH_Z'!$R11</f>
        <v>0.86658620208954318</v>
      </c>
      <c r="G1203" s="22" t="s">
        <v>33</v>
      </c>
      <c r="H1203" s="22">
        <f>'2050WH_Z'!$R11</f>
        <v>0.86658620208954318</v>
      </c>
      <c r="I1203" t="str">
        <f t="shared" si="88"/>
        <v>WH2050;zomer;192;50;0.866586202089543;TRUE;0.866586202089543</v>
      </c>
    </row>
    <row r="1204" spans="1:9" x14ac:dyDescent="0.25">
      <c r="A1204">
        <f t="shared" si="87"/>
        <v>22.828125</v>
      </c>
      <c r="B1204" t="s">
        <v>22</v>
      </c>
      <c r="C1204" t="s">
        <v>11</v>
      </c>
      <c r="D1204">
        <v>192</v>
      </c>
      <c r="E1204">
        <f t="shared" si="91"/>
        <v>55</v>
      </c>
      <c r="F1204" s="22">
        <f>'2050WH_Z'!$R12</f>
        <v>0.68852505861263147</v>
      </c>
      <c r="G1204" s="22" t="s">
        <v>33</v>
      </c>
      <c r="H1204" s="22">
        <f>'2050WH_Z'!$R12</f>
        <v>0.68852505861263147</v>
      </c>
      <c r="I1204" t="str">
        <f t="shared" si="88"/>
        <v>WH2050;zomer;192;55;0.688525058612631;TRUE;0.688525058612631</v>
      </c>
    </row>
    <row r="1205" spans="1:9" x14ac:dyDescent="0.25">
      <c r="A1205">
        <f t="shared" si="87"/>
        <v>22.828125</v>
      </c>
      <c r="B1205" t="s">
        <v>22</v>
      </c>
      <c r="C1205" t="s">
        <v>11</v>
      </c>
      <c r="D1205">
        <v>192</v>
      </c>
      <c r="E1205">
        <f t="shared" si="91"/>
        <v>60</v>
      </c>
      <c r="F1205" s="22">
        <f>'2050WH_Z'!$R13</f>
        <v>0.54564183651711606</v>
      </c>
      <c r="G1205" s="22" t="s">
        <v>33</v>
      </c>
      <c r="H1205" s="22">
        <f>'2050WH_Z'!$R13</f>
        <v>0.54564183651711606</v>
      </c>
      <c r="I1205" t="str">
        <f t="shared" si="88"/>
        <v>WH2050;zomer;192;60;0.545641836517116;TRUE;0.545641836517116</v>
      </c>
    </row>
    <row r="1206" spans="1:9" x14ac:dyDescent="0.25">
      <c r="A1206">
        <f t="shared" si="87"/>
        <v>22.828125</v>
      </c>
      <c r="B1206" t="s">
        <v>22</v>
      </c>
      <c r="C1206" t="s">
        <v>11</v>
      </c>
      <c r="D1206">
        <v>192</v>
      </c>
      <c r="E1206">
        <f t="shared" si="91"/>
        <v>65</v>
      </c>
      <c r="F1206" s="22">
        <f>'2050WH_Z'!$R14</f>
        <v>0.43127085047219227</v>
      </c>
      <c r="G1206" s="22" t="s">
        <v>33</v>
      </c>
      <c r="H1206" s="22">
        <f>'2050WH_Z'!$R14</f>
        <v>0.43127085047219227</v>
      </c>
      <c r="I1206" t="str">
        <f t="shared" si="88"/>
        <v>WH2050;zomer;192;65;0.431270850472192;TRUE;0.431270850472192</v>
      </c>
    </row>
    <row r="1207" spans="1:9" x14ac:dyDescent="0.25">
      <c r="A1207">
        <f t="shared" si="87"/>
        <v>22.828125</v>
      </c>
      <c r="B1207" t="s">
        <v>22</v>
      </c>
      <c r="C1207" t="s">
        <v>11</v>
      </c>
      <c r="D1207">
        <v>192</v>
      </c>
      <c r="E1207">
        <f t="shared" si="91"/>
        <v>70</v>
      </c>
      <c r="F1207" s="22">
        <f>'2050WH_Z'!$R15</f>
        <v>0.33995451147341016</v>
      </c>
      <c r="G1207" s="22" t="s">
        <v>33</v>
      </c>
      <c r="H1207" s="22">
        <f>'2050WH_Z'!$R15</f>
        <v>0.33995451147341016</v>
      </c>
      <c r="I1207" t="str">
        <f t="shared" si="88"/>
        <v>WH2050;zomer;192;70;0.33995451147341;TRUE;0.33995451147341</v>
      </c>
    </row>
    <row r="1208" spans="1:9" x14ac:dyDescent="0.25">
      <c r="A1208">
        <f t="shared" si="87"/>
        <v>22.828125</v>
      </c>
      <c r="B1208" t="s">
        <v>22</v>
      </c>
      <c r="C1208" t="s">
        <v>11</v>
      </c>
      <c r="D1208">
        <v>192</v>
      </c>
      <c r="E1208">
        <f t="shared" si="91"/>
        <v>75</v>
      </c>
      <c r="F1208" s="22">
        <f>'2050WH_Z'!$R16</f>
        <v>0.26723453854356671</v>
      </c>
      <c r="G1208" s="22" t="s">
        <v>33</v>
      </c>
      <c r="H1208" s="22">
        <f>'2050WH_Z'!$R16</f>
        <v>0.26723453854356671</v>
      </c>
      <c r="I1208" t="str">
        <f t="shared" si="88"/>
        <v>WH2050;zomer;192;75;0.267234538543567;TRUE;0.267234538543567</v>
      </c>
    </row>
    <row r="1209" spans="1:9" x14ac:dyDescent="0.25">
      <c r="A1209">
        <f t="shared" si="87"/>
        <v>22.828125</v>
      </c>
      <c r="B1209" t="s">
        <v>22</v>
      </c>
      <c r="C1209" t="s">
        <v>11</v>
      </c>
      <c r="D1209">
        <v>192</v>
      </c>
      <c r="E1209">
        <f t="shared" si="91"/>
        <v>80</v>
      </c>
      <c r="F1209" s="22">
        <f>'2050WH_Z'!$R17</f>
        <v>0.20947745944370311</v>
      </c>
      <c r="G1209" s="22" t="s">
        <v>33</v>
      </c>
      <c r="H1209" s="22">
        <f>'2050WH_Z'!$R17</f>
        <v>0.20947745944370311</v>
      </c>
      <c r="I1209" t="str">
        <f t="shared" si="88"/>
        <v>WH2050;zomer;192;80;0.209477459443703;TRUE;0.209477459443703</v>
      </c>
    </row>
    <row r="1210" spans="1:9" x14ac:dyDescent="0.25">
      <c r="A1210">
        <f t="shared" si="87"/>
        <v>22.828125</v>
      </c>
      <c r="B1210" t="s">
        <v>22</v>
      </c>
      <c r="C1210" t="s">
        <v>11</v>
      </c>
      <c r="D1210">
        <v>192</v>
      </c>
      <c r="E1210">
        <f t="shared" si="91"/>
        <v>85</v>
      </c>
      <c r="F1210" s="22">
        <f>'2050WH_Z'!$R18</f>
        <v>0.16372907022032612</v>
      </c>
      <c r="G1210" s="22" t="s">
        <v>33</v>
      </c>
      <c r="H1210" s="22">
        <f>'2050WH_Z'!$R18</f>
        <v>0.16372907022032612</v>
      </c>
      <c r="I1210" t="str">
        <f t="shared" si="88"/>
        <v>WH2050;zomer;192;85;0.163729070220326;TRUE;0.163729070220326</v>
      </c>
    </row>
    <row r="1211" spans="1:9" x14ac:dyDescent="0.25">
      <c r="A1211">
        <f t="shared" si="87"/>
        <v>22.828125</v>
      </c>
      <c r="B1211" t="s">
        <v>22</v>
      </c>
      <c r="C1211" t="s">
        <v>11</v>
      </c>
      <c r="D1211">
        <v>192</v>
      </c>
      <c r="E1211">
        <f t="shared" si="91"/>
        <v>90</v>
      </c>
      <c r="F1211" s="22">
        <f>'2050WH_Z'!$R19</f>
        <v>0.12759330416631748</v>
      </c>
      <c r="G1211" s="22" t="s">
        <v>33</v>
      </c>
      <c r="H1211" s="22">
        <f>'2050WH_Z'!$R19</f>
        <v>0.12759330416631748</v>
      </c>
      <c r="I1211" t="str">
        <f t="shared" si="88"/>
        <v>WH2050;zomer;192;90;0.127593304166317;TRUE;0.127593304166317</v>
      </c>
    </row>
    <row r="1212" spans="1:9" x14ac:dyDescent="0.25">
      <c r="A1212">
        <f t="shared" si="87"/>
        <v>22.828125</v>
      </c>
      <c r="B1212" t="s">
        <v>22</v>
      </c>
      <c r="C1212" t="s">
        <v>11</v>
      </c>
      <c r="D1212">
        <v>192</v>
      </c>
      <c r="E1212">
        <f t="shared" si="91"/>
        <v>95</v>
      </c>
      <c r="F1212" s="22">
        <f>'2050WH_Z'!$R20</f>
        <v>9.9131634320315853E-2</v>
      </c>
      <c r="G1212" s="22" t="s">
        <v>33</v>
      </c>
      <c r="H1212" s="22">
        <f>'2050WH_Z'!$R20</f>
        <v>9.9131634320315853E-2</v>
      </c>
      <c r="I1212" t="str">
        <f t="shared" si="88"/>
        <v>WH2050;zomer;192;95;9.91316343203159E-02;TRUE;9.91316343203159E-02</v>
      </c>
    </row>
    <row r="1213" spans="1:9" x14ac:dyDescent="0.25">
      <c r="A1213">
        <f t="shared" si="87"/>
        <v>22.828125</v>
      </c>
      <c r="B1213" t="s">
        <v>22</v>
      </c>
      <c r="C1213" t="s">
        <v>11</v>
      </c>
      <c r="D1213">
        <v>192</v>
      </c>
      <c r="E1213">
        <f t="shared" si="91"/>
        <v>100</v>
      </c>
      <c r="F1213" s="22">
        <f>'2050WH_Z'!$R21</f>
        <v>7.6779713686324746E-2</v>
      </c>
      <c r="G1213" s="22" t="s">
        <v>33</v>
      </c>
      <c r="H1213" s="22">
        <f>'2050WH_Z'!$R21</f>
        <v>7.6779713686324746E-2</v>
      </c>
      <c r="I1213" t="str">
        <f t="shared" si="88"/>
        <v>WH2050;zomer;192;100;7.67797136863247E-02;TRUE;7.67797136863247E-02</v>
      </c>
    </row>
    <row r="1214" spans="1:9" x14ac:dyDescent="0.25">
      <c r="A1214">
        <f t="shared" si="87"/>
        <v>22.828125</v>
      </c>
      <c r="B1214" t="s">
        <v>22</v>
      </c>
      <c r="C1214" t="s">
        <v>11</v>
      </c>
      <c r="D1214">
        <v>192</v>
      </c>
      <c r="E1214">
        <f t="shared" si="91"/>
        <v>105</v>
      </c>
      <c r="F1214" s="22">
        <f>'2050WH_Z'!$R22</f>
        <v>5.9278456015870784E-2</v>
      </c>
      <c r="G1214" s="22" t="s">
        <v>33</v>
      </c>
      <c r="H1214" s="22">
        <f>'2050WH_Z'!$R22</f>
        <v>5.9278456015870784E-2</v>
      </c>
      <c r="I1214" t="str">
        <f t="shared" si="88"/>
        <v>WH2050;zomer;192;105;5.92784560158708E-02;TRUE;5.92784560158708E-02</v>
      </c>
    </row>
    <row r="1215" spans="1:9" x14ac:dyDescent="0.25">
      <c r="A1215">
        <f t="shared" si="87"/>
        <v>22.828125</v>
      </c>
      <c r="B1215" t="s">
        <v>22</v>
      </c>
      <c r="C1215" t="s">
        <v>11</v>
      </c>
      <c r="D1215">
        <v>192</v>
      </c>
      <c r="E1215">
        <f t="shared" si="91"/>
        <v>110</v>
      </c>
      <c r="F1215" s="22">
        <f>'2050WH_Z'!$R23</f>
        <v>4.5617187903337769E-2</v>
      </c>
      <c r="G1215" s="22" t="s">
        <v>33</v>
      </c>
      <c r="H1215" s="22">
        <f>'2050WH_Z'!$R23</f>
        <v>4.5617187903337769E-2</v>
      </c>
      <c r="I1215" t="str">
        <f t="shared" si="88"/>
        <v>WH2050;zomer;192;110;4.56171879033378E-02;TRUE;4.56171879033378E-02</v>
      </c>
    </row>
    <row r="1216" spans="1:9" x14ac:dyDescent="0.25">
      <c r="A1216">
        <f t="shared" si="87"/>
        <v>22.828125</v>
      </c>
      <c r="B1216" t="s">
        <v>22</v>
      </c>
      <c r="C1216" t="s">
        <v>11</v>
      </c>
      <c r="D1216">
        <v>192</v>
      </c>
      <c r="E1216">
        <f t="shared" si="91"/>
        <v>115</v>
      </c>
      <c r="F1216" s="22">
        <f>'2050WH_Z'!$R24</f>
        <v>3.498686945881338E-2</v>
      </c>
      <c r="G1216" s="22" t="s">
        <v>33</v>
      </c>
      <c r="H1216" s="22">
        <f>'2050WH_Z'!$R24</f>
        <v>3.498686945881338E-2</v>
      </c>
      <c r="I1216" t="str">
        <f t="shared" si="88"/>
        <v>WH2050;zomer;192;115;3.49868694588134E-02;TRUE;3.49868694588134E-02</v>
      </c>
    </row>
    <row r="1217" spans="1:9" x14ac:dyDescent="0.25">
      <c r="A1217">
        <f t="shared" si="87"/>
        <v>22.828125</v>
      </c>
      <c r="B1217" t="s">
        <v>22</v>
      </c>
      <c r="C1217" t="s">
        <v>11</v>
      </c>
      <c r="D1217">
        <v>192</v>
      </c>
      <c r="E1217">
        <f t="shared" si="91"/>
        <v>120</v>
      </c>
      <c r="F1217" s="22">
        <f>'2050WH_Z'!$R25</f>
        <v>2.6741694153191414E-2</v>
      </c>
      <c r="G1217" s="22" t="s">
        <v>33</v>
      </c>
      <c r="H1217" s="22">
        <f>'2050WH_Z'!$R25</f>
        <v>2.6741694153191414E-2</v>
      </c>
      <c r="I1217" t="str">
        <f t="shared" si="88"/>
        <v>WH2050;zomer;192;120;2.67416941531914E-02;TRUE;2.67416941531914E-02</v>
      </c>
    </row>
    <row r="1218" spans="1:9" x14ac:dyDescent="0.25">
      <c r="A1218">
        <f t="shared" ref="A1218:A1281" si="92">IF(C1218="zomer",24/D1218*365.25 * 6/12,24/D1218*365.25 * 6/12)</f>
        <v>22.828125</v>
      </c>
      <c r="B1218" t="s">
        <v>22</v>
      </c>
      <c r="C1218" t="s">
        <v>11</v>
      </c>
      <c r="D1218">
        <v>192</v>
      </c>
      <c r="E1218">
        <f t="shared" si="91"/>
        <v>125</v>
      </c>
      <c r="F1218" s="22">
        <f>'2050WH_Z'!$R26</f>
        <v>2.03676457727257E-2</v>
      </c>
      <c r="G1218" s="22" t="s">
        <v>33</v>
      </c>
      <c r="H1218" s="22">
        <f>'2050WH_Z'!$R26</f>
        <v>2.03676457727257E-2</v>
      </c>
      <c r="I1218" t="str">
        <f t="shared" ref="I1218:I1281" si="93">CONCATENATEWITHDELIMITER(B1218:H1218,";")</f>
        <v>WH2050;zomer;192;125;2.03676457727257E-02;TRUE;2.03676457727257E-02</v>
      </c>
    </row>
    <row r="1219" spans="1:9" x14ac:dyDescent="0.25">
      <c r="A1219">
        <f t="shared" si="92"/>
        <v>22.828125</v>
      </c>
      <c r="B1219" t="s">
        <v>22</v>
      </c>
      <c r="C1219" t="s">
        <v>11</v>
      </c>
      <c r="D1219">
        <v>192</v>
      </c>
      <c r="E1219">
        <f t="shared" si="91"/>
        <v>130</v>
      </c>
      <c r="F1219" s="22">
        <f>'2050WH_Z'!$R27</f>
        <v>1.5456818068686581E-2</v>
      </c>
      <c r="G1219" s="22" t="s">
        <v>33</v>
      </c>
      <c r="H1219" s="22">
        <f>'2050WH_Z'!$R27</f>
        <v>1.5456818068686581E-2</v>
      </c>
      <c r="I1219" t="str">
        <f t="shared" si="93"/>
        <v>WH2050;zomer;192;130;1.54568180686866E-02;TRUE;1.54568180686866E-02</v>
      </c>
    </row>
    <row r="1220" spans="1:9" x14ac:dyDescent="0.25">
      <c r="A1220">
        <f t="shared" si="92"/>
        <v>22.828125</v>
      </c>
      <c r="B1220" t="s">
        <v>22</v>
      </c>
      <c r="C1220" t="s">
        <v>11</v>
      </c>
      <c r="D1220">
        <v>192</v>
      </c>
      <c r="E1220">
        <f t="shared" si="91"/>
        <v>135</v>
      </c>
      <c r="F1220" s="22">
        <f>'2050WH_Z'!$R28</f>
        <v>1.1686496138628717E-2</v>
      </c>
      <c r="G1220" s="22" t="s">
        <v>33</v>
      </c>
      <c r="H1220" s="22">
        <f>'2050WH_Z'!$R28</f>
        <v>1.1686496138628717E-2</v>
      </c>
      <c r="I1220" t="str">
        <f t="shared" si="93"/>
        <v>WH2050;zomer;192;135;1.16864961386287E-02;TRUE;1.16864961386287E-02</v>
      </c>
    </row>
    <row r="1221" spans="1:9" x14ac:dyDescent="0.25">
      <c r="A1221">
        <f t="shared" si="92"/>
        <v>22.828125</v>
      </c>
      <c r="B1221" t="s">
        <v>22</v>
      </c>
      <c r="C1221" t="s">
        <v>11</v>
      </c>
      <c r="D1221">
        <v>192</v>
      </c>
      <c r="E1221">
        <f t="shared" si="91"/>
        <v>140</v>
      </c>
      <c r="F1221" s="22">
        <f>'2050WH_Z'!$R29</f>
        <v>8.8021626208452421E-3</v>
      </c>
      <c r="G1221" s="22" t="s">
        <v>33</v>
      </c>
      <c r="H1221" s="22">
        <f>'2050WH_Z'!$R29</f>
        <v>8.8021626208452421E-3</v>
      </c>
      <c r="I1221" t="str">
        <f t="shared" si="93"/>
        <v>WH2050;zomer;192;140;8.80216262084524E-03;TRUE;8.80216262084524E-03</v>
      </c>
    </row>
    <row r="1222" spans="1:9" x14ac:dyDescent="0.25">
      <c r="A1222">
        <f t="shared" si="92"/>
        <v>22.828125</v>
      </c>
      <c r="B1222" t="s">
        <v>22</v>
      </c>
      <c r="C1222" t="s">
        <v>11</v>
      </c>
      <c r="D1222">
        <v>192</v>
      </c>
      <c r="E1222">
        <f t="shared" si="91"/>
        <v>145</v>
      </c>
      <c r="F1222" s="22">
        <f>'2050WH_Z'!$R30</f>
        <v>6.6037305926695301E-3</v>
      </c>
      <c r="G1222" s="22" t="s">
        <v>33</v>
      </c>
      <c r="H1222" s="22">
        <f>'2050WH_Z'!$R30</f>
        <v>6.6037305926695301E-3</v>
      </c>
      <c r="I1222" t="str">
        <f t="shared" si="93"/>
        <v>WH2050;zomer;192;145;6.60373059266953E-03;TRUE;6.60373059266953E-03</v>
      </c>
    </row>
    <row r="1223" spans="1:9" x14ac:dyDescent="0.25">
      <c r="A1223">
        <f t="shared" si="92"/>
        <v>22.828125</v>
      </c>
      <c r="B1223" t="s">
        <v>22</v>
      </c>
      <c r="C1223" t="s">
        <v>11</v>
      </c>
      <c r="D1223">
        <v>192</v>
      </c>
      <c r="E1223">
        <f t="shared" si="91"/>
        <v>150</v>
      </c>
      <c r="F1223" s="22">
        <f>'2050WH_Z'!$R31</f>
        <v>1.8629417231927882E-2</v>
      </c>
      <c r="G1223" s="22" t="s">
        <v>33</v>
      </c>
      <c r="H1223" s="22">
        <f>'2050WH_Z'!$R31</f>
        <v>1.8629417231927882E-2</v>
      </c>
      <c r="I1223" t="str">
        <f t="shared" si="93"/>
        <v>WH2050;zomer;192;150;1.86294172319279E-02;TRUE;1.86294172319279E-02</v>
      </c>
    </row>
    <row r="1224" spans="1:9" x14ac:dyDescent="0.25">
      <c r="A1224">
        <f t="shared" si="92"/>
        <v>20.291666666666664</v>
      </c>
      <c r="B1224" t="s">
        <v>22</v>
      </c>
      <c r="C1224" t="s">
        <v>11</v>
      </c>
      <c r="D1224">
        <v>216</v>
      </c>
      <c r="E1224">
        <v>20</v>
      </c>
      <c r="F1224" s="22">
        <f>'2050WH_Z'!$V5</f>
        <v>27.7734012028669</v>
      </c>
      <c r="G1224" s="22" t="s">
        <v>33</v>
      </c>
      <c r="H1224" s="22">
        <f>'2050WH_Z'!$V5</f>
        <v>27.7734012028669</v>
      </c>
      <c r="I1224" t="str">
        <f t="shared" si="93"/>
        <v>WH2050;zomer;216;20;27.7734012028669;TRUE;27.7734012028669</v>
      </c>
    </row>
    <row r="1225" spans="1:9" x14ac:dyDescent="0.25">
      <c r="A1225">
        <f t="shared" si="92"/>
        <v>20.291666666666664</v>
      </c>
      <c r="B1225" t="s">
        <v>22</v>
      </c>
      <c r="C1225" t="s">
        <v>11</v>
      </c>
      <c r="D1225">
        <v>216</v>
      </c>
      <c r="E1225">
        <f>E1224+5</f>
        <v>25</v>
      </c>
      <c r="F1225" s="22">
        <f>'2050WH_Z'!$V6</f>
        <v>2.3927779306558996</v>
      </c>
      <c r="G1225" s="22" t="s">
        <v>33</v>
      </c>
      <c r="H1225" s="22">
        <f>'2050WH_Z'!$V6</f>
        <v>2.3927779306558996</v>
      </c>
      <c r="I1225" t="str">
        <f t="shared" si="93"/>
        <v>WH2050;zomer;216;25;2.3927779306559;TRUE;2.3927779306559</v>
      </c>
    </row>
    <row r="1226" spans="1:9" x14ac:dyDescent="0.25">
      <c r="A1226">
        <f t="shared" si="92"/>
        <v>20.291666666666664</v>
      </c>
      <c r="B1226" t="s">
        <v>22</v>
      </c>
      <c r="C1226" t="s">
        <v>11</v>
      </c>
      <c r="D1226">
        <v>216</v>
      </c>
      <c r="E1226">
        <f t="shared" ref="E1226:E1251" si="94">E1225+5</f>
        <v>30</v>
      </c>
      <c r="F1226" s="22">
        <f>'2050WH_Z'!$V7</f>
        <v>1.9689156657879892</v>
      </c>
      <c r="G1226" s="22" t="s">
        <v>33</v>
      </c>
      <c r="H1226" s="22">
        <f>'2050WH_Z'!$V7</f>
        <v>1.9689156657879892</v>
      </c>
      <c r="I1226" t="str">
        <f t="shared" si="93"/>
        <v>WH2050;zomer;216;30;1.96891566578799;TRUE;1.96891566578799</v>
      </c>
    </row>
    <row r="1227" spans="1:9" x14ac:dyDescent="0.25">
      <c r="A1227">
        <f t="shared" si="92"/>
        <v>20.291666666666664</v>
      </c>
      <c r="B1227" t="s">
        <v>22</v>
      </c>
      <c r="C1227" t="s">
        <v>11</v>
      </c>
      <c r="D1227">
        <v>216</v>
      </c>
      <c r="E1227">
        <f t="shared" si="94"/>
        <v>35</v>
      </c>
      <c r="F1227" s="22">
        <f>'2050WH_Z'!$V8</f>
        <v>1.6159476403376001</v>
      </c>
      <c r="G1227" s="22" t="s">
        <v>33</v>
      </c>
      <c r="H1227" s="22">
        <f>'2050WH_Z'!$V8</f>
        <v>1.6159476403376001</v>
      </c>
      <c r="I1227" t="str">
        <f t="shared" si="93"/>
        <v>WH2050;zomer;216;35;1.6159476403376;TRUE;1.6159476403376</v>
      </c>
    </row>
    <row r="1228" spans="1:9" x14ac:dyDescent="0.25">
      <c r="A1228">
        <f t="shared" si="92"/>
        <v>20.291666666666664</v>
      </c>
      <c r="B1228" t="s">
        <v>22</v>
      </c>
      <c r="C1228" t="s">
        <v>11</v>
      </c>
      <c r="D1228">
        <v>216</v>
      </c>
      <c r="E1228">
        <f t="shared" si="94"/>
        <v>40</v>
      </c>
      <c r="F1228" s="22">
        <f>'2050WH_Z'!$V9</f>
        <v>1.3227343726861207</v>
      </c>
      <c r="G1228" s="22" t="s">
        <v>33</v>
      </c>
      <c r="H1228" s="22">
        <f>'2050WH_Z'!$V9</f>
        <v>1.3227343726861207</v>
      </c>
      <c r="I1228" t="str">
        <f t="shared" si="93"/>
        <v>WH2050;zomer;216;40;1.32273437268612;TRUE;1.32273437268612</v>
      </c>
    </row>
    <row r="1229" spans="1:9" x14ac:dyDescent="0.25">
      <c r="A1229">
        <f t="shared" si="92"/>
        <v>20.291666666666664</v>
      </c>
      <c r="B1229" t="s">
        <v>22</v>
      </c>
      <c r="C1229" t="s">
        <v>11</v>
      </c>
      <c r="D1229">
        <v>216</v>
      </c>
      <c r="E1229">
        <f t="shared" si="94"/>
        <v>45</v>
      </c>
      <c r="F1229" s="22">
        <f>'2050WH_Z'!$V10</f>
        <v>1.0797710369711417</v>
      </c>
      <c r="G1229" s="22" t="s">
        <v>33</v>
      </c>
      <c r="H1229" s="22">
        <f>'2050WH_Z'!$V10</f>
        <v>1.0797710369711417</v>
      </c>
      <c r="I1229" t="str">
        <f t="shared" si="93"/>
        <v>WH2050;zomer;216;45;1.07977103697114;TRUE;1.07977103697114</v>
      </c>
    </row>
    <row r="1230" spans="1:9" x14ac:dyDescent="0.25">
      <c r="A1230">
        <f t="shared" si="92"/>
        <v>20.291666666666664</v>
      </c>
      <c r="B1230" t="s">
        <v>22</v>
      </c>
      <c r="C1230" t="s">
        <v>11</v>
      </c>
      <c r="D1230">
        <v>216</v>
      </c>
      <c r="E1230">
        <f t="shared" si="94"/>
        <v>50</v>
      </c>
      <c r="F1230" s="22">
        <f>'2050WH_Z'!$V11</f>
        <v>0.87896499226247071</v>
      </c>
      <c r="G1230" s="22" t="s">
        <v>33</v>
      </c>
      <c r="H1230" s="22">
        <f>'2050WH_Z'!$V11</f>
        <v>0.87896499226247071</v>
      </c>
      <c r="I1230" t="str">
        <f t="shared" si="93"/>
        <v>WH2050;zomer;216;50;0.878964992262471;TRUE;0.878964992262471</v>
      </c>
    </row>
    <row r="1231" spans="1:9" x14ac:dyDescent="0.25">
      <c r="A1231">
        <f t="shared" si="92"/>
        <v>20.291666666666664</v>
      </c>
      <c r="B1231" t="s">
        <v>22</v>
      </c>
      <c r="C1231" t="s">
        <v>11</v>
      </c>
      <c r="D1231">
        <v>216</v>
      </c>
      <c r="E1231">
        <f t="shared" si="94"/>
        <v>55</v>
      </c>
      <c r="F1231" s="22">
        <f>'2050WH_Z'!$V12</f>
        <v>0.7134411593447525</v>
      </c>
      <c r="G1231" s="22" t="s">
        <v>33</v>
      </c>
      <c r="H1231" s="22">
        <f>'2050WH_Z'!$V12</f>
        <v>0.7134411593447525</v>
      </c>
      <c r="I1231" t="str">
        <f t="shared" si="93"/>
        <v>WH2050;zomer;216;55;0.713441159344752;TRUE;0.713441159344752</v>
      </c>
    </row>
    <row r="1232" spans="1:9" x14ac:dyDescent="0.25">
      <c r="A1232">
        <f t="shared" si="92"/>
        <v>20.291666666666664</v>
      </c>
      <c r="B1232" t="s">
        <v>22</v>
      </c>
      <c r="C1232" t="s">
        <v>11</v>
      </c>
      <c r="D1232">
        <v>216</v>
      </c>
      <c r="E1232">
        <f t="shared" si="94"/>
        <v>60</v>
      </c>
      <c r="F1232" s="22">
        <f>'2050WH_Z'!$V13</f>
        <v>0.57737207140190883</v>
      </c>
      <c r="G1232" s="22" t="s">
        <v>33</v>
      </c>
      <c r="H1232" s="22">
        <f>'2050WH_Z'!$V13</f>
        <v>0.57737207140190883</v>
      </c>
      <c r="I1232" t="str">
        <f t="shared" si="93"/>
        <v>WH2050;zomer;216;60;0.577372071401909;TRUE;0.577372071401909</v>
      </c>
    </row>
    <row r="1233" spans="1:9" x14ac:dyDescent="0.25">
      <c r="A1233">
        <f t="shared" si="92"/>
        <v>20.291666666666664</v>
      </c>
      <c r="B1233" t="s">
        <v>22</v>
      </c>
      <c r="C1233" t="s">
        <v>11</v>
      </c>
      <c r="D1233">
        <v>216</v>
      </c>
      <c r="E1233">
        <f t="shared" si="94"/>
        <v>65</v>
      </c>
      <c r="F1233" s="22">
        <f>'2050WH_Z'!$V14</f>
        <v>0.46582975009045402</v>
      </c>
      <c r="G1233" s="22" t="s">
        <v>33</v>
      </c>
      <c r="H1233" s="22">
        <f>'2050WH_Z'!$V14</f>
        <v>0.46582975009045402</v>
      </c>
      <c r="I1233" t="str">
        <f t="shared" si="93"/>
        <v>WH2050;zomer;216;65;0.465829750090454;TRUE;0.465829750090454</v>
      </c>
    </row>
    <row r="1234" spans="1:9" x14ac:dyDescent="0.25">
      <c r="A1234">
        <f t="shared" si="92"/>
        <v>20.291666666666664</v>
      </c>
      <c r="B1234" t="s">
        <v>22</v>
      </c>
      <c r="C1234" t="s">
        <v>11</v>
      </c>
      <c r="D1234">
        <v>216</v>
      </c>
      <c r="E1234">
        <f t="shared" si="94"/>
        <v>70</v>
      </c>
      <c r="F1234" s="22">
        <f>'2050WH_Z'!$V15</f>
        <v>0.37465685419426631</v>
      </c>
      <c r="G1234" s="22" t="s">
        <v>33</v>
      </c>
      <c r="H1234" s="22">
        <f>'2050WH_Z'!$V15</f>
        <v>0.37465685419426631</v>
      </c>
      <c r="I1234" t="str">
        <f t="shared" si="93"/>
        <v>WH2050;zomer;216;70;0.374656854194266;TRUE;0.374656854194266</v>
      </c>
    </row>
    <row r="1235" spans="1:9" x14ac:dyDescent="0.25">
      <c r="A1235">
        <f t="shared" si="92"/>
        <v>20.291666666666664</v>
      </c>
      <c r="B1235" t="s">
        <v>22</v>
      </c>
      <c r="C1235" t="s">
        <v>11</v>
      </c>
      <c r="D1235">
        <v>216</v>
      </c>
      <c r="E1235">
        <f t="shared" si="94"/>
        <v>75</v>
      </c>
      <c r="F1235" s="22">
        <f>'2050WH_Z'!$V16</f>
        <v>0.30035481659871044</v>
      </c>
      <c r="G1235" s="22" t="s">
        <v>33</v>
      </c>
      <c r="H1235" s="22">
        <f>'2050WH_Z'!$V16</f>
        <v>0.30035481659871044</v>
      </c>
      <c r="I1235" t="str">
        <f t="shared" si="93"/>
        <v>WH2050;zomer;216;75;0.30035481659871;TRUE;0.30035481659871</v>
      </c>
    </row>
    <row r="1236" spans="1:9" x14ac:dyDescent="0.25">
      <c r="A1236">
        <f t="shared" si="92"/>
        <v>20.291666666666664</v>
      </c>
      <c r="B1236" t="s">
        <v>22</v>
      </c>
      <c r="C1236" t="s">
        <v>11</v>
      </c>
      <c r="D1236">
        <v>216</v>
      </c>
      <c r="E1236">
        <f t="shared" si="94"/>
        <v>80</v>
      </c>
      <c r="F1236" s="22">
        <f>'2050WH_Z'!$V17</f>
        <v>0.23998692886334472</v>
      </c>
      <c r="G1236" s="22" t="s">
        <v>33</v>
      </c>
      <c r="H1236" s="22">
        <f>'2050WH_Z'!$V17</f>
        <v>0.23998692886334472</v>
      </c>
      <c r="I1236" t="str">
        <f t="shared" si="93"/>
        <v>WH2050;zomer;216;80;0.239986928863345;TRUE;0.239986928863345</v>
      </c>
    </row>
    <row r="1237" spans="1:9" x14ac:dyDescent="0.25">
      <c r="A1237">
        <f t="shared" si="92"/>
        <v>20.291666666666664</v>
      </c>
      <c r="B1237" t="s">
        <v>22</v>
      </c>
      <c r="C1237" t="s">
        <v>11</v>
      </c>
      <c r="D1237">
        <v>216</v>
      </c>
      <c r="E1237">
        <f t="shared" si="94"/>
        <v>85</v>
      </c>
      <c r="F1237" s="22">
        <f>'2050WH_Z'!$V18</f>
        <v>0.1910945532300623</v>
      </c>
      <c r="G1237" s="22" t="s">
        <v>33</v>
      </c>
      <c r="H1237" s="22">
        <f>'2050WH_Z'!$V18</f>
        <v>0.1910945532300623</v>
      </c>
      <c r="I1237" t="str">
        <f t="shared" si="93"/>
        <v>WH2050;zomer;216;85;0.191094553230062;TRUE;0.191094553230062</v>
      </c>
    </row>
    <row r="1238" spans="1:9" x14ac:dyDescent="0.25">
      <c r="A1238">
        <f t="shared" si="92"/>
        <v>20.291666666666664</v>
      </c>
      <c r="B1238" t="s">
        <v>22</v>
      </c>
      <c r="C1238" t="s">
        <v>11</v>
      </c>
      <c r="D1238">
        <v>216</v>
      </c>
      <c r="E1238">
        <f t="shared" si="94"/>
        <v>90</v>
      </c>
      <c r="F1238" s="22">
        <f>'2050WH_Z'!$V19</f>
        <v>0.15162484135513099</v>
      </c>
      <c r="G1238" s="22" t="s">
        <v>33</v>
      </c>
      <c r="H1238" s="22">
        <f>'2050WH_Z'!$V19</f>
        <v>0.15162484135513099</v>
      </c>
      <c r="I1238" t="str">
        <f t="shared" si="93"/>
        <v>WH2050;zomer;216;90;0.151624841355131;TRUE;0.151624841355131</v>
      </c>
    </row>
    <row r="1239" spans="1:9" x14ac:dyDescent="0.25">
      <c r="A1239">
        <f t="shared" si="92"/>
        <v>20.291666666666664</v>
      </c>
      <c r="B1239" t="s">
        <v>22</v>
      </c>
      <c r="C1239" t="s">
        <v>11</v>
      </c>
      <c r="D1239">
        <v>216</v>
      </c>
      <c r="E1239">
        <f t="shared" si="94"/>
        <v>95</v>
      </c>
      <c r="F1239" s="22">
        <f>'2050WH_Z'!$V20</f>
        <v>0.11986851915147279</v>
      </c>
      <c r="G1239" s="22" t="s">
        <v>33</v>
      </c>
      <c r="H1239" s="22">
        <f>'2050WH_Z'!$V20</f>
        <v>0.11986851915147279</v>
      </c>
      <c r="I1239" t="str">
        <f t="shared" si="93"/>
        <v>WH2050;zomer;216;95;0.119868519151473;TRUE;0.119868519151473</v>
      </c>
    </row>
    <row r="1240" spans="1:9" x14ac:dyDescent="0.25">
      <c r="A1240">
        <f t="shared" si="92"/>
        <v>20.291666666666664</v>
      </c>
      <c r="B1240" t="s">
        <v>22</v>
      </c>
      <c r="C1240" t="s">
        <v>11</v>
      </c>
      <c r="D1240">
        <v>216</v>
      </c>
      <c r="E1240">
        <f t="shared" si="94"/>
        <v>100</v>
      </c>
      <c r="F1240" s="22">
        <f>'2050WH_Z'!$V21</f>
        <v>9.4406459498864614E-2</v>
      </c>
      <c r="G1240" s="22" t="s">
        <v>33</v>
      </c>
      <c r="H1240" s="22">
        <f>'2050WH_Z'!$V21</f>
        <v>9.4406459498864614E-2</v>
      </c>
      <c r="I1240" t="str">
        <f t="shared" si="93"/>
        <v>WH2050;zomer;216;100;9.44064594988646E-02;TRUE;9.44064594988646E-02</v>
      </c>
    </row>
    <row r="1241" spans="1:9" x14ac:dyDescent="0.25">
      <c r="A1241">
        <f t="shared" si="92"/>
        <v>20.291666666666664</v>
      </c>
      <c r="B1241" t="s">
        <v>22</v>
      </c>
      <c r="C1241" t="s">
        <v>11</v>
      </c>
      <c r="D1241">
        <v>216</v>
      </c>
      <c r="E1241">
        <f t="shared" si="94"/>
        <v>105</v>
      </c>
      <c r="F1241" s="22">
        <f>'2050WH_Z'!$V22</f>
        <v>7.4063910737889926E-2</v>
      </c>
      <c r="G1241" s="22" t="s">
        <v>33</v>
      </c>
      <c r="H1241" s="22">
        <f>'2050WH_Z'!$V22</f>
        <v>7.4063910737889926E-2</v>
      </c>
      <c r="I1241" t="str">
        <f t="shared" si="93"/>
        <v>WH2050;zomer;216;105;7.40639107378899E-02;TRUE;7.40639107378899E-02</v>
      </c>
    </row>
    <row r="1242" spans="1:9" x14ac:dyDescent="0.25">
      <c r="A1242">
        <f t="shared" si="92"/>
        <v>20.291666666666664</v>
      </c>
      <c r="B1242" t="s">
        <v>22</v>
      </c>
      <c r="C1242" t="s">
        <v>11</v>
      </c>
      <c r="D1242">
        <v>216</v>
      </c>
      <c r="E1242">
        <f t="shared" si="94"/>
        <v>110</v>
      </c>
      <c r="F1242" s="22">
        <f>'2050WH_Z'!$V23</f>
        <v>5.7871380212812601E-2</v>
      </c>
      <c r="G1242" s="22" t="s">
        <v>33</v>
      </c>
      <c r="H1242" s="22">
        <f>'2050WH_Z'!$V23</f>
        <v>5.7871380212812601E-2</v>
      </c>
      <c r="I1242" t="str">
        <f t="shared" si="93"/>
        <v>WH2050;zomer;216;110;5.78713802128126E-02;TRUE;5.78713802128126E-02</v>
      </c>
    </row>
    <row r="1243" spans="1:9" x14ac:dyDescent="0.25">
      <c r="A1243">
        <f t="shared" si="92"/>
        <v>20.291666666666664</v>
      </c>
      <c r="B1243" t="s">
        <v>22</v>
      </c>
      <c r="C1243" t="s">
        <v>11</v>
      </c>
      <c r="D1243">
        <v>216</v>
      </c>
      <c r="E1243">
        <f t="shared" si="94"/>
        <v>115</v>
      </c>
      <c r="F1243" s="22">
        <f>'2050WH_Z'!$V24</f>
        <v>4.5031289970421051E-2</v>
      </c>
      <c r="G1243" s="22" t="s">
        <v>33</v>
      </c>
      <c r="H1243" s="22">
        <f>'2050WH_Z'!$V24</f>
        <v>4.5031289970421051E-2</v>
      </c>
      <c r="I1243" t="str">
        <f t="shared" si="93"/>
        <v>WH2050;zomer;216;115;4.50312899704211E-02;TRUE;4.50312899704211E-02</v>
      </c>
    </row>
    <row r="1244" spans="1:9" x14ac:dyDescent="0.25">
      <c r="A1244">
        <f t="shared" si="92"/>
        <v>20.291666666666664</v>
      </c>
      <c r="B1244" t="s">
        <v>22</v>
      </c>
      <c r="C1244" t="s">
        <v>11</v>
      </c>
      <c r="D1244">
        <v>216</v>
      </c>
      <c r="E1244">
        <f t="shared" si="94"/>
        <v>120</v>
      </c>
      <c r="F1244" s="22">
        <f>'2050WH_Z'!$V25</f>
        <v>3.4889627262053524E-2</v>
      </c>
      <c r="G1244" s="22" t="s">
        <v>33</v>
      </c>
      <c r="H1244" s="22">
        <f>'2050WH_Z'!$V25</f>
        <v>3.4889627262053524E-2</v>
      </c>
      <c r="I1244" t="str">
        <f t="shared" si="93"/>
        <v>WH2050;zomer;216;120;3.48896272620535E-02;TRUE;3.48896272620535E-02</v>
      </c>
    </row>
    <row r="1245" spans="1:9" x14ac:dyDescent="0.25">
      <c r="A1245">
        <f t="shared" si="92"/>
        <v>20.291666666666664</v>
      </c>
      <c r="B1245" t="s">
        <v>22</v>
      </c>
      <c r="C1245" t="s">
        <v>11</v>
      </c>
      <c r="D1245">
        <v>216</v>
      </c>
      <c r="E1245">
        <f t="shared" si="94"/>
        <v>125</v>
      </c>
      <c r="F1245" s="22">
        <f>'2050WH_Z'!$V26</f>
        <v>2.6911906848787442E-2</v>
      </c>
      <c r="G1245" s="22" t="s">
        <v>33</v>
      </c>
      <c r="H1245" s="22">
        <f>'2050WH_Z'!$V26</f>
        <v>2.6911906848787442E-2</v>
      </c>
      <c r="I1245" t="str">
        <f t="shared" si="93"/>
        <v>WH2050;zomer;216;125;2.69119068487874E-02;TRUE;2.69119068487874E-02</v>
      </c>
    </row>
    <row r="1246" spans="1:9" x14ac:dyDescent="0.25">
      <c r="A1246">
        <f t="shared" si="92"/>
        <v>20.291666666666664</v>
      </c>
      <c r="B1246" t="s">
        <v>22</v>
      </c>
      <c r="C1246" t="s">
        <v>11</v>
      </c>
      <c r="D1246">
        <v>216</v>
      </c>
      <c r="E1246">
        <f t="shared" si="94"/>
        <v>130</v>
      </c>
      <c r="F1246" s="22">
        <f>'2050WH_Z'!$V27</f>
        <v>2.0662846304987201E-2</v>
      </c>
      <c r="G1246" s="22" t="s">
        <v>33</v>
      </c>
      <c r="H1246" s="22">
        <f>'2050WH_Z'!$V27</f>
        <v>2.0662846304987201E-2</v>
      </c>
      <c r="I1246" t="str">
        <f t="shared" si="93"/>
        <v>WH2050;zomer;216;130;2.06628463049872E-02;TRUE;2.06628463049872E-02</v>
      </c>
    </row>
    <row r="1247" spans="1:9" x14ac:dyDescent="0.25">
      <c r="A1247">
        <f t="shared" si="92"/>
        <v>20.291666666666664</v>
      </c>
      <c r="B1247" t="s">
        <v>22</v>
      </c>
      <c r="C1247" t="s">
        <v>11</v>
      </c>
      <c r="D1247">
        <v>216</v>
      </c>
      <c r="E1247">
        <f t="shared" si="94"/>
        <v>135</v>
      </c>
      <c r="F1247" s="22">
        <f>'2050WH_Z'!$V28</f>
        <v>1.5789230502468887E-2</v>
      </c>
      <c r="G1247" s="22" t="s">
        <v>33</v>
      </c>
      <c r="H1247" s="22">
        <f>'2050WH_Z'!$V28</f>
        <v>1.5789230502468887E-2</v>
      </c>
      <c r="I1247" t="str">
        <f t="shared" si="93"/>
        <v>WH2050;zomer;216;135;1.57892305024689E-02;TRUE;1.57892305024689E-02</v>
      </c>
    </row>
    <row r="1248" spans="1:9" x14ac:dyDescent="0.25">
      <c r="A1248">
        <f t="shared" si="92"/>
        <v>20.291666666666664</v>
      </c>
      <c r="B1248" t="s">
        <v>22</v>
      </c>
      <c r="C1248" t="s">
        <v>11</v>
      </c>
      <c r="D1248">
        <v>216</v>
      </c>
      <c r="E1248">
        <f t="shared" si="94"/>
        <v>140</v>
      </c>
      <c r="F1248" s="22">
        <f>'2050WH_Z'!$V29</f>
        <v>1.2005508111378252E-2</v>
      </c>
      <c r="G1248" s="22" t="s">
        <v>33</v>
      </c>
      <c r="H1248" s="22">
        <f>'2050WH_Z'!$V29</f>
        <v>1.2005508111378252E-2</v>
      </c>
      <c r="I1248" t="str">
        <f t="shared" si="93"/>
        <v>WH2050;zomer;216;140;1.20055081113783E-02;TRUE;1.20055081113783E-02</v>
      </c>
    </row>
    <row r="1249" spans="1:9" x14ac:dyDescent="0.25">
      <c r="A1249">
        <f t="shared" si="92"/>
        <v>20.291666666666664</v>
      </c>
      <c r="B1249" t="s">
        <v>22</v>
      </c>
      <c r="C1249" t="s">
        <v>11</v>
      </c>
      <c r="D1249">
        <v>216</v>
      </c>
      <c r="E1249">
        <f t="shared" si="94"/>
        <v>145</v>
      </c>
      <c r="F1249" s="22">
        <f>'2050WH_Z'!$V30</f>
        <v>9.0817220790203497E-3</v>
      </c>
      <c r="G1249" s="22" t="s">
        <v>33</v>
      </c>
      <c r="H1249" s="22">
        <f>'2050WH_Z'!$V30</f>
        <v>9.0817220790203497E-3</v>
      </c>
      <c r="I1249" t="str">
        <f t="shared" si="93"/>
        <v>WH2050;zomer;216;145;9.08172207902035E-03;TRUE;9.08172207902035E-03</v>
      </c>
    </row>
    <row r="1250" spans="1:9" x14ac:dyDescent="0.25">
      <c r="A1250">
        <f t="shared" si="92"/>
        <v>20.291666666666664</v>
      </c>
      <c r="B1250" t="s">
        <v>22</v>
      </c>
      <c r="C1250" t="s">
        <v>11</v>
      </c>
      <c r="D1250">
        <v>216</v>
      </c>
      <c r="E1250">
        <f t="shared" si="94"/>
        <v>150</v>
      </c>
      <c r="F1250" s="22">
        <f>'2050WH_Z'!$V31</f>
        <v>6.8334283834894614E-3</v>
      </c>
      <c r="G1250" s="22" t="s">
        <v>33</v>
      </c>
      <c r="H1250" s="22">
        <f>'2050WH_Z'!$V31</f>
        <v>6.8334283834894614E-3</v>
      </c>
      <c r="I1250" t="str">
        <f t="shared" si="93"/>
        <v>WH2050;zomer;216;150;6.83342838348946E-03;TRUE;6.83342838348946E-03</v>
      </c>
    </row>
    <row r="1251" spans="1:9" x14ac:dyDescent="0.25">
      <c r="A1251">
        <f t="shared" si="92"/>
        <v>20.291666666666664</v>
      </c>
      <c r="B1251" t="s">
        <v>22</v>
      </c>
      <c r="C1251" t="s">
        <v>11</v>
      </c>
      <c r="D1251">
        <v>216</v>
      </c>
      <c r="E1251">
        <f t="shared" si="94"/>
        <v>155</v>
      </c>
      <c r="F1251" s="22">
        <f>'2050WH_Z'!$V32</f>
        <v>1.9043687622928671E-2</v>
      </c>
      <c r="G1251" s="22" t="s">
        <v>33</v>
      </c>
      <c r="H1251" s="22">
        <f>'2050WH_Z'!$V32</f>
        <v>1.9043687622928671E-2</v>
      </c>
      <c r="I1251" t="str">
        <f t="shared" si="93"/>
        <v>WH2050;zomer;216;155;1.90436876229287E-02;TRUE;1.90436876229287E-02</v>
      </c>
    </row>
    <row r="1252" spans="1:9" x14ac:dyDescent="0.25">
      <c r="A1252">
        <f t="shared" si="92"/>
        <v>182.625</v>
      </c>
      <c r="B1252" t="s">
        <v>22</v>
      </c>
      <c r="C1252" t="s">
        <v>7</v>
      </c>
      <c r="D1252">
        <v>24</v>
      </c>
      <c r="E1252">
        <v>15</v>
      </c>
      <c r="F1252" s="22">
        <f>'2050WH_W'!$F4</f>
        <v>359.74805699625148</v>
      </c>
      <c r="G1252" s="22" t="s">
        <v>33</v>
      </c>
      <c r="H1252" s="22">
        <f>'2050WH_W'!$F4</f>
        <v>359.74805699625148</v>
      </c>
      <c r="I1252" t="str">
        <f t="shared" si="93"/>
        <v>WH2050;winter;24;15;359.748056996251;TRUE;359.748056996251</v>
      </c>
    </row>
    <row r="1253" spans="1:9" x14ac:dyDescent="0.25">
      <c r="A1253">
        <f t="shared" si="92"/>
        <v>182.625</v>
      </c>
      <c r="B1253" t="s">
        <v>22</v>
      </c>
      <c r="C1253" t="s">
        <v>7</v>
      </c>
      <c r="D1253">
        <v>24</v>
      </c>
      <c r="E1253">
        <f>E1252+5</f>
        <v>20</v>
      </c>
      <c r="F1253" s="22">
        <f>'2050WH_W'!$F5</f>
        <v>3.1349514360242168</v>
      </c>
      <c r="G1253" s="22" t="s">
        <v>33</v>
      </c>
      <c r="H1253" s="22">
        <f>'2050WH_W'!$F5</f>
        <v>3.1349514360242168</v>
      </c>
      <c r="I1253" t="str">
        <f t="shared" si="93"/>
        <v>WH2050;winter;24;20;3.13495143602422;TRUE;3.13495143602422</v>
      </c>
    </row>
    <row r="1254" spans="1:9" x14ac:dyDescent="0.25">
      <c r="A1254">
        <f t="shared" si="92"/>
        <v>182.625</v>
      </c>
      <c r="B1254" t="s">
        <v>22</v>
      </c>
      <c r="C1254" t="s">
        <v>7</v>
      </c>
      <c r="D1254">
        <v>24</v>
      </c>
      <c r="E1254">
        <f t="shared" ref="E1254:E1268" si="95">E1253+5</f>
        <v>25</v>
      </c>
      <c r="F1254" s="22">
        <f>'2050WH_W'!$F6</f>
        <v>1.2976146649934353</v>
      </c>
      <c r="G1254" s="22" t="s">
        <v>33</v>
      </c>
      <c r="H1254" s="22">
        <f>'2050WH_W'!$F6</f>
        <v>1.2976146649934353</v>
      </c>
      <c r="I1254" t="str">
        <f t="shared" si="93"/>
        <v>WH2050;winter;24;25;1.29761466499344;TRUE;1.29761466499344</v>
      </c>
    </row>
    <row r="1255" spans="1:9" x14ac:dyDescent="0.25">
      <c r="A1255">
        <f t="shared" si="92"/>
        <v>182.625</v>
      </c>
      <c r="B1255" t="s">
        <v>22</v>
      </c>
      <c r="C1255" t="s">
        <v>7</v>
      </c>
      <c r="D1255">
        <v>24</v>
      </c>
      <c r="E1255">
        <f t="shared" si="95"/>
        <v>30</v>
      </c>
      <c r="F1255" s="22">
        <f>'2050WH_W'!$F7</f>
        <v>0.5647309404990255</v>
      </c>
      <c r="G1255" s="22" t="s">
        <v>33</v>
      </c>
      <c r="H1255" s="22">
        <f>'2050WH_W'!$F7</f>
        <v>0.5647309404990255</v>
      </c>
      <c r="I1255" t="str">
        <f t="shared" si="93"/>
        <v>WH2050;winter;24;30;0.564730940499026;TRUE;0.564730940499026</v>
      </c>
    </row>
    <row r="1256" spans="1:9" x14ac:dyDescent="0.25">
      <c r="A1256">
        <f t="shared" si="92"/>
        <v>182.625</v>
      </c>
      <c r="B1256" t="s">
        <v>22</v>
      </c>
      <c r="C1256" t="s">
        <v>7</v>
      </c>
      <c r="D1256">
        <v>24</v>
      </c>
      <c r="E1256">
        <f t="shared" si="95"/>
        <v>35</v>
      </c>
      <c r="F1256" s="22">
        <f>'2050WH_W'!$F8</f>
        <v>0.25701955011804045</v>
      </c>
      <c r="G1256" s="22" t="s">
        <v>33</v>
      </c>
      <c r="H1256" s="22">
        <f>'2050WH_W'!$F8</f>
        <v>0.25701955011804045</v>
      </c>
      <c r="I1256" t="str">
        <f t="shared" si="93"/>
        <v>WH2050;winter;24;35;0.25701955011804;TRUE;0.25701955011804</v>
      </c>
    </row>
    <row r="1257" spans="1:9" x14ac:dyDescent="0.25">
      <c r="A1257">
        <f t="shared" si="92"/>
        <v>182.625</v>
      </c>
      <c r="B1257" t="s">
        <v>22</v>
      </c>
      <c r="C1257" t="s">
        <v>7</v>
      </c>
      <c r="D1257">
        <v>24</v>
      </c>
      <c r="E1257">
        <f t="shared" si="95"/>
        <v>40</v>
      </c>
      <c r="F1257" s="22">
        <f>'2050WH_W'!$F9</f>
        <v>0.12176709525767951</v>
      </c>
      <c r="G1257" s="22" t="s">
        <v>33</v>
      </c>
      <c r="H1257" s="22">
        <f>'2050WH_W'!$F9</f>
        <v>0.12176709525767951</v>
      </c>
      <c r="I1257" t="str">
        <f t="shared" si="93"/>
        <v>WH2050;winter;24;40;0.12176709525768;TRUE;0.12176709525768</v>
      </c>
    </row>
    <row r="1258" spans="1:9" x14ac:dyDescent="0.25">
      <c r="A1258">
        <f t="shared" si="92"/>
        <v>182.625</v>
      </c>
      <c r="B1258" t="s">
        <v>22</v>
      </c>
      <c r="C1258" t="s">
        <v>7</v>
      </c>
      <c r="D1258">
        <v>24</v>
      </c>
      <c r="E1258">
        <f t="shared" si="95"/>
        <v>45</v>
      </c>
      <c r="F1258" s="22">
        <f>'2050WH_W'!$F10</f>
        <v>5.9818423812934535E-2</v>
      </c>
      <c r="G1258" s="22" t="s">
        <v>33</v>
      </c>
      <c r="H1258" s="22">
        <f>'2050WH_W'!$F10</f>
        <v>5.9818423812934535E-2</v>
      </c>
      <c r="I1258" t="str">
        <f t="shared" si="93"/>
        <v>WH2050;winter;24;45;5.98184238129345E-02;TRUE;5.98184238129345E-02</v>
      </c>
    </row>
    <row r="1259" spans="1:9" x14ac:dyDescent="0.25">
      <c r="A1259">
        <f t="shared" si="92"/>
        <v>182.625</v>
      </c>
      <c r="B1259" t="s">
        <v>22</v>
      </c>
      <c r="C1259" t="s">
        <v>7</v>
      </c>
      <c r="D1259">
        <v>24</v>
      </c>
      <c r="E1259">
        <f t="shared" si="95"/>
        <v>50</v>
      </c>
      <c r="F1259" s="22">
        <f>'2050WH_W'!$F11</f>
        <v>3.0368290250012399E-2</v>
      </c>
      <c r="G1259" s="22" t="s">
        <v>33</v>
      </c>
      <c r="H1259" s="22">
        <f>'2050WH_W'!$F11</f>
        <v>3.0368290250012399E-2</v>
      </c>
      <c r="I1259" t="str">
        <f t="shared" si="93"/>
        <v>WH2050;winter;24;50;3.03682902500124E-02;TRUE;3.03682902500124E-02</v>
      </c>
    </row>
    <row r="1260" spans="1:9" x14ac:dyDescent="0.25">
      <c r="A1260">
        <f t="shared" si="92"/>
        <v>182.625</v>
      </c>
      <c r="B1260" t="s">
        <v>22</v>
      </c>
      <c r="C1260" t="s">
        <v>7</v>
      </c>
      <c r="D1260">
        <v>24</v>
      </c>
      <c r="E1260">
        <f t="shared" si="95"/>
        <v>55</v>
      </c>
      <c r="F1260" s="22">
        <f>'2050WH_W'!$F12</f>
        <v>1.5886199926919118E-2</v>
      </c>
      <c r="G1260" s="22" t="s">
        <v>33</v>
      </c>
      <c r="H1260" s="22">
        <f>'2050WH_W'!$F12</f>
        <v>1.5886199926919118E-2</v>
      </c>
      <c r="I1260" t="str">
        <f t="shared" si="93"/>
        <v>WH2050;winter;24;55;1.58861999269191E-02;TRUE;1.58861999269191E-02</v>
      </c>
    </row>
    <row r="1261" spans="1:9" x14ac:dyDescent="0.25">
      <c r="A1261">
        <f t="shared" si="92"/>
        <v>182.625</v>
      </c>
      <c r="B1261" t="s">
        <v>22</v>
      </c>
      <c r="C1261" t="s">
        <v>7</v>
      </c>
      <c r="D1261">
        <v>24</v>
      </c>
      <c r="E1261">
        <f t="shared" si="95"/>
        <v>60</v>
      </c>
      <c r="F1261" s="22">
        <f>'2050WH_W'!$F13</f>
        <v>8.5414095485172054E-3</v>
      </c>
      <c r="G1261" s="22" t="s">
        <v>33</v>
      </c>
      <c r="H1261" s="22">
        <f>'2050WH_W'!$F13</f>
        <v>8.5414095485172054E-3</v>
      </c>
      <c r="I1261" t="str">
        <f t="shared" si="93"/>
        <v>WH2050;winter;24;60;8.54140954851721E-03;TRUE;8.54140954851721E-03</v>
      </c>
    </row>
    <row r="1262" spans="1:9" x14ac:dyDescent="0.25">
      <c r="A1262">
        <f t="shared" si="92"/>
        <v>182.625</v>
      </c>
      <c r="B1262" t="s">
        <v>22</v>
      </c>
      <c r="C1262" t="s">
        <v>7</v>
      </c>
      <c r="D1262">
        <v>24</v>
      </c>
      <c r="E1262">
        <f t="shared" si="95"/>
        <v>65</v>
      </c>
      <c r="F1262" s="22">
        <f>'2050WH_W'!$F14</f>
        <v>4.7095520387257662E-3</v>
      </c>
      <c r="G1262" s="22" t="s">
        <v>33</v>
      </c>
      <c r="H1262" s="22">
        <f>'2050WH_W'!$F14</f>
        <v>4.7095520387257662E-3</v>
      </c>
      <c r="I1262" t="str">
        <f t="shared" si="93"/>
        <v>WH2050;winter;24;65;4.70955203872577E-03;TRUE;4.70955203872577E-03</v>
      </c>
    </row>
    <row r="1263" spans="1:9" x14ac:dyDescent="0.25">
      <c r="A1263">
        <f t="shared" si="92"/>
        <v>182.625</v>
      </c>
      <c r="B1263" t="s">
        <v>22</v>
      </c>
      <c r="C1263" t="s">
        <v>7</v>
      </c>
      <c r="D1263">
        <v>24</v>
      </c>
      <c r="E1263">
        <f t="shared" si="95"/>
        <v>70</v>
      </c>
      <c r="F1263" s="22">
        <f>'2050WH_W'!$F15</f>
        <v>2.6577541563064817E-3</v>
      </c>
      <c r="G1263" s="22" t="s">
        <v>33</v>
      </c>
      <c r="H1263" s="22">
        <f>'2050WH_W'!$F15</f>
        <v>2.6577541563064817E-3</v>
      </c>
      <c r="I1263" t="str">
        <f t="shared" si="93"/>
        <v>WH2050;winter;24;70;2.65775415630648E-03;TRUE;2.65775415630648E-03</v>
      </c>
    </row>
    <row r="1264" spans="1:9" x14ac:dyDescent="0.25">
      <c r="A1264">
        <f t="shared" si="92"/>
        <v>182.625</v>
      </c>
      <c r="B1264" t="s">
        <v>22</v>
      </c>
      <c r="C1264" t="s">
        <v>7</v>
      </c>
      <c r="D1264">
        <v>24</v>
      </c>
      <c r="E1264">
        <f t="shared" si="95"/>
        <v>75</v>
      </c>
      <c r="F1264" s="22">
        <f>'2050WH_W'!$F16</f>
        <v>1.5324153812840513E-3</v>
      </c>
      <c r="G1264" s="22" t="s">
        <v>33</v>
      </c>
      <c r="H1264" s="22">
        <f>'2050WH_W'!$F16</f>
        <v>1.5324153812840513E-3</v>
      </c>
      <c r="I1264" t="str">
        <f t="shared" si="93"/>
        <v>WH2050;winter;24;75;1.53241538128405E-03;TRUE;1.53241538128405E-03</v>
      </c>
    </row>
    <row r="1265" spans="1:9" x14ac:dyDescent="0.25">
      <c r="A1265">
        <f t="shared" si="92"/>
        <v>182.625</v>
      </c>
      <c r="B1265" t="s">
        <v>22</v>
      </c>
      <c r="C1265" t="s">
        <v>7</v>
      </c>
      <c r="D1265">
        <v>24</v>
      </c>
      <c r="E1265">
        <f t="shared" si="95"/>
        <v>80</v>
      </c>
      <c r="F1265" s="22">
        <f>'2050WH_W'!$F17</f>
        <v>9.0134005501651721E-4</v>
      </c>
      <c r="G1265" s="22" t="s">
        <v>33</v>
      </c>
      <c r="H1265" s="22">
        <f>'2050WH_W'!$F17</f>
        <v>9.0134005501651721E-4</v>
      </c>
      <c r="I1265" t="str">
        <f t="shared" si="93"/>
        <v>WH2050;winter;24;80;9.01340055016517E-04;TRUE;9.01340055016517E-04</v>
      </c>
    </row>
    <row r="1266" spans="1:9" x14ac:dyDescent="0.25">
      <c r="A1266">
        <f t="shared" si="92"/>
        <v>182.625</v>
      </c>
      <c r="B1266" t="s">
        <v>22</v>
      </c>
      <c r="C1266" t="s">
        <v>7</v>
      </c>
      <c r="D1266">
        <v>24</v>
      </c>
      <c r="E1266">
        <f t="shared" si="95"/>
        <v>85</v>
      </c>
      <c r="F1266" s="22">
        <f>'2050WH_W'!$F18</f>
        <v>5.400653781410616E-4</v>
      </c>
      <c r="G1266" s="22" t="s">
        <v>33</v>
      </c>
      <c r="H1266" s="22">
        <f>'2050WH_W'!$F18</f>
        <v>5.400653781410616E-4</v>
      </c>
      <c r="I1266" t="str">
        <f t="shared" si="93"/>
        <v>WH2050;winter;24;85;5.40065378141062E-04;TRUE;5.40065378141062E-04</v>
      </c>
    </row>
    <row r="1267" spans="1:9" x14ac:dyDescent="0.25">
      <c r="A1267">
        <f t="shared" si="92"/>
        <v>182.625</v>
      </c>
      <c r="B1267" t="s">
        <v>22</v>
      </c>
      <c r="C1267" t="s">
        <v>7</v>
      </c>
      <c r="D1267">
        <v>24</v>
      </c>
      <c r="E1267">
        <f t="shared" si="95"/>
        <v>90</v>
      </c>
      <c r="F1267" s="22">
        <f>'2050WH_W'!$F19</f>
        <v>3.2923495274014901E-4</v>
      </c>
      <c r="G1267" s="22" t="s">
        <v>33</v>
      </c>
      <c r="H1267" s="22">
        <f>'2050WH_W'!$F19</f>
        <v>3.2923495274014901E-4</v>
      </c>
      <c r="I1267" t="str">
        <f t="shared" si="93"/>
        <v>WH2050;winter;24;90;3.29234952740149E-04;TRUE;3.29234952740149E-04</v>
      </c>
    </row>
    <row r="1268" spans="1:9" x14ac:dyDescent="0.25">
      <c r="A1268">
        <f t="shared" si="92"/>
        <v>182.625</v>
      </c>
      <c r="B1268" t="s">
        <v>22</v>
      </c>
      <c r="C1268" t="s">
        <v>7</v>
      </c>
      <c r="D1268">
        <v>24</v>
      </c>
      <c r="E1268">
        <f t="shared" si="95"/>
        <v>95</v>
      </c>
      <c r="F1268" s="22">
        <f>'2050WH_W'!$F20</f>
        <v>5.7463135554959056E-4</v>
      </c>
      <c r="G1268" s="22" t="s">
        <v>33</v>
      </c>
      <c r="H1268" s="22">
        <f>'2050WH_W'!$F20</f>
        <v>5.7463135554959056E-4</v>
      </c>
      <c r="I1268" t="str">
        <f t="shared" si="93"/>
        <v>WH2050;winter;24;95;5.74631355549591E-04;TRUE;5.74631355549591E-04</v>
      </c>
    </row>
    <row r="1269" spans="1:9" x14ac:dyDescent="0.25">
      <c r="A1269">
        <f t="shared" si="92"/>
        <v>91.3125</v>
      </c>
      <c r="B1269" t="s">
        <v>22</v>
      </c>
      <c r="C1269" t="s">
        <v>7</v>
      </c>
      <c r="D1269">
        <v>48</v>
      </c>
      <c r="E1269">
        <v>15</v>
      </c>
      <c r="F1269" s="22">
        <f>'2050WH_W'!$J4</f>
        <v>170.98620463061172</v>
      </c>
      <c r="G1269" s="22" t="s">
        <v>33</v>
      </c>
      <c r="H1269" s="22">
        <f>'2050WH_W'!$J4</f>
        <v>170.98620463061172</v>
      </c>
      <c r="I1269" t="str">
        <f t="shared" si="93"/>
        <v>WH2050;winter;48;15;170.986204630612;TRUE;170.986204630612</v>
      </c>
    </row>
    <row r="1270" spans="1:9" x14ac:dyDescent="0.25">
      <c r="A1270">
        <f t="shared" si="92"/>
        <v>91.3125</v>
      </c>
      <c r="B1270" t="s">
        <v>22</v>
      </c>
      <c r="C1270" t="s">
        <v>7</v>
      </c>
      <c r="D1270">
        <v>48</v>
      </c>
      <c r="E1270">
        <f>E1269+5</f>
        <v>20</v>
      </c>
      <c r="F1270" s="22">
        <f>'2050WH_W'!$J5</f>
        <v>5.5229490326747008</v>
      </c>
      <c r="G1270" s="22" t="s">
        <v>33</v>
      </c>
      <c r="H1270" s="22">
        <f>'2050WH_W'!$J5</f>
        <v>5.5229490326747008</v>
      </c>
      <c r="I1270" t="str">
        <f t="shared" si="93"/>
        <v>WH2050;winter;48;20;5.5229490326747;TRUE;5.5229490326747</v>
      </c>
    </row>
    <row r="1271" spans="1:9" x14ac:dyDescent="0.25">
      <c r="A1271">
        <f t="shared" si="92"/>
        <v>91.3125</v>
      </c>
      <c r="B1271" t="s">
        <v>22</v>
      </c>
      <c r="C1271" t="s">
        <v>7</v>
      </c>
      <c r="D1271">
        <v>48</v>
      </c>
      <c r="E1271">
        <f t="shared" ref="E1271:E1287" si="96">E1270+5</f>
        <v>25</v>
      </c>
      <c r="F1271" s="22">
        <f>'2050WH_W'!$J6</f>
        <v>2.8294075522386271</v>
      </c>
      <c r="G1271" s="22" t="s">
        <v>33</v>
      </c>
      <c r="H1271" s="22">
        <f>'2050WH_W'!$J6</f>
        <v>2.8294075522386271</v>
      </c>
      <c r="I1271" t="str">
        <f t="shared" si="93"/>
        <v>WH2050;winter;48;25;2.82940755223863;TRUE;2.82940755223863</v>
      </c>
    </row>
    <row r="1272" spans="1:9" x14ac:dyDescent="0.25">
      <c r="A1272">
        <f t="shared" si="92"/>
        <v>91.3125</v>
      </c>
      <c r="B1272" t="s">
        <v>22</v>
      </c>
      <c r="C1272" t="s">
        <v>7</v>
      </c>
      <c r="D1272">
        <v>48</v>
      </c>
      <c r="E1272">
        <f t="shared" si="96"/>
        <v>30</v>
      </c>
      <c r="F1272" s="22">
        <f>'2050WH_W'!$J7</f>
        <v>1.4831660504632695</v>
      </c>
      <c r="G1272" s="22" t="s">
        <v>33</v>
      </c>
      <c r="H1272" s="22">
        <f>'2050WH_W'!$J7</f>
        <v>1.4831660504632695</v>
      </c>
      <c r="I1272" t="str">
        <f t="shared" si="93"/>
        <v>WH2050;winter;48;30;1.48316605046327;TRUE;1.48316605046327</v>
      </c>
    </row>
    <row r="1273" spans="1:9" x14ac:dyDescent="0.25">
      <c r="A1273">
        <f t="shared" si="92"/>
        <v>91.3125</v>
      </c>
      <c r="B1273" t="s">
        <v>22</v>
      </c>
      <c r="C1273" t="s">
        <v>7</v>
      </c>
      <c r="D1273">
        <v>48</v>
      </c>
      <c r="E1273">
        <f t="shared" si="96"/>
        <v>35</v>
      </c>
      <c r="F1273" s="22">
        <f>'2050WH_W'!$J8</f>
        <v>0.79431172188428212</v>
      </c>
      <c r="G1273" s="22" t="s">
        <v>33</v>
      </c>
      <c r="H1273" s="22">
        <f>'2050WH_W'!$J8</f>
        <v>0.79431172188428212</v>
      </c>
      <c r="I1273" t="str">
        <f t="shared" si="93"/>
        <v>WH2050;winter;48;35;0.794311721884282;TRUE;0.794311721884282</v>
      </c>
    </row>
    <row r="1274" spans="1:9" x14ac:dyDescent="0.25">
      <c r="A1274">
        <f t="shared" si="92"/>
        <v>91.3125</v>
      </c>
      <c r="B1274" t="s">
        <v>22</v>
      </c>
      <c r="C1274" t="s">
        <v>7</v>
      </c>
      <c r="D1274">
        <v>48</v>
      </c>
      <c r="E1274">
        <f t="shared" si="96"/>
        <v>40</v>
      </c>
      <c r="F1274" s="22">
        <f>'2050WH_W'!$J9</f>
        <v>0.43401057936737553</v>
      </c>
      <c r="G1274" s="22" t="s">
        <v>33</v>
      </c>
      <c r="H1274" s="22">
        <f>'2050WH_W'!$J9</f>
        <v>0.43401057936737553</v>
      </c>
      <c r="I1274" t="str">
        <f t="shared" si="93"/>
        <v>WH2050;winter;48;40;0.434010579367376;TRUE;0.434010579367376</v>
      </c>
    </row>
    <row r="1275" spans="1:9" x14ac:dyDescent="0.25">
      <c r="A1275">
        <f t="shared" si="92"/>
        <v>91.3125</v>
      </c>
      <c r="B1275" t="s">
        <v>22</v>
      </c>
      <c r="C1275" t="s">
        <v>7</v>
      </c>
      <c r="D1275">
        <v>48</v>
      </c>
      <c r="E1275">
        <f t="shared" si="96"/>
        <v>45</v>
      </c>
      <c r="F1275" s="22">
        <f>'2050WH_W'!$J10</f>
        <v>0.24164349091521831</v>
      </c>
      <c r="G1275" s="22" t="s">
        <v>33</v>
      </c>
      <c r="H1275" s="22">
        <f>'2050WH_W'!$J10</f>
        <v>0.24164349091521831</v>
      </c>
      <c r="I1275" t="str">
        <f t="shared" si="93"/>
        <v>WH2050;winter;48;45;0.241643490915218;TRUE;0.241643490915218</v>
      </c>
    </row>
    <row r="1276" spans="1:9" x14ac:dyDescent="0.25">
      <c r="A1276">
        <f t="shared" si="92"/>
        <v>91.3125</v>
      </c>
      <c r="B1276" t="s">
        <v>22</v>
      </c>
      <c r="C1276" t="s">
        <v>7</v>
      </c>
      <c r="D1276">
        <v>48</v>
      </c>
      <c r="E1276">
        <f t="shared" si="96"/>
        <v>50</v>
      </c>
      <c r="F1276" s="22">
        <f>'2050WH_W'!$J11</f>
        <v>0.13693734160625937</v>
      </c>
      <c r="G1276" s="22" t="s">
        <v>33</v>
      </c>
      <c r="H1276" s="22">
        <f>'2050WH_W'!$J11</f>
        <v>0.13693734160625937</v>
      </c>
      <c r="I1276" t="str">
        <f t="shared" si="93"/>
        <v>WH2050;winter;48;50;0.136937341606259;TRUE;0.136937341606259</v>
      </c>
    </row>
    <row r="1277" spans="1:9" x14ac:dyDescent="0.25">
      <c r="A1277">
        <f t="shared" si="92"/>
        <v>91.3125</v>
      </c>
      <c r="B1277" t="s">
        <v>22</v>
      </c>
      <c r="C1277" t="s">
        <v>7</v>
      </c>
      <c r="D1277">
        <v>48</v>
      </c>
      <c r="E1277">
        <f t="shared" si="96"/>
        <v>55</v>
      </c>
      <c r="F1277" s="22">
        <f>'2050WH_W'!$J12</f>
        <v>7.8902494050795816E-2</v>
      </c>
      <c r="G1277" s="22" t="s">
        <v>33</v>
      </c>
      <c r="H1277" s="22">
        <f>'2050WH_W'!$J12</f>
        <v>7.8902494050795816E-2</v>
      </c>
      <c r="I1277" t="str">
        <f t="shared" si="93"/>
        <v>WH2050;winter;48;55;7.89024940507958E-02;TRUE;7.89024940507958E-02</v>
      </c>
    </row>
    <row r="1278" spans="1:9" x14ac:dyDescent="0.25">
      <c r="A1278">
        <f t="shared" si="92"/>
        <v>91.3125</v>
      </c>
      <c r="B1278" t="s">
        <v>22</v>
      </c>
      <c r="C1278" t="s">
        <v>7</v>
      </c>
      <c r="D1278">
        <v>48</v>
      </c>
      <c r="E1278">
        <f t="shared" si="96"/>
        <v>60</v>
      </c>
      <c r="F1278" s="22">
        <f>'2050WH_W'!$J13</f>
        <v>4.6181726582583987E-2</v>
      </c>
      <c r="G1278" s="22" t="s">
        <v>33</v>
      </c>
      <c r="H1278" s="22">
        <f>'2050WH_W'!$J13</f>
        <v>4.6181726582583987E-2</v>
      </c>
      <c r="I1278" t="str">
        <f t="shared" si="93"/>
        <v>WH2050;winter;48;60;0.046181726582584;TRUE;0.046181726582584</v>
      </c>
    </row>
    <row r="1279" spans="1:9" x14ac:dyDescent="0.25">
      <c r="A1279">
        <f t="shared" si="92"/>
        <v>91.3125</v>
      </c>
      <c r="B1279" t="s">
        <v>22</v>
      </c>
      <c r="C1279" t="s">
        <v>7</v>
      </c>
      <c r="D1279">
        <v>48</v>
      </c>
      <c r="E1279">
        <f t="shared" si="96"/>
        <v>65</v>
      </c>
      <c r="F1279" s="22">
        <f>'2050WH_W'!$J14</f>
        <v>2.7433610953534068E-2</v>
      </c>
      <c r="G1279" s="22" t="s">
        <v>33</v>
      </c>
      <c r="H1279" s="22">
        <f>'2050WH_W'!$J14</f>
        <v>2.7433610953534068E-2</v>
      </c>
      <c r="I1279" t="str">
        <f t="shared" si="93"/>
        <v>WH2050;winter;48;65;2.74336109535341E-02;TRUE;2.74336109535341E-02</v>
      </c>
    </row>
    <row r="1280" spans="1:9" x14ac:dyDescent="0.25">
      <c r="A1280">
        <f t="shared" si="92"/>
        <v>91.3125</v>
      </c>
      <c r="B1280" t="s">
        <v>22</v>
      </c>
      <c r="C1280" t="s">
        <v>7</v>
      </c>
      <c r="D1280">
        <v>48</v>
      </c>
      <c r="E1280">
        <f t="shared" si="96"/>
        <v>70</v>
      </c>
      <c r="F1280" s="22">
        <f>'2050WH_W'!$J15</f>
        <v>1.6526560245782078E-2</v>
      </c>
      <c r="G1280" s="22" t="s">
        <v>33</v>
      </c>
      <c r="H1280" s="22">
        <f>'2050WH_W'!$J15</f>
        <v>1.6526560245782078E-2</v>
      </c>
      <c r="I1280" t="str">
        <f t="shared" si="93"/>
        <v>WH2050;winter;48;70;1.65265602457821E-02;TRUE;1.65265602457821E-02</v>
      </c>
    </row>
    <row r="1281" spans="1:9" x14ac:dyDescent="0.25">
      <c r="A1281">
        <f t="shared" si="92"/>
        <v>91.3125</v>
      </c>
      <c r="B1281" t="s">
        <v>22</v>
      </c>
      <c r="C1281" t="s">
        <v>7</v>
      </c>
      <c r="D1281">
        <v>48</v>
      </c>
      <c r="E1281">
        <f t="shared" si="96"/>
        <v>75</v>
      </c>
      <c r="F1281" s="22">
        <f>'2050WH_W'!$J16</f>
        <v>1.0089026977384199E-2</v>
      </c>
      <c r="G1281" s="22" t="s">
        <v>33</v>
      </c>
      <c r="H1281" s="22">
        <f>'2050WH_W'!$J16</f>
        <v>1.0089026977384199E-2</v>
      </c>
      <c r="I1281" t="str">
        <f t="shared" si="93"/>
        <v>WH2050;winter;48;75;1.00890269773842E-02;TRUE;1.00890269773842E-02</v>
      </c>
    </row>
    <row r="1282" spans="1:9" x14ac:dyDescent="0.25">
      <c r="A1282">
        <f t="shared" ref="A1282:A1345" si="97">IF(C1282="zomer",24/D1282*365.25 * 6/12,24/D1282*365.25 * 6/12)</f>
        <v>91.3125</v>
      </c>
      <c r="B1282" t="s">
        <v>22</v>
      </c>
      <c r="C1282" t="s">
        <v>7</v>
      </c>
      <c r="D1282">
        <v>48</v>
      </c>
      <c r="E1282">
        <f t="shared" si="96"/>
        <v>80</v>
      </c>
      <c r="F1282" s="22">
        <f>'2050WH_W'!$J17</f>
        <v>6.2371840891858009E-3</v>
      </c>
      <c r="G1282" s="22" t="s">
        <v>33</v>
      </c>
      <c r="H1282" s="22">
        <f>'2050WH_W'!$J17</f>
        <v>6.2371840891858009E-3</v>
      </c>
      <c r="I1282" t="str">
        <f t="shared" ref="I1282:I1345" si="98">CONCATENATEWITHDELIMITER(B1282:H1282,";")</f>
        <v>WH2050;winter;48;80;6.2371840891858E-03;TRUE;6.2371840891858E-03</v>
      </c>
    </row>
    <row r="1283" spans="1:9" x14ac:dyDescent="0.25">
      <c r="A1283">
        <f t="shared" si="97"/>
        <v>91.3125</v>
      </c>
      <c r="B1283" t="s">
        <v>22</v>
      </c>
      <c r="C1283" t="s">
        <v>7</v>
      </c>
      <c r="D1283">
        <v>48</v>
      </c>
      <c r="E1283">
        <f t="shared" si="96"/>
        <v>85</v>
      </c>
      <c r="F1283" s="22">
        <f>'2050WH_W'!$J18</f>
        <v>3.9023617721194023E-3</v>
      </c>
      <c r="G1283" s="22" t="s">
        <v>33</v>
      </c>
      <c r="H1283" s="22">
        <f>'2050WH_W'!$J18</f>
        <v>3.9023617721194023E-3</v>
      </c>
      <c r="I1283" t="str">
        <f t="shared" si="98"/>
        <v>WH2050;winter;48;85;3.9023617721194E-03;TRUE;3.9023617721194E-03</v>
      </c>
    </row>
    <row r="1284" spans="1:9" x14ac:dyDescent="0.25">
      <c r="A1284">
        <f t="shared" si="97"/>
        <v>91.3125</v>
      </c>
      <c r="B1284" t="s">
        <v>22</v>
      </c>
      <c r="C1284" t="s">
        <v>7</v>
      </c>
      <c r="D1284">
        <v>48</v>
      </c>
      <c r="E1284">
        <f t="shared" si="96"/>
        <v>90</v>
      </c>
      <c r="F1284" s="22">
        <f>'2050WH_W'!$J19</f>
        <v>2.4695243988262783E-3</v>
      </c>
      <c r="G1284" s="22" t="s">
        <v>33</v>
      </c>
      <c r="H1284" s="22">
        <f>'2050WH_W'!$J19</f>
        <v>2.4695243988262783E-3</v>
      </c>
      <c r="I1284" t="str">
        <f t="shared" si="98"/>
        <v>WH2050;winter;48;90;2.46952439882628E-03;TRUE;2.46952439882628E-03</v>
      </c>
    </row>
    <row r="1285" spans="1:9" x14ac:dyDescent="0.25">
      <c r="A1285">
        <f t="shared" si="97"/>
        <v>91.3125</v>
      </c>
      <c r="B1285" t="s">
        <v>22</v>
      </c>
      <c r="C1285" t="s">
        <v>7</v>
      </c>
      <c r="D1285">
        <v>48</v>
      </c>
      <c r="E1285">
        <f t="shared" si="96"/>
        <v>95</v>
      </c>
      <c r="F1285" s="22">
        <f>'2050WH_W'!$J20</f>
        <v>1.5798327180089294E-3</v>
      </c>
      <c r="G1285" s="22" t="s">
        <v>33</v>
      </c>
      <c r="H1285" s="22">
        <f>'2050WH_W'!$J20</f>
        <v>1.5798327180089294E-3</v>
      </c>
      <c r="I1285" t="str">
        <f t="shared" si="98"/>
        <v>WH2050;winter;48;95;1.57983271800893E-03;TRUE;1.57983271800893E-03</v>
      </c>
    </row>
    <row r="1286" spans="1:9" x14ac:dyDescent="0.25">
      <c r="A1286">
        <f t="shared" si="97"/>
        <v>91.3125</v>
      </c>
      <c r="B1286" t="s">
        <v>22</v>
      </c>
      <c r="C1286" t="s">
        <v>7</v>
      </c>
      <c r="D1286">
        <v>48</v>
      </c>
      <c r="E1286">
        <f t="shared" si="96"/>
        <v>100</v>
      </c>
      <c r="F1286" s="22">
        <f>'2050WH_W'!$J21</f>
        <v>1.0211802062618475E-3</v>
      </c>
      <c r="G1286" s="22" t="s">
        <v>33</v>
      </c>
      <c r="H1286" s="22">
        <f>'2050WH_W'!$J21</f>
        <v>1.0211802062618475E-3</v>
      </c>
      <c r="I1286" t="str">
        <f t="shared" si="98"/>
        <v>WH2050;winter;48;100;1.02118020626185E-03;TRUE;1.02118020626185E-03</v>
      </c>
    </row>
    <row r="1287" spans="1:9" x14ac:dyDescent="0.25">
      <c r="A1287">
        <f t="shared" si="97"/>
        <v>91.3125</v>
      </c>
      <c r="B1287" t="s">
        <v>22</v>
      </c>
      <c r="C1287" t="s">
        <v>7</v>
      </c>
      <c r="D1287">
        <v>48</v>
      </c>
      <c r="E1287">
        <f t="shared" si="96"/>
        <v>105</v>
      </c>
      <c r="F1287" s="22">
        <f>'2050WH_W'!$J22</f>
        <v>2.0260982440523743E-3</v>
      </c>
      <c r="G1287" s="22" t="s">
        <v>33</v>
      </c>
      <c r="H1287" s="22">
        <f>'2050WH_W'!$J22</f>
        <v>2.0260982440523743E-3</v>
      </c>
      <c r="I1287" t="str">
        <f t="shared" si="98"/>
        <v>WH2050;winter;48;105;2.02609824405237E-03;TRUE;2.02609824405237E-03</v>
      </c>
    </row>
    <row r="1288" spans="1:9" x14ac:dyDescent="0.25">
      <c r="A1288">
        <f t="shared" si="97"/>
        <v>45.65625</v>
      </c>
      <c r="B1288" t="s">
        <v>22</v>
      </c>
      <c r="C1288" t="s">
        <v>7</v>
      </c>
      <c r="D1288">
        <v>96</v>
      </c>
      <c r="E1288">
        <v>20</v>
      </c>
      <c r="F1288" s="22">
        <f>'2050WH_W'!$N5</f>
        <v>79.345739474427262</v>
      </c>
      <c r="G1288" s="22" t="s">
        <v>33</v>
      </c>
      <c r="H1288" s="22">
        <f>'2050WH_W'!$N5</f>
        <v>79.345739474427262</v>
      </c>
      <c r="I1288" t="str">
        <f t="shared" si="98"/>
        <v>WH2050;winter;96;20;79.3457394744273;TRUE;79.3457394744273</v>
      </c>
    </row>
    <row r="1289" spans="1:9" x14ac:dyDescent="0.25">
      <c r="A1289">
        <f t="shared" si="97"/>
        <v>45.65625</v>
      </c>
      <c r="B1289" t="s">
        <v>22</v>
      </c>
      <c r="C1289" t="s">
        <v>7</v>
      </c>
      <c r="D1289">
        <v>96</v>
      </c>
      <c r="E1289">
        <f>E1288+5</f>
        <v>25</v>
      </c>
      <c r="F1289" s="22">
        <f>'2050WH_W'!$N6</f>
        <v>4.2460788367420639</v>
      </c>
      <c r="G1289" s="22" t="s">
        <v>33</v>
      </c>
      <c r="H1289" s="22">
        <f>'2050WH_W'!$N6</f>
        <v>4.2460788367420639</v>
      </c>
      <c r="I1289" t="str">
        <f t="shared" si="98"/>
        <v>WH2050;winter;96;25;4.24607883674206;TRUE;4.24607883674206</v>
      </c>
    </row>
    <row r="1290" spans="1:9" x14ac:dyDescent="0.25">
      <c r="A1290">
        <f t="shared" si="97"/>
        <v>45.65625</v>
      </c>
      <c r="B1290" t="s">
        <v>22</v>
      </c>
      <c r="C1290" t="s">
        <v>7</v>
      </c>
      <c r="D1290">
        <v>96</v>
      </c>
      <c r="E1290">
        <f t="shared" ref="E1290:E1308" si="99">E1289+5</f>
        <v>30</v>
      </c>
      <c r="F1290" s="22">
        <f>'2050WH_W'!$N7</f>
        <v>2.7185849814370471</v>
      </c>
      <c r="G1290" s="22" t="s">
        <v>33</v>
      </c>
      <c r="H1290" s="22">
        <f>'2050WH_W'!$N7</f>
        <v>2.7185849814370471</v>
      </c>
      <c r="I1290" t="str">
        <f t="shared" si="98"/>
        <v>WH2050;winter;96;30;2.71858498143705;TRUE;2.71858498143705</v>
      </c>
    </row>
    <row r="1291" spans="1:9" x14ac:dyDescent="0.25">
      <c r="A1291">
        <f t="shared" si="97"/>
        <v>45.65625</v>
      </c>
      <c r="B1291" t="s">
        <v>22</v>
      </c>
      <c r="C1291" t="s">
        <v>7</v>
      </c>
      <c r="D1291">
        <v>96</v>
      </c>
      <c r="E1291">
        <f t="shared" si="99"/>
        <v>35</v>
      </c>
      <c r="F1291" s="22">
        <f>'2050WH_W'!$N8</f>
        <v>1.7479919611608672</v>
      </c>
      <c r="G1291" s="22" t="s">
        <v>33</v>
      </c>
      <c r="H1291" s="22">
        <f>'2050WH_W'!$N8</f>
        <v>1.7479919611608672</v>
      </c>
      <c r="I1291" t="str">
        <f t="shared" si="98"/>
        <v>WH2050;winter;96;35;1.74799196116087;TRUE;1.74799196116087</v>
      </c>
    </row>
    <row r="1292" spans="1:9" x14ac:dyDescent="0.25">
      <c r="A1292">
        <f t="shared" si="97"/>
        <v>45.65625</v>
      </c>
      <c r="B1292" t="s">
        <v>22</v>
      </c>
      <c r="C1292" t="s">
        <v>7</v>
      </c>
      <c r="D1292">
        <v>96</v>
      </c>
      <c r="E1292">
        <f t="shared" si="99"/>
        <v>40</v>
      </c>
      <c r="F1292" s="22">
        <f>'2050WH_W'!$N9</f>
        <v>1.1286074018249543</v>
      </c>
      <c r="G1292" s="22" t="s">
        <v>33</v>
      </c>
      <c r="H1292" s="22">
        <f>'2050WH_W'!$N9</f>
        <v>1.1286074018249543</v>
      </c>
      <c r="I1292" t="str">
        <f t="shared" si="98"/>
        <v>WH2050;winter;96;40;1.12860740182495;TRUE;1.12860740182495</v>
      </c>
    </row>
    <row r="1293" spans="1:9" x14ac:dyDescent="0.25">
      <c r="A1293">
        <f t="shared" si="97"/>
        <v>45.65625</v>
      </c>
      <c r="B1293" t="s">
        <v>22</v>
      </c>
      <c r="C1293" t="s">
        <v>7</v>
      </c>
      <c r="D1293">
        <v>96</v>
      </c>
      <c r="E1293">
        <f t="shared" si="99"/>
        <v>45</v>
      </c>
      <c r="F1293" s="22">
        <f>'2050WH_W'!$N10</f>
        <v>0.73167726932163046</v>
      </c>
      <c r="G1293" s="22" t="s">
        <v>33</v>
      </c>
      <c r="H1293" s="22">
        <f>'2050WH_W'!$N10</f>
        <v>0.73167726932163046</v>
      </c>
      <c r="I1293" t="str">
        <f t="shared" si="98"/>
        <v>WH2050;winter;96;45;0.73167726932163;TRUE;0.73167726932163</v>
      </c>
    </row>
    <row r="1294" spans="1:9" x14ac:dyDescent="0.25">
      <c r="A1294">
        <f t="shared" si="97"/>
        <v>45.65625</v>
      </c>
      <c r="B1294" t="s">
        <v>22</v>
      </c>
      <c r="C1294" t="s">
        <v>7</v>
      </c>
      <c r="D1294">
        <v>96</v>
      </c>
      <c r="E1294">
        <f t="shared" si="99"/>
        <v>50</v>
      </c>
      <c r="F1294" s="22">
        <f>'2050WH_W'!$N11</f>
        <v>0.47625180530328204</v>
      </c>
      <c r="G1294" s="22" t="s">
        <v>33</v>
      </c>
      <c r="H1294" s="22">
        <f>'2050WH_W'!$N11</f>
        <v>0.47625180530328204</v>
      </c>
      <c r="I1294" t="str">
        <f t="shared" si="98"/>
        <v>WH2050;winter;96;50;0.476251805303282;TRUE;0.476251805303282</v>
      </c>
    </row>
    <row r="1295" spans="1:9" x14ac:dyDescent="0.25">
      <c r="A1295">
        <f t="shared" si="97"/>
        <v>45.65625</v>
      </c>
      <c r="B1295" t="s">
        <v>22</v>
      </c>
      <c r="C1295" t="s">
        <v>7</v>
      </c>
      <c r="D1295">
        <v>96</v>
      </c>
      <c r="E1295">
        <f t="shared" si="99"/>
        <v>55</v>
      </c>
      <c r="F1295" s="22">
        <f>'2050WH_W'!$N12</f>
        <v>0.3112162092277817</v>
      </c>
      <c r="G1295" s="22" t="s">
        <v>33</v>
      </c>
      <c r="H1295" s="22">
        <f>'2050WH_W'!$N12</f>
        <v>0.3112162092277817</v>
      </c>
      <c r="I1295" t="str">
        <f t="shared" si="98"/>
        <v>WH2050;winter;96;55;0.311216209227782;TRUE;0.311216209227782</v>
      </c>
    </row>
    <row r="1296" spans="1:9" x14ac:dyDescent="0.25">
      <c r="A1296">
        <f t="shared" si="97"/>
        <v>45.65625</v>
      </c>
      <c r="B1296" t="s">
        <v>22</v>
      </c>
      <c r="C1296" t="s">
        <v>7</v>
      </c>
      <c r="D1296">
        <v>96</v>
      </c>
      <c r="E1296">
        <f t="shared" si="99"/>
        <v>60</v>
      </c>
      <c r="F1296" s="22">
        <f>'2050WH_W'!$N13</f>
        <v>0.20415745928465812</v>
      </c>
      <c r="G1296" s="22" t="s">
        <v>33</v>
      </c>
      <c r="H1296" s="22">
        <f>'2050WH_W'!$N13</f>
        <v>0.20415745928465812</v>
      </c>
      <c r="I1296" t="str">
        <f t="shared" si="98"/>
        <v>WH2050;winter;96;60;0.204157459284658;TRUE;0.204157459284658</v>
      </c>
    </row>
    <row r="1297" spans="1:9" x14ac:dyDescent="0.25">
      <c r="A1297">
        <f t="shared" si="97"/>
        <v>45.65625</v>
      </c>
      <c r="B1297" t="s">
        <v>22</v>
      </c>
      <c r="C1297" t="s">
        <v>7</v>
      </c>
      <c r="D1297">
        <v>96</v>
      </c>
      <c r="E1297">
        <f t="shared" si="99"/>
        <v>65</v>
      </c>
      <c r="F1297" s="22">
        <f>'2050WH_W'!$N14</f>
        <v>0.13443599723674904</v>
      </c>
      <c r="G1297" s="22" t="s">
        <v>33</v>
      </c>
      <c r="H1297" s="22">
        <f>'2050WH_W'!$N14</f>
        <v>0.13443599723674904</v>
      </c>
      <c r="I1297" t="str">
        <f t="shared" si="98"/>
        <v>WH2050;winter;96;65;0.134435997236749;TRUE;0.134435997236749</v>
      </c>
    </row>
    <row r="1298" spans="1:9" x14ac:dyDescent="0.25">
      <c r="A1298">
        <f t="shared" si="97"/>
        <v>45.65625</v>
      </c>
      <c r="B1298" t="s">
        <v>22</v>
      </c>
      <c r="C1298" t="s">
        <v>7</v>
      </c>
      <c r="D1298">
        <v>96</v>
      </c>
      <c r="E1298">
        <f t="shared" si="99"/>
        <v>70</v>
      </c>
      <c r="F1298" s="22">
        <f>'2050WH_W'!$N15</f>
        <v>8.8855391664796668E-2</v>
      </c>
      <c r="G1298" s="22" t="s">
        <v>33</v>
      </c>
      <c r="H1298" s="22">
        <f>'2050WH_W'!$N15</f>
        <v>8.8855391664796668E-2</v>
      </c>
      <c r="I1298" t="str">
        <f t="shared" si="98"/>
        <v>WH2050;winter;96;70;8.88553916647967E-02;TRUE;8.88553916647967E-02</v>
      </c>
    </row>
    <row r="1299" spans="1:9" x14ac:dyDescent="0.25">
      <c r="A1299">
        <f t="shared" si="97"/>
        <v>45.65625</v>
      </c>
      <c r="B1299" t="s">
        <v>22</v>
      </c>
      <c r="C1299" t="s">
        <v>7</v>
      </c>
      <c r="D1299">
        <v>96</v>
      </c>
      <c r="E1299">
        <f t="shared" si="99"/>
        <v>75</v>
      </c>
      <c r="F1299" s="22">
        <f>'2050WH_W'!$N16</f>
        <v>5.894422799302998E-2</v>
      </c>
      <c r="G1299" s="22" t="s">
        <v>33</v>
      </c>
      <c r="H1299" s="22">
        <f>'2050WH_W'!$N16</f>
        <v>5.894422799302998E-2</v>
      </c>
      <c r="I1299" t="str">
        <f t="shared" si="98"/>
        <v>WH2050;winter;96;75;0.05894422799303;TRUE;0.05894422799303</v>
      </c>
    </row>
    <row r="1300" spans="1:9" x14ac:dyDescent="0.25">
      <c r="A1300">
        <f t="shared" si="97"/>
        <v>45.65625</v>
      </c>
      <c r="B1300" t="s">
        <v>22</v>
      </c>
      <c r="C1300" t="s">
        <v>7</v>
      </c>
      <c r="D1300">
        <v>96</v>
      </c>
      <c r="E1300">
        <f t="shared" si="99"/>
        <v>80</v>
      </c>
      <c r="F1300" s="22">
        <f>'2050WH_W'!$N17</f>
        <v>3.9242820609538098E-2</v>
      </c>
      <c r="G1300" s="22" t="s">
        <v>33</v>
      </c>
      <c r="H1300" s="22">
        <f>'2050WH_W'!$N17</f>
        <v>3.9242820609538098E-2</v>
      </c>
      <c r="I1300" t="str">
        <f t="shared" si="98"/>
        <v>WH2050;winter;96;80;3.92428206095381E-02;TRUE;3.92428206095381E-02</v>
      </c>
    </row>
    <row r="1301" spans="1:9" x14ac:dyDescent="0.25">
      <c r="A1301">
        <f t="shared" si="97"/>
        <v>45.65625</v>
      </c>
      <c r="B1301" t="s">
        <v>22</v>
      </c>
      <c r="C1301" t="s">
        <v>7</v>
      </c>
      <c r="D1301">
        <v>96</v>
      </c>
      <c r="E1301">
        <f t="shared" si="99"/>
        <v>85</v>
      </c>
      <c r="F1301" s="22">
        <f>'2050WH_W'!$N18</f>
        <v>2.6218838682114047E-2</v>
      </c>
      <c r="G1301" s="22" t="s">
        <v>33</v>
      </c>
      <c r="H1301" s="22">
        <f>'2050WH_W'!$N18</f>
        <v>2.6218838682114047E-2</v>
      </c>
      <c r="I1301" t="str">
        <f t="shared" si="98"/>
        <v>WH2050;winter;96;85;0.026218838682114;TRUE;0.026218838682114</v>
      </c>
    </row>
    <row r="1302" spans="1:9" x14ac:dyDescent="0.25">
      <c r="A1302">
        <f t="shared" si="97"/>
        <v>45.65625</v>
      </c>
      <c r="B1302" t="s">
        <v>22</v>
      </c>
      <c r="C1302" t="s">
        <v>7</v>
      </c>
      <c r="D1302">
        <v>96</v>
      </c>
      <c r="E1302">
        <f t="shared" si="99"/>
        <v>90</v>
      </c>
      <c r="F1302" s="22">
        <f>'2050WH_W'!$N19</f>
        <v>1.7578206693424213E-2</v>
      </c>
      <c r="G1302" s="22" t="s">
        <v>33</v>
      </c>
      <c r="H1302" s="22">
        <f>'2050WH_W'!$N19</f>
        <v>1.7578206693424213E-2</v>
      </c>
      <c r="I1302" t="str">
        <f t="shared" si="98"/>
        <v>WH2050;winter;96;90;1.75782066934242E-02;TRUE;1.75782066934242E-02</v>
      </c>
    </row>
    <row r="1303" spans="1:9" x14ac:dyDescent="0.25">
      <c r="A1303">
        <f t="shared" si="97"/>
        <v>45.65625</v>
      </c>
      <c r="B1303" t="s">
        <v>22</v>
      </c>
      <c r="C1303" t="s">
        <v>7</v>
      </c>
      <c r="D1303">
        <v>96</v>
      </c>
      <c r="E1303">
        <f t="shared" si="99"/>
        <v>95</v>
      </c>
      <c r="F1303" s="22">
        <f>'2050WH_W'!$N20</f>
        <v>1.1825453698629983E-2</v>
      </c>
      <c r="G1303" s="22" t="s">
        <v>33</v>
      </c>
      <c r="H1303" s="22">
        <f>'2050WH_W'!$N20</f>
        <v>1.1825453698629983E-2</v>
      </c>
      <c r="I1303" t="str">
        <f t="shared" si="98"/>
        <v>WH2050;winter;96;95;0.01182545369863;TRUE;0.01182545369863</v>
      </c>
    </row>
    <row r="1304" spans="1:9" x14ac:dyDescent="0.25">
      <c r="A1304">
        <f t="shared" si="97"/>
        <v>45.65625</v>
      </c>
      <c r="B1304" t="s">
        <v>22</v>
      </c>
      <c r="C1304" t="s">
        <v>7</v>
      </c>
      <c r="D1304">
        <v>96</v>
      </c>
      <c r="E1304">
        <f t="shared" si="99"/>
        <v>100</v>
      </c>
      <c r="F1304" s="22">
        <f>'2050WH_W'!$N21</f>
        <v>7.982117049043759E-3</v>
      </c>
      <c r="G1304" s="22" t="s">
        <v>33</v>
      </c>
      <c r="H1304" s="22">
        <f>'2050WH_W'!$N21</f>
        <v>7.982117049043759E-3</v>
      </c>
      <c r="I1304" t="str">
        <f t="shared" si="98"/>
        <v>WH2050;winter;96;100;7.98211704904376E-03;TRUE;7.98211704904376E-03</v>
      </c>
    </row>
    <row r="1305" spans="1:9" x14ac:dyDescent="0.25">
      <c r="A1305">
        <f t="shared" si="97"/>
        <v>45.65625</v>
      </c>
      <c r="B1305" t="s">
        <v>22</v>
      </c>
      <c r="C1305" t="s">
        <v>7</v>
      </c>
      <c r="D1305">
        <v>96</v>
      </c>
      <c r="E1305">
        <f t="shared" si="99"/>
        <v>105</v>
      </c>
      <c r="F1305" s="22">
        <f>'2050WH_W'!$N22</f>
        <v>5.405687600766991E-3</v>
      </c>
      <c r="G1305" s="22" t="s">
        <v>33</v>
      </c>
      <c r="H1305" s="22">
        <f>'2050WH_W'!$N22</f>
        <v>5.405687600766991E-3</v>
      </c>
      <c r="I1305" t="str">
        <f t="shared" si="98"/>
        <v>WH2050;winter;96;105;5.40568760076699E-03;TRUE;5.40568760076699E-03</v>
      </c>
    </row>
    <row r="1306" spans="1:9" x14ac:dyDescent="0.25">
      <c r="A1306">
        <f t="shared" si="97"/>
        <v>45.65625</v>
      </c>
      <c r="B1306" t="s">
        <v>22</v>
      </c>
      <c r="C1306" t="s">
        <v>7</v>
      </c>
      <c r="D1306">
        <v>96</v>
      </c>
      <c r="E1306">
        <f t="shared" si="99"/>
        <v>110</v>
      </c>
      <c r="F1306" s="22">
        <f>'2050WH_W'!$N23</f>
        <v>3.6727597129397396E-3</v>
      </c>
      <c r="G1306" s="22" t="s">
        <v>33</v>
      </c>
      <c r="H1306" s="22">
        <f>'2050WH_W'!$N23</f>
        <v>3.6727597129397396E-3</v>
      </c>
      <c r="I1306" t="str">
        <f t="shared" si="98"/>
        <v>WH2050;winter;96;110;3.67275971293974E-03;TRUE;3.67275971293974E-03</v>
      </c>
    </row>
    <row r="1307" spans="1:9" x14ac:dyDescent="0.25">
      <c r="A1307">
        <f t="shared" si="97"/>
        <v>45.65625</v>
      </c>
      <c r="B1307" t="s">
        <v>22</v>
      </c>
      <c r="C1307" t="s">
        <v>7</v>
      </c>
      <c r="D1307">
        <v>96</v>
      </c>
      <c r="E1307">
        <f t="shared" si="99"/>
        <v>115</v>
      </c>
      <c r="F1307" s="22">
        <f>'2050WH_W'!$N24</f>
        <v>2.5033383201555374E-3</v>
      </c>
      <c r="G1307" s="22" t="s">
        <v>33</v>
      </c>
      <c r="H1307" s="22">
        <f>'2050WH_W'!$N24</f>
        <v>2.5033383201555374E-3</v>
      </c>
      <c r="I1307" t="str">
        <f t="shared" si="98"/>
        <v>WH2050;winter;96;115;2.50333832015554E-03;TRUE;2.50333832015554E-03</v>
      </c>
    </row>
    <row r="1308" spans="1:9" x14ac:dyDescent="0.25">
      <c r="A1308">
        <f t="shared" si="97"/>
        <v>45.65625</v>
      </c>
      <c r="B1308" t="s">
        <v>22</v>
      </c>
      <c r="C1308" t="s">
        <v>7</v>
      </c>
      <c r="D1308">
        <v>96</v>
      </c>
      <c r="E1308">
        <f t="shared" si="99"/>
        <v>120</v>
      </c>
      <c r="F1308" s="22">
        <f>'2050WH_W'!$N25</f>
        <v>5.5297620092669775E-3</v>
      </c>
      <c r="G1308" s="22" t="s">
        <v>33</v>
      </c>
      <c r="H1308" s="22">
        <f>'2050WH_W'!$N25</f>
        <v>5.5297620092669775E-3</v>
      </c>
      <c r="I1308" t="str">
        <f t="shared" si="98"/>
        <v>WH2050;winter;96;120;5.52976200926698E-03;TRUE;5.52976200926698E-03</v>
      </c>
    </row>
    <row r="1309" spans="1:9" x14ac:dyDescent="0.25">
      <c r="A1309">
        <f t="shared" si="97"/>
        <v>22.828125</v>
      </c>
      <c r="B1309" t="s">
        <v>22</v>
      </c>
      <c r="C1309" t="s">
        <v>7</v>
      </c>
      <c r="D1309">
        <v>192</v>
      </c>
      <c r="E1309">
        <v>25</v>
      </c>
      <c r="F1309" s="22">
        <f>'2050WH_W'!$R6</f>
        <v>33.454509233841016</v>
      </c>
      <c r="G1309" s="22" t="s">
        <v>33</v>
      </c>
      <c r="H1309" s="22">
        <f>'2050WH_W'!$R6</f>
        <v>33.454509233841016</v>
      </c>
      <c r="I1309" t="str">
        <f t="shared" si="98"/>
        <v>WH2050;winter;192;25;33.454509233841;TRUE;33.454509233841</v>
      </c>
    </row>
    <row r="1310" spans="1:9" x14ac:dyDescent="0.25">
      <c r="A1310">
        <f t="shared" si="97"/>
        <v>22.828125</v>
      </c>
      <c r="B1310" t="s">
        <v>22</v>
      </c>
      <c r="C1310" t="s">
        <v>7</v>
      </c>
      <c r="D1310">
        <v>192</v>
      </c>
      <c r="E1310">
        <f>E1309+5</f>
        <v>30</v>
      </c>
      <c r="F1310" s="22">
        <f>'2050WH_W'!$R7</f>
        <v>2.8640043464754967</v>
      </c>
      <c r="G1310" s="22" t="s">
        <v>33</v>
      </c>
      <c r="H1310" s="22">
        <f>'2050WH_W'!$R7</f>
        <v>2.8640043464754967</v>
      </c>
      <c r="I1310" t="str">
        <f t="shared" si="98"/>
        <v>WH2050;winter;192;30;2.8640043464755;TRUE;2.8640043464755</v>
      </c>
    </row>
    <row r="1311" spans="1:9" x14ac:dyDescent="0.25">
      <c r="A1311">
        <f t="shared" si="97"/>
        <v>22.828125</v>
      </c>
      <c r="B1311" t="s">
        <v>22</v>
      </c>
      <c r="C1311" t="s">
        <v>7</v>
      </c>
      <c r="D1311">
        <v>192</v>
      </c>
      <c r="E1311">
        <f t="shared" ref="E1311:E1335" si="100">E1310+5</f>
        <v>35</v>
      </c>
      <c r="F1311" s="22">
        <f>'2050WH_W'!$R8</f>
        <v>2.215540429137187</v>
      </c>
      <c r="G1311" s="22" t="s">
        <v>33</v>
      </c>
      <c r="H1311" s="22">
        <f>'2050WH_W'!$R8</f>
        <v>2.215540429137187</v>
      </c>
      <c r="I1311" t="str">
        <f t="shared" si="98"/>
        <v>WH2050;winter;192;35;2.21554042913719;TRUE;2.21554042913719</v>
      </c>
    </row>
    <row r="1312" spans="1:9" x14ac:dyDescent="0.25">
      <c r="A1312">
        <f t="shared" si="97"/>
        <v>22.828125</v>
      </c>
      <c r="B1312" t="s">
        <v>22</v>
      </c>
      <c r="C1312" t="s">
        <v>7</v>
      </c>
      <c r="D1312">
        <v>192</v>
      </c>
      <c r="E1312">
        <f t="shared" si="100"/>
        <v>40</v>
      </c>
      <c r="F1312" s="22">
        <f>'2050WH_W'!$R9</f>
        <v>1.7083961087655437</v>
      </c>
      <c r="G1312" s="22" t="s">
        <v>33</v>
      </c>
      <c r="H1312" s="22">
        <f>'2050WH_W'!$R9</f>
        <v>1.7083961087655437</v>
      </c>
      <c r="I1312" t="str">
        <f t="shared" si="98"/>
        <v>WH2050;winter;192;40;1.70839610876554;TRUE;1.70839610876554</v>
      </c>
    </row>
    <row r="1313" spans="1:9" x14ac:dyDescent="0.25">
      <c r="A1313">
        <f t="shared" si="97"/>
        <v>22.828125</v>
      </c>
      <c r="B1313" t="s">
        <v>22</v>
      </c>
      <c r="C1313" t="s">
        <v>7</v>
      </c>
      <c r="D1313">
        <v>192</v>
      </c>
      <c r="E1313">
        <f t="shared" si="100"/>
        <v>45</v>
      </c>
      <c r="F1313" s="22">
        <f>'2050WH_W'!$R10</f>
        <v>1.3130005429403884</v>
      </c>
      <c r="G1313" s="22" t="s">
        <v>33</v>
      </c>
      <c r="H1313" s="22">
        <f>'2050WH_W'!$R10</f>
        <v>1.3130005429403884</v>
      </c>
      <c r="I1313" t="str">
        <f t="shared" si="98"/>
        <v>WH2050;winter;192;45;1.31300054294039;TRUE;1.31300054294039</v>
      </c>
    </row>
    <row r="1314" spans="1:9" x14ac:dyDescent="0.25">
      <c r="A1314">
        <f t="shared" si="97"/>
        <v>22.828125</v>
      </c>
      <c r="B1314" t="s">
        <v>22</v>
      </c>
      <c r="C1314" t="s">
        <v>7</v>
      </c>
      <c r="D1314">
        <v>192</v>
      </c>
      <c r="E1314">
        <f t="shared" si="100"/>
        <v>50</v>
      </c>
      <c r="F1314" s="22">
        <f>'2050WH_W'!$R11</f>
        <v>1.0057078967134716</v>
      </c>
      <c r="G1314" s="22" t="s">
        <v>33</v>
      </c>
      <c r="H1314" s="22">
        <f>'2050WH_W'!$R11</f>
        <v>1.0057078967134716</v>
      </c>
      <c r="I1314" t="str">
        <f t="shared" si="98"/>
        <v>WH2050;winter;192;50;1.00570789671347;TRUE;1.00570789671347</v>
      </c>
    </row>
    <row r="1315" spans="1:9" x14ac:dyDescent="0.25">
      <c r="A1315">
        <f t="shared" si="97"/>
        <v>22.828125</v>
      </c>
      <c r="B1315" t="s">
        <v>22</v>
      </c>
      <c r="C1315" t="s">
        <v>7</v>
      </c>
      <c r="D1315">
        <v>192</v>
      </c>
      <c r="E1315">
        <f t="shared" si="100"/>
        <v>55</v>
      </c>
      <c r="F1315" s="22">
        <f>'2050WH_W'!$R12</f>
        <v>0.7676640168648694</v>
      </c>
      <c r="G1315" s="22" t="s">
        <v>33</v>
      </c>
      <c r="H1315" s="22">
        <f>'2050WH_W'!$R12</f>
        <v>0.7676640168648694</v>
      </c>
      <c r="I1315" t="str">
        <f t="shared" si="98"/>
        <v>WH2050;winter;192;55;0.767664016864869;TRUE;0.767664016864869</v>
      </c>
    </row>
    <row r="1316" spans="1:9" x14ac:dyDescent="0.25">
      <c r="A1316">
        <f t="shared" si="97"/>
        <v>22.828125</v>
      </c>
      <c r="B1316" t="s">
        <v>22</v>
      </c>
      <c r="C1316" t="s">
        <v>7</v>
      </c>
      <c r="D1316">
        <v>192</v>
      </c>
      <c r="E1316">
        <f t="shared" si="100"/>
        <v>60</v>
      </c>
      <c r="F1316" s="22">
        <f>'2050WH_W'!$R13</f>
        <v>0.58387934432560984</v>
      </c>
      <c r="G1316" s="22" t="s">
        <v>33</v>
      </c>
      <c r="H1316" s="22">
        <f>'2050WH_W'!$R13</f>
        <v>0.58387934432560984</v>
      </c>
      <c r="I1316" t="str">
        <f t="shared" si="98"/>
        <v>WH2050;winter;192;60;0.58387934432561;TRUE;0.58387934432561</v>
      </c>
    </row>
    <row r="1317" spans="1:9" x14ac:dyDescent="0.25">
      <c r="A1317">
        <f t="shared" si="97"/>
        <v>22.828125</v>
      </c>
      <c r="B1317" t="s">
        <v>22</v>
      </c>
      <c r="C1317" t="s">
        <v>7</v>
      </c>
      <c r="D1317">
        <v>192</v>
      </c>
      <c r="E1317">
        <f t="shared" si="100"/>
        <v>65</v>
      </c>
      <c r="F1317" s="22">
        <f>'2050WH_W'!$R14</f>
        <v>0.44247249859909665</v>
      </c>
      <c r="G1317" s="22" t="s">
        <v>33</v>
      </c>
      <c r="H1317" s="22">
        <f>'2050WH_W'!$R14</f>
        <v>0.44247249859909665</v>
      </c>
      <c r="I1317" t="str">
        <f t="shared" si="98"/>
        <v>WH2050;winter;192;65;0.442472498599097;TRUE;0.442472498599097</v>
      </c>
    </row>
    <row r="1318" spans="1:9" x14ac:dyDescent="0.25">
      <c r="A1318">
        <f t="shared" si="97"/>
        <v>22.828125</v>
      </c>
      <c r="B1318" t="s">
        <v>22</v>
      </c>
      <c r="C1318" t="s">
        <v>7</v>
      </c>
      <c r="D1318">
        <v>192</v>
      </c>
      <c r="E1318">
        <f t="shared" si="100"/>
        <v>70</v>
      </c>
      <c r="F1318" s="22">
        <f>'2050WH_W'!$R15</f>
        <v>0.33405475455190425</v>
      </c>
      <c r="G1318" s="22" t="s">
        <v>33</v>
      </c>
      <c r="H1318" s="22">
        <f>'2050WH_W'!$R15</f>
        <v>0.33405475455190425</v>
      </c>
      <c r="I1318" t="str">
        <f t="shared" si="98"/>
        <v>WH2050;winter;192;70;0.334054754551904;TRUE;0.334054754551904</v>
      </c>
    </row>
    <row r="1319" spans="1:9" x14ac:dyDescent="0.25">
      <c r="A1319">
        <f t="shared" si="97"/>
        <v>22.828125</v>
      </c>
      <c r="B1319" t="s">
        <v>22</v>
      </c>
      <c r="C1319" t="s">
        <v>7</v>
      </c>
      <c r="D1319">
        <v>192</v>
      </c>
      <c r="E1319">
        <f t="shared" si="100"/>
        <v>75</v>
      </c>
      <c r="F1319" s="22">
        <f>'2050WH_W'!$R16</f>
        <v>0.25123053484653035</v>
      </c>
      <c r="G1319" s="22" t="s">
        <v>33</v>
      </c>
      <c r="H1319" s="22">
        <f>'2050WH_W'!$R16</f>
        <v>0.25123053484653035</v>
      </c>
      <c r="I1319" t="str">
        <f t="shared" si="98"/>
        <v>WH2050;winter;192;75;0.25123053484653;TRUE;0.25123053484653</v>
      </c>
    </row>
    <row r="1320" spans="1:9" x14ac:dyDescent="0.25">
      <c r="A1320">
        <f t="shared" si="97"/>
        <v>22.828125</v>
      </c>
      <c r="B1320" t="s">
        <v>22</v>
      </c>
      <c r="C1320" t="s">
        <v>7</v>
      </c>
      <c r="D1320">
        <v>192</v>
      </c>
      <c r="E1320">
        <f t="shared" si="100"/>
        <v>80</v>
      </c>
      <c r="F1320" s="22">
        <f>'2050WH_W'!$R17</f>
        <v>0.18819318644334582</v>
      </c>
      <c r="G1320" s="22" t="s">
        <v>33</v>
      </c>
      <c r="H1320" s="22">
        <f>'2050WH_W'!$R17</f>
        <v>0.18819318644334582</v>
      </c>
      <c r="I1320" t="str">
        <f t="shared" si="98"/>
        <v>WH2050;winter;192;80;0.188193186443346;TRUE;0.188193186443346</v>
      </c>
    </row>
    <row r="1321" spans="1:9" x14ac:dyDescent="0.25">
      <c r="A1321">
        <f t="shared" si="97"/>
        <v>22.828125</v>
      </c>
      <c r="B1321" t="s">
        <v>22</v>
      </c>
      <c r="C1321" t="s">
        <v>7</v>
      </c>
      <c r="D1321">
        <v>192</v>
      </c>
      <c r="E1321">
        <f t="shared" si="100"/>
        <v>85</v>
      </c>
      <c r="F1321" s="22">
        <f>'2050WH_W'!$R18</f>
        <v>0.14039880628136125</v>
      </c>
      <c r="G1321" s="22" t="s">
        <v>33</v>
      </c>
      <c r="H1321" s="22">
        <f>'2050WH_W'!$R18</f>
        <v>0.14039880628136125</v>
      </c>
      <c r="I1321" t="str">
        <f t="shared" si="98"/>
        <v>WH2050;winter;192;85;0.140398806281361;TRUE;0.140398806281361</v>
      </c>
    </row>
    <row r="1322" spans="1:9" x14ac:dyDescent="0.25">
      <c r="A1322">
        <f t="shared" si="97"/>
        <v>22.828125</v>
      </c>
      <c r="B1322" t="s">
        <v>22</v>
      </c>
      <c r="C1322" t="s">
        <v>7</v>
      </c>
      <c r="D1322">
        <v>192</v>
      </c>
      <c r="E1322">
        <f t="shared" si="100"/>
        <v>90</v>
      </c>
      <c r="F1322" s="22">
        <f>'2050WH_W'!$R19</f>
        <v>0.10430382413134404</v>
      </c>
      <c r="G1322" s="22" t="s">
        <v>33</v>
      </c>
      <c r="H1322" s="22">
        <f>'2050WH_W'!$R19</f>
        <v>0.10430382413134404</v>
      </c>
      <c r="I1322" t="str">
        <f t="shared" si="98"/>
        <v>WH2050;winter;192;90;0.104303824131344;TRUE;0.104303824131344</v>
      </c>
    </row>
    <row r="1323" spans="1:9" x14ac:dyDescent="0.25">
      <c r="A1323">
        <f t="shared" si="97"/>
        <v>22.828125</v>
      </c>
      <c r="B1323" t="s">
        <v>22</v>
      </c>
      <c r="C1323" t="s">
        <v>7</v>
      </c>
      <c r="D1323">
        <v>192</v>
      </c>
      <c r="E1323">
        <f t="shared" si="100"/>
        <v>95</v>
      </c>
      <c r="F1323" s="22">
        <f>'2050WH_W'!$R20</f>
        <v>7.7154521566967726E-2</v>
      </c>
      <c r="G1323" s="22" t="s">
        <v>33</v>
      </c>
      <c r="H1323" s="22">
        <f>'2050WH_W'!$R20</f>
        <v>7.7154521566967726E-2</v>
      </c>
      <c r="I1323" t="str">
        <f t="shared" si="98"/>
        <v>WH2050;winter;192;95;7.71545215669677E-02;TRUE;7.71545215669677E-02</v>
      </c>
    </row>
    <row r="1324" spans="1:9" x14ac:dyDescent="0.25">
      <c r="A1324">
        <f t="shared" si="97"/>
        <v>22.828125</v>
      </c>
      <c r="B1324" t="s">
        <v>22</v>
      </c>
      <c r="C1324" t="s">
        <v>7</v>
      </c>
      <c r="D1324">
        <v>192</v>
      </c>
      <c r="E1324">
        <f t="shared" si="100"/>
        <v>100</v>
      </c>
      <c r="F1324" s="22">
        <f>'2050WH_W'!$R21</f>
        <v>5.6818735670701254E-2</v>
      </c>
      <c r="G1324" s="22" t="s">
        <v>33</v>
      </c>
      <c r="H1324" s="22">
        <f>'2050WH_W'!$R21</f>
        <v>5.6818735670701254E-2</v>
      </c>
      <c r="I1324" t="str">
        <f t="shared" si="98"/>
        <v>WH2050;winter;192;100;5.68187356707013E-02;TRUE;5.68187356707013E-02</v>
      </c>
    </row>
    <row r="1325" spans="1:9" x14ac:dyDescent="0.25">
      <c r="A1325">
        <f t="shared" si="97"/>
        <v>22.828125</v>
      </c>
      <c r="B1325" t="s">
        <v>22</v>
      </c>
      <c r="C1325" t="s">
        <v>7</v>
      </c>
      <c r="D1325">
        <v>192</v>
      </c>
      <c r="E1325">
        <f t="shared" si="100"/>
        <v>105</v>
      </c>
      <c r="F1325" s="22">
        <f>'2050WH_W'!$R22</f>
        <v>4.1651725327861058E-2</v>
      </c>
      <c r="G1325" s="22" t="s">
        <v>33</v>
      </c>
      <c r="H1325" s="22">
        <f>'2050WH_W'!$R22</f>
        <v>4.1651725327861058E-2</v>
      </c>
      <c r="I1325" t="str">
        <f t="shared" si="98"/>
        <v>WH2050;winter;192;105;4.16517253278611E-02;TRUE;4.16517253278611E-02</v>
      </c>
    </row>
    <row r="1326" spans="1:9" x14ac:dyDescent="0.25">
      <c r="A1326">
        <f t="shared" si="97"/>
        <v>22.828125</v>
      </c>
      <c r="B1326" t="s">
        <v>22</v>
      </c>
      <c r="C1326" t="s">
        <v>7</v>
      </c>
      <c r="D1326">
        <v>192</v>
      </c>
      <c r="E1326">
        <f t="shared" si="100"/>
        <v>110</v>
      </c>
      <c r="F1326" s="22">
        <f>'2050WH_W'!$R23</f>
        <v>3.0389619057849718E-2</v>
      </c>
      <c r="G1326" s="22" t="s">
        <v>33</v>
      </c>
      <c r="H1326" s="22">
        <f>'2050WH_W'!$R23</f>
        <v>3.0389619057849718E-2</v>
      </c>
      <c r="I1326" t="str">
        <f t="shared" si="98"/>
        <v>WH2050;winter;192;110;3.03896190578497E-02;TRUE;3.03896190578497E-02</v>
      </c>
    </row>
    <row r="1327" spans="1:9" x14ac:dyDescent="0.25">
      <c r="A1327">
        <f t="shared" si="97"/>
        <v>22.828125</v>
      </c>
      <c r="B1327" t="s">
        <v>22</v>
      </c>
      <c r="C1327" t="s">
        <v>7</v>
      </c>
      <c r="D1327">
        <v>192</v>
      </c>
      <c r="E1327">
        <f t="shared" si="100"/>
        <v>115</v>
      </c>
      <c r="F1327" s="22">
        <f>'2050WH_W'!$R24</f>
        <v>2.2065061131252624E-2</v>
      </c>
      <c r="G1327" s="22" t="s">
        <v>33</v>
      </c>
      <c r="H1327" s="22">
        <f>'2050WH_W'!$R24</f>
        <v>2.2065061131252624E-2</v>
      </c>
      <c r="I1327" t="str">
        <f t="shared" si="98"/>
        <v>WH2050;winter;192;115;2.20650611312526E-02;TRUE;2.20650611312526E-02</v>
      </c>
    </row>
    <row r="1328" spans="1:9" x14ac:dyDescent="0.25">
      <c r="A1328">
        <f t="shared" si="97"/>
        <v>22.828125</v>
      </c>
      <c r="B1328" t="s">
        <v>22</v>
      </c>
      <c r="C1328" t="s">
        <v>7</v>
      </c>
      <c r="D1328">
        <v>192</v>
      </c>
      <c r="E1328">
        <f t="shared" si="100"/>
        <v>120</v>
      </c>
      <c r="F1328" s="22">
        <f>'2050WH_W'!$R25</f>
        <v>1.594066559703277E-2</v>
      </c>
      <c r="G1328" s="22" t="s">
        <v>33</v>
      </c>
      <c r="H1328" s="22">
        <f>'2050WH_W'!$R25</f>
        <v>1.594066559703277E-2</v>
      </c>
      <c r="I1328" t="str">
        <f t="shared" si="98"/>
        <v>WH2050;winter;192;120;1.59406655970328E-02;TRUE;1.59406655970328E-02</v>
      </c>
    </row>
    <row r="1329" spans="1:9" x14ac:dyDescent="0.25">
      <c r="A1329">
        <f t="shared" si="97"/>
        <v>22.828125</v>
      </c>
      <c r="B1329" t="s">
        <v>22</v>
      </c>
      <c r="C1329" t="s">
        <v>7</v>
      </c>
      <c r="D1329">
        <v>192</v>
      </c>
      <c r="E1329">
        <f t="shared" si="100"/>
        <v>125</v>
      </c>
      <c r="F1329" s="22">
        <f>'2050WH_W'!$R26</f>
        <v>1.1456708554002083E-2</v>
      </c>
      <c r="G1329" s="22" t="s">
        <v>33</v>
      </c>
      <c r="H1329" s="22">
        <f>'2050WH_W'!$R26</f>
        <v>1.1456708554002083E-2</v>
      </c>
      <c r="I1329" t="str">
        <f t="shared" si="98"/>
        <v>WH2050;winter;192;125;1.14567085540021E-02;TRUE;1.14567085540021E-02</v>
      </c>
    </row>
    <row r="1330" spans="1:9" x14ac:dyDescent="0.25">
      <c r="A1330">
        <f t="shared" si="97"/>
        <v>22.828125</v>
      </c>
      <c r="B1330" t="s">
        <v>22</v>
      </c>
      <c r="C1330" t="s">
        <v>7</v>
      </c>
      <c r="D1330">
        <v>192</v>
      </c>
      <c r="E1330">
        <f t="shared" si="100"/>
        <v>130</v>
      </c>
      <c r="F1330" s="22">
        <f>'2050WH_W'!$R27</f>
        <v>8.1901654448286315E-3</v>
      </c>
      <c r="G1330" s="22" t="s">
        <v>33</v>
      </c>
      <c r="H1330" s="22">
        <f>'2050WH_W'!$R27</f>
        <v>8.1901654448286315E-3</v>
      </c>
      <c r="I1330" t="str">
        <f t="shared" si="98"/>
        <v>WH2050;winter;192;130;8.19016544482863E-03;TRUE;8.19016544482863E-03</v>
      </c>
    </row>
    <row r="1331" spans="1:9" x14ac:dyDescent="0.25">
      <c r="A1331">
        <f t="shared" si="97"/>
        <v>22.828125</v>
      </c>
      <c r="B1331" t="s">
        <v>22</v>
      </c>
      <c r="C1331" t="s">
        <v>7</v>
      </c>
      <c r="D1331">
        <v>192</v>
      </c>
      <c r="E1331">
        <f t="shared" si="100"/>
        <v>135</v>
      </c>
      <c r="F1331" s="22">
        <f>'2050WH_W'!$R28</f>
        <v>5.82275603351326E-3</v>
      </c>
      <c r="G1331" s="22" t="s">
        <v>33</v>
      </c>
      <c r="H1331" s="22">
        <f>'2050WH_W'!$R28</f>
        <v>5.82275603351326E-3</v>
      </c>
      <c r="I1331" t="str">
        <f t="shared" si="98"/>
        <v>WH2050;winter;192;135;5.82275603351326E-03;TRUE;5.82275603351326E-03</v>
      </c>
    </row>
    <row r="1332" spans="1:9" x14ac:dyDescent="0.25">
      <c r="A1332">
        <f t="shared" si="97"/>
        <v>22.828125</v>
      </c>
      <c r="B1332" t="s">
        <v>22</v>
      </c>
      <c r="C1332" t="s">
        <v>7</v>
      </c>
      <c r="D1332">
        <v>192</v>
      </c>
      <c r="E1332">
        <f t="shared" si="100"/>
        <v>140</v>
      </c>
      <c r="F1332" s="22">
        <f>'2050WH_W'!$R29</f>
        <v>4.1161151377373962E-3</v>
      </c>
      <c r="G1332" s="22" t="s">
        <v>33</v>
      </c>
      <c r="H1332" s="22">
        <f>'2050WH_W'!$R29</f>
        <v>4.1161151377373962E-3</v>
      </c>
      <c r="I1332" t="str">
        <f t="shared" si="98"/>
        <v>WH2050;winter;192;140;4.1161151377374E-03;TRUE;4.1161151377374E-03</v>
      </c>
    </row>
    <row r="1333" spans="1:9" x14ac:dyDescent="0.25">
      <c r="A1333">
        <f t="shared" si="97"/>
        <v>22.828125</v>
      </c>
      <c r="B1333" t="s">
        <v>22</v>
      </c>
      <c r="C1333" t="s">
        <v>7</v>
      </c>
      <c r="D1333">
        <v>192</v>
      </c>
      <c r="E1333">
        <f t="shared" si="100"/>
        <v>145</v>
      </c>
      <c r="F1333" s="22">
        <f>'2050WH_W'!$R30</f>
        <v>2.8925791074860766E-3</v>
      </c>
      <c r="G1333" s="22" t="s">
        <v>33</v>
      </c>
      <c r="H1333" s="22">
        <f>'2050WH_W'!$R30</f>
        <v>2.8925791074860766E-3</v>
      </c>
      <c r="I1333" t="str">
        <f t="shared" si="98"/>
        <v>WH2050;winter;192;145;2.89257910748608E-03;TRUE;2.89257910748608E-03</v>
      </c>
    </row>
    <row r="1334" spans="1:9" x14ac:dyDescent="0.25">
      <c r="A1334">
        <f t="shared" si="97"/>
        <v>22.828125</v>
      </c>
      <c r="B1334" t="s">
        <v>22</v>
      </c>
      <c r="C1334" t="s">
        <v>7</v>
      </c>
      <c r="D1334">
        <v>192</v>
      </c>
      <c r="E1334">
        <f t="shared" si="100"/>
        <v>150</v>
      </c>
      <c r="F1334" s="22">
        <f>'2050WH_W'!$R31</f>
        <v>2.0203807873227101E-3</v>
      </c>
      <c r="G1334" s="22" t="s">
        <v>33</v>
      </c>
      <c r="H1334" s="22">
        <f>'2050WH_W'!$R31</f>
        <v>2.0203807873227101E-3</v>
      </c>
      <c r="I1334" t="str">
        <f t="shared" si="98"/>
        <v>WH2050;winter;192;150;2.02038078732271E-03;TRUE;2.02038078732271E-03</v>
      </c>
    </row>
    <row r="1335" spans="1:9" x14ac:dyDescent="0.25">
      <c r="A1335">
        <f t="shared" si="97"/>
        <v>22.828125</v>
      </c>
      <c r="B1335" t="s">
        <v>22</v>
      </c>
      <c r="C1335" t="s">
        <v>7</v>
      </c>
      <c r="D1335">
        <v>192</v>
      </c>
      <c r="E1335">
        <f t="shared" si="100"/>
        <v>155</v>
      </c>
      <c r="F1335" s="22">
        <f>'2050WH_W'!$R32</f>
        <v>4.375442666278216E-3</v>
      </c>
      <c r="G1335" s="22" t="s">
        <v>33</v>
      </c>
      <c r="H1335" s="22">
        <f>'2050WH_W'!$R32</f>
        <v>4.375442666278216E-3</v>
      </c>
      <c r="I1335" t="str">
        <f t="shared" si="98"/>
        <v>WH2050;winter;192;155;4.37544266627822E-03;TRUE;4.37544266627822E-03</v>
      </c>
    </row>
    <row r="1336" spans="1:9" x14ac:dyDescent="0.25">
      <c r="A1336">
        <f t="shared" si="97"/>
        <v>20.291666666666664</v>
      </c>
      <c r="B1336" t="s">
        <v>22</v>
      </c>
      <c r="C1336" t="s">
        <v>7</v>
      </c>
      <c r="D1336">
        <v>216</v>
      </c>
      <c r="E1336">
        <v>25</v>
      </c>
      <c r="F1336" s="22">
        <f>'2050WH_W'!$V6</f>
        <v>28.002076795724136</v>
      </c>
      <c r="G1336" s="22" t="s">
        <v>33</v>
      </c>
      <c r="H1336" s="22">
        <f>'2050WH_W'!$V6</f>
        <v>28.002076795724136</v>
      </c>
      <c r="I1336" t="str">
        <f t="shared" si="98"/>
        <v>WH2050;winter;216;25;28.0020767957241;TRUE;28.0020767957241</v>
      </c>
    </row>
    <row r="1337" spans="1:9" x14ac:dyDescent="0.25">
      <c r="A1337">
        <f t="shared" si="97"/>
        <v>20.291666666666664</v>
      </c>
      <c r="B1337" t="s">
        <v>22</v>
      </c>
      <c r="C1337" t="s">
        <v>7</v>
      </c>
      <c r="D1337">
        <v>216</v>
      </c>
      <c r="E1337">
        <f>E1336+5</f>
        <v>30</v>
      </c>
      <c r="F1337" s="22">
        <f>'2050WH_W'!$V7</f>
        <v>2.6997653145032476</v>
      </c>
      <c r="G1337" s="22" t="s">
        <v>33</v>
      </c>
      <c r="H1337" s="22">
        <f>'2050WH_W'!$V7</f>
        <v>2.6997653145032476</v>
      </c>
      <c r="I1337" t="str">
        <f t="shared" si="98"/>
        <v>WH2050;winter;216;30;2.69976531450325;TRUE;2.69976531450325</v>
      </c>
    </row>
    <row r="1338" spans="1:9" x14ac:dyDescent="0.25">
      <c r="A1338">
        <f t="shared" si="97"/>
        <v>20.291666666666664</v>
      </c>
      <c r="B1338" t="s">
        <v>22</v>
      </c>
      <c r="C1338" t="s">
        <v>7</v>
      </c>
      <c r="D1338">
        <v>216</v>
      </c>
      <c r="E1338">
        <f t="shared" ref="E1338:E1363" si="101">E1337+5</f>
        <v>35</v>
      </c>
      <c r="F1338" s="22">
        <f>'2050WH_W'!$V8</f>
        <v>2.1493470806039943</v>
      </c>
      <c r="G1338" s="22" t="s">
        <v>33</v>
      </c>
      <c r="H1338" s="22">
        <f>'2050WH_W'!$V8</f>
        <v>2.1493470806039943</v>
      </c>
      <c r="I1338" t="str">
        <f t="shared" si="98"/>
        <v>WH2050;winter;216;35;2.14934708060399;TRUE;2.14934708060399</v>
      </c>
    </row>
    <row r="1339" spans="1:9" x14ac:dyDescent="0.25">
      <c r="A1339">
        <f t="shared" si="97"/>
        <v>20.291666666666664</v>
      </c>
      <c r="B1339" t="s">
        <v>22</v>
      </c>
      <c r="C1339" t="s">
        <v>7</v>
      </c>
      <c r="D1339">
        <v>216</v>
      </c>
      <c r="E1339">
        <f t="shared" si="101"/>
        <v>40</v>
      </c>
      <c r="F1339" s="22">
        <f>'2050WH_W'!$V9</f>
        <v>1.7050845022121317</v>
      </c>
      <c r="G1339" s="22" t="s">
        <v>33</v>
      </c>
      <c r="H1339" s="22">
        <f>'2050WH_W'!$V9</f>
        <v>1.7050845022121317</v>
      </c>
      <c r="I1339" t="str">
        <f t="shared" si="98"/>
        <v>WH2050;winter;216;40;1.70508450221213;TRUE;1.70508450221213</v>
      </c>
    </row>
    <row r="1340" spans="1:9" x14ac:dyDescent="0.25">
      <c r="A1340">
        <f t="shared" si="97"/>
        <v>20.291666666666664</v>
      </c>
      <c r="B1340" t="s">
        <v>22</v>
      </c>
      <c r="C1340" t="s">
        <v>7</v>
      </c>
      <c r="D1340">
        <v>216</v>
      </c>
      <c r="E1340">
        <f t="shared" si="101"/>
        <v>45</v>
      </c>
      <c r="F1340" s="22">
        <f>'2050WH_W'!$V10</f>
        <v>1.3477066092325147</v>
      </c>
      <c r="G1340" s="22" t="s">
        <v>33</v>
      </c>
      <c r="H1340" s="22">
        <f>'2050WH_W'!$V10</f>
        <v>1.3477066092325147</v>
      </c>
      <c r="I1340" t="str">
        <f t="shared" si="98"/>
        <v>WH2050;winter;216;45;1.34770660923251;TRUE;1.34770660923251</v>
      </c>
    </row>
    <row r="1341" spans="1:9" x14ac:dyDescent="0.25">
      <c r="A1341">
        <f t="shared" si="97"/>
        <v>20.291666666666664</v>
      </c>
      <c r="B1341" t="s">
        <v>22</v>
      </c>
      <c r="C1341" t="s">
        <v>7</v>
      </c>
      <c r="D1341">
        <v>216</v>
      </c>
      <c r="E1341">
        <f t="shared" si="101"/>
        <v>50</v>
      </c>
      <c r="F1341" s="22">
        <f>'2050WH_W'!$V11</f>
        <v>1.0612161183699138</v>
      </c>
      <c r="G1341" s="22" t="s">
        <v>33</v>
      </c>
      <c r="H1341" s="22">
        <f>'2050WH_W'!$V11</f>
        <v>1.0612161183699138</v>
      </c>
      <c r="I1341" t="str">
        <f t="shared" si="98"/>
        <v>WH2050;winter;216;50;1.06121611836991;TRUE;1.06121611836991</v>
      </c>
    </row>
    <row r="1342" spans="1:9" x14ac:dyDescent="0.25">
      <c r="A1342">
        <f t="shared" si="97"/>
        <v>20.291666666666664</v>
      </c>
      <c r="B1342" t="s">
        <v>22</v>
      </c>
      <c r="C1342" t="s">
        <v>7</v>
      </c>
      <c r="D1342">
        <v>216</v>
      </c>
      <c r="E1342">
        <f t="shared" si="101"/>
        <v>55</v>
      </c>
      <c r="F1342" s="22">
        <f>'2050WH_W'!$V12</f>
        <v>0.83237260461258922</v>
      </c>
      <c r="G1342" s="22" t="s">
        <v>33</v>
      </c>
      <c r="H1342" s="22">
        <f>'2050WH_W'!$V12</f>
        <v>0.83237260461258922</v>
      </c>
      <c r="I1342" t="str">
        <f t="shared" si="98"/>
        <v>WH2050;winter;216;55;0.832372604612589;TRUE;0.832372604612589</v>
      </c>
    </row>
    <row r="1343" spans="1:9" x14ac:dyDescent="0.25">
      <c r="A1343">
        <f t="shared" si="97"/>
        <v>20.291666666666664</v>
      </c>
      <c r="B1343" t="s">
        <v>22</v>
      </c>
      <c r="C1343" t="s">
        <v>7</v>
      </c>
      <c r="D1343">
        <v>216</v>
      </c>
      <c r="E1343">
        <f t="shared" si="101"/>
        <v>60</v>
      </c>
      <c r="F1343" s="22">
        <f>'2050WH_W'!$V13</f>
        <v>0.65025087652475744</v>
      </c>
      <c r="G1343" s="22" t="s">
        <v>33</v>
      </c>
      <c r="H1343" s="22">
        <f>'2050WH_W'!$V13</f>
        <v>0.65025087652475744</v>
      </c>
      <c r="I1343" t="str">
        <f t="shared" si="98"/>
        <v>WH2050;winter;216;60;0.650250876524757;TRUE;0.650250876524757</v>
      </c>
    </row>
    <row r="1344" spans="1:9" x14ac:dyDescent="0.25">
      <c r="A1344">
        <f t="shared" si="97"/>
        <v>20.291666666666664</v>
      </c>
      <c r="B1344" t="s">
        <v>22</v>
      </c>
      <c r="C1344" t="s">
        <v>7</v>
      </c>
      <c r="D1344">
        <v>216</v>
      </c>
      <c r="E1344">
        <f t="shared" si="101"/>
        <v>65</v>
      </c>
      <c r="F1344" s="22">
        <f>'2050WH_W'!$V14</f>
        <v>0.50586457054284129</v>
      </c>
      <c r="G1344" s="22" t="s">
        <v>33</v>
      </c>
      <c r="H1344" s="22">
        <f>'2050WH_W'!$V14</f>
        <v>0.50586457054284129</v>
      </c>
      <c r="I1344" t="str">
        <f t="shared" si="98"/>
        <v>WH2050;winter;216;65;0.505864570542841;TRUE;0.505864570542841</v>
      </c>
    </row>
    <row r="1345" spans="1:9" x14ac:dyDescent="0.25">
      <c r="A1345">
        <f t="shared" si="97"/>
        <v>20.291666666666664</v>
      </c>
      <c r="B1345" t="s">
        <v>22</v>
      </c>
      <c r="C1345" t="s">
        <v>7</v>
      </c>
      <c r="D1345">
        <v>216</v>
      </c>
      <c r="E1345">
        <f t="shared" si="101"/>
        <v>70</v>
      </c>
      <c r="F1345" s="22">
        <f>'2050WH_W'!$V15</f>
        <v>0.39184617401064914</v>
      </c>
      <c r="G1345" s="22" t="s">
        <v>33</v>
      </c>
      <c r="H1345" s="22">
        <f>'2050WH_W'!$V15</f>
        <v>0.39184617401064914</v>
      </c>
      <c r="I1345" t="str">
        <f t="shared" si="98"/>
        <v>WH2050;winter;216;70;0.391846174010649;TRUE;0.391846174010649</v>
      </c>
    </row>
    <row r="1346" spans="1:9" x14ac:dyDescent="0.25">
      <c r="A1346">
        <f t="shared" ref="A1346:A1409" si="102">IF(C1346="zomer",24/D1346*365.25 * 6/12,24/D1346*365.25 * 6/12)</f>
        <v>20.291666666666664</v>
      </c>
      <c r="B1346" t="s">
        <v>22</v>
      </c>
      <c r="C1346" t="s">
        <v>7</v>
      </c>
      <c r="D1346">
        <v>216</v>
      </c>
      <c r="E1346">
        <f t="shared" si="101"/>
        <v>75</v>
      </c>
      <c r="F1346" s="22">
        <f>'2050WH_W'!$V16</f>
        <v>0.30217575449451894</v>
      </c>
      <c r="G1346" s="22" t="s">
        <v>33</v>
      </c>
      <c r="H1346" s="22">
        <f>'2050WH_W'!$V16</f>
        <v>0.30217575449451894</v>
      </c>
      <c r="I1346" t="str">
        <f t="shared" ref="I1346:I1409" si="103">CONCATENATEWITHDELIMITER(B1346:H1346,";")</f>
        <v>WH2050;winter;216;75;0.302175754494519;TRUE;0.302175754494519</v>
      </c>
    </row>
    <row r="1347" spans="1:9" x14ac:dyDescent="0.25">
      <c r="A1347">
        <f t="shared" si="102"/>
        <v>20.291666666666664</v>
      </c>
      <c r="B1347" t="s">
        <v>22</v>
      </c>
      <c r="C1347" t="s">
        <v>7</v>
      </c>
      <c r="D1347">
        <v>216</v>
      </c>
      <c r="E1347">
        <f t="shared" si="101"/>
        <v>80</v>
      </c>
      <c r="F1347" s="22">
        <f>'2050WH_W'!$V17</f>
        <v>0.23195162567235805</v>
      </c>
      <c r="G1347" s="22" t="s">
        <v>33</v>
      </c>
      <c r="H1347" s="22">
        <f>'2050WH_W'!$V17</f>
        <v>0.23195162567235805</v>
      </c>
      <c r="I1347" t="str">
        <f t="shared" si="103"/>
        <v>WH2050;winter;216;80;0.231951625672358;TRUE;0.231951625672358</v>
      </c>
    </row>
    <row r="1348" spans="1:9" x14ac:dyDescent="0.25">
      <c r="A1348">
        <f t="shared" si="102"/>
        <v>20.291666666666664</v>
      </c>
      <c r="B1348" t="s">
        <v>22</v>
      </c>
      <c r="C1348" t="s">
        <v>7</v>
      </c>
      <c r="D1348">
        <v>216</v>
      </c>
      <c r="E1348">
        <f t="shared" si="101"/>
        <v>85</v>
      </c>
      <c r="F1348" s="22">
        <f>'2050WH_W'!$V18</f>
        <v>0.17719702855946429</v>
      </c>
      <c r="G1348" s="22" t="s">
        <v>33</v>
      </c>
      <c r="H1348" s="22">
        <f>'2050WH_W'!$V18</f>
        <v>0.17719702855946429</v>
      </c>
      <c r="I1348" t="str">
        <f t="shared" si="103"/>
        <v>WH2050;winter;216;85;0.177197028559464;TRUE;0.177197028559464</v>
      </c>
    </row>
    <row r="1349" spans="1:9" x14ac:dyDescent="0.25">
      <c r="A1349">
        <f t="shared" si="102"/>
        <v>20.291666666666664</v>
      </c>
      <c r="B1349" t="s">
        <v>22</v>
      </c>
      <c r="C1349" t="s">
        <v>7</v>
      </c>
      <c r="D1349">
        <v>216</v>
      </c>
      <c r="E1349">
        <f t="shared" si="101"/>
        <v>90</v>
      </c>
      <c r="F1349" s="22">
        <f>'2050WH_W'!$V19</f>
        <v>0.13469766093093416</v>
      </c>
      <c r="G1349" s="22" t="s">
        <v>33</v>
      </c>
      <c r="H1349" s="22">
        <f>'2050WH_W'!$V19</f>
        <v>0.13469766093093416</v>
      </c>
      <c r="I1349" t="str">
        <f t="shared" si="103"/>
        <v>WH2050;winter;216;90;0.134697660930934;TRUE;0.134697660930934</v>
      </c>
    </row>
    <row r="1350" spans="1:9" x14ac:dyDescent="0.25">
      <c r="A1350">
        <f t="shared" si="102"/>
        <v>20.291666666666664</v>
      </c>
      <c r="B1350" t="s">
        <v>22</v>
      </c>
      <c r="C1350" t="s">
        <v>7</v>
      </c>
      <c r="D1350">
        <v>216</v>
      </c>
      <c r="E1350">
        <f t="shared" si="101"/>
        <v>95</v>
      </c>
      <c r="F1350" s="22">
        <f>'2050WH_W'!$V20</f>
        <v>0.10186555664800151</v>
      </c>
      <c r="G1350" s="22" t="s">
        <v>33</v>
      </c>
      <c r="H1350" s="22">
        <f>'2050WH_W'!$V20</f>
        <v>0.10186555664800151</v>
      </c>
      <c r="I1350" t="str">
        <f t="shared" si="103"/>
        <v>WH2050;winter;216;95;0.101865556648002;TRUE;0.101865556648002</v>
      </c>
    </row>
    <row r="1351" spans="1:9" x14ac:dyDescent="0.25">
      <c r="A1351">
        <f t="shared" si="102"/>
        <v>20.291666666666664</v>
      </c>
      <c r="B1351" t="s">
        <v>22</v>
      </c>
      <c r="C1351" t="s">
        <v>7</v>
      </c>
      <c r="D1351">
        <v>216</v>
      </c>
      <c r="E1351">
        <f t="shared" si="101"/>
        <v>100</v>
      </c>
      <c r="F1351" s="22">
        <f>'2050WH_W'!$V21</f>
        <v>7.662540856867886E-2</v>
      </c>
      <c r="G1351" s="22" t="s">
        <v>33</v>
      </c>
      <c r="H1351" s="22">
        <f>'2050WH_W'!$V21</f>
        <v>7.662540856867886E-2</v>
      </c>
      <c r="I1351" t="str">
        <f t="shared" si="103"/>
        <v>WH2050;winter;216;100;7.66254085686789E-02;TRUE;7.66254085686789E-02</v>
      </c>
    </row>
    <row r="1352" spans="1:9" x14ac:dyDescent="0.25">
      <c r="A1352">
        <f t="shared" si="102"/>
        <v>20.291666666666664</v>
      </c>
      <c r="B1352" t="s">
        <v>22</v>
      </c>
      <c r="C1352" t="s">
        <v>7</v>
      </c>
      <c r="D1352">
        <v>216</v>
      </c>
      <c r="E1352">
        <f t="shared" si="101"/>
        <v>105</v>
      </c>
      <c r="F1352" s="22">
        <f>'2050WH_W'!$V22</f>
        <v>5.731995150372507E-2</v>
      </c>
      <c r="G1352" s="22" t="s">
        <v>33</v>
      </c>
      <c r="H1352" s="22">
        <f>'2050WH_W'!$V22</f>
        <v>5.731995150372507E-2</v>
      </c>
      <c r="I1352" t="str">
        <f t="shared" si="103"/>
        <v>WH2050;winter;216;105;5.73199515037251E-02;TRUE;5.73199515037251E-02</v>
      </c>
    </row>
    <row r="1353" spans="1:9" x14ac:dyDescent="0.25">
      <c r="A1353">
        <f t="shared" si="102"/>
        <v>20.291666666666664</v>
      </c>
      <c r="B1353" t="s">
        <v>22</v>
      </c>
      <c r="C1353" t="s">
        <v>7</v>
      </c>
      <c r="D1353">
        <v>216</v>
      </c>
      <c r="E1353">
        <f t="shared" si="101"/>
        <v>110</v>
      </c>
      <c r="F1353" s="22">
        <f>'2050WH_W'!$V23</f>
        <v>4.2631482300396012E-2</v>
      </c>
      <c r="G1353" s="22" t="s">
        <v>33</v>
      </c>
      <c r="H1353" s="22">
        <f>'2050WH_W'!$V23</f>
        <v>4.2631482300396012E-2</v>
      </c>
      <c r="I1353" t="str">
        <f t="shared" si="103"/>
        <v>WH2050;winter;216;110;0.042631482300396;TRUE;0.042631482300396</v>
      </c>
    </row>
    <row r="1354" spans="1:9" x14ac:dyDescent="0.25">
      <c r="A1354">
        <f t="shared" si="102"/>
        <v>20.291666666666664</v>
      </c>
      <c r="B1354" t="s">
        <v>22</v>
      </c>
      <c r="C1354" t="s">
        <v>7</v>
      </c>
      <c r="D1354">
        <v>216</v>
      </c>
      <c r="E1354">
        <f t="shared" si="101"/>
        <v>115</v>
      </c>
      <c r="F1354" s="22">
        <f>'2050WH_W'!$V24</f>
        <v>3.1516999028109768E-2</v>
      </c>
      <c r="G1354" s="22" t="s">
        <v>33</v>
      </c>
      <c r="H1354" s="22">
        <f>'2050WH_W'!$V24</f>
        <v>3.1516999028109768E-2</v>
      </c>
      <c r="I1354" t="str">
        <f t="shared" si="103"/>
        <v>WH2050;winter;216;115;3.15169990281098E-02;TRUE;3.15169990281098E-02</v>
      </c>
    </row>
    <row r="1355" spans="1:9" x14ac:dyDescent="0.25">
      <c r="A1355">
        <f t="shared" si="102"/>
        <v>20.291666666666664</v>
      </c>
      <c r="B1355" t="s">
        <v>22</v>
      </c>
      <c r="C1355" t="s">
        <v>7</v>
      </c>
      <c r="D1355">
        <v>216</v>
      </c>
      <c r="E1355">
        <f t="shared" si="101"/>
        <v>120</v>
      </c>
      <c r="F1355" s="22">
        <f>'2050WH_W'!$V25</f>
        <v>2.3154796269570094E-2</v>
      </c>
      <c r="G1355" s="22" t="s">
        <v>33</v>
      </c>
      <c r="H1355" s="22">
        <f>'2050WH_W'!$V25</f>
        <v>2.3154796269570094E-2</v>
      </c>
      <c r="I1355" t="str">
        <f t="shared" si="103"/>
        <v>WH2050;winter;216;120;2.31547962695701E-02;TRUE;2.31547962695701E-02</v>
      </c>
    </row>
    <row r="1356" spans="1:9" x14ac:dyDescent="0.25">
      <c r="A1356">
        <f t="shared" si="102"/>
        <v>20.291666666666664</v>
      </c>
      <c r="B1356" t="s">
        <v>22</v>
      </c>
      <c r="C1356" t="s">
        <v>7</v>
      </c>
      <c r="D1356">
        <v>216</v>
      </c>
      <c r="E1356">
        <f t="shared" si="101"/>
        <v>125</v>
      </c>
      <c r="F1356" s="22">
        <f>'2050WH_W'!$V26</f>
        <v>1.6900664033380745E-2</v>
      </c>
      <c r="G1356" s="22" t="s">
        <v>33</v>
      </c>
      <c r="H1356" s="22">
        <f>'2050WH_W'!$V26</f>
        <v>1.6900664033380745E-2</v>
      </c>
      <c r="I1356" t="str">
        <f t="shared" si="103"/>
        <v>WH2050;winter;216;125;1.69006640333807E-02;TRUE;1.69006640333807E-02</v>
      </c>
    </row>
    <row r="1357" spans="1:9" x14ac:dyDescent="0.25">
      <c r="A1357">
        <f t="shared" si="102"/>
        <v>20.291666666666664</v>
      </c>
      <c r="B1357" t="s">
        <v>22</v>
      </c>
      <c r="C1357" t="s">
        <v>7</v>
      </c>
      <c r="D1357">
        <v>216</v>
      </c>
      <c r="E1357">
        <f t="shared" si="101"/>
        <v>130</v>
      </c>
      <c r="F1357" s="22">
        <f>'2050WH_W'!$V27</f>
        <v>1.2252108660503643E-2</v>
      </c>
      <c r="G1357" s="22" t="s">
        <v>33</v>
      </c>
      <c r="H1357" s="22">
        <f>'2050WH_W'!$V27</f>
        <v>1.2252108660503643E-2</v>
      </c>
      <c r="I1357" t="str">
        <f t="shared" si="103"/>
        <v>WH2050;winter;216;130;1.22521086605036E-02;TRUE;1.22521086605036E-02</v>
      </c>
    </row>
    <row r="1358" spans="1:9" x14ac:dyDescent="0.25">
      <c r="A1358">
        <f t="shared" si="102"/>
        <v>20.291666666666664</v>
      </c>
      <c r="B1358" t="s">
        <v>22</v>
      </c>
      <c r="C1358" t="s">
        <v>7</v>
      </c>
      <c r="D1358">
        <v>216</v>
      </c>
      <c r="E1358">
        <f t="shared" si="101"/>
        <v>135</v>
      </c>
      <c r="F1358" s="22">
        <f>'2050WH_W'!$V28</f>
        <v>8.8192497089481028E-3</v>
      </c>
      <c r="G1358" s="22" t="s">
        <v>33</v>
      </c>
      <c r="H1358" s="22">
        <f>'2050WH_W'!$V28</f>
        <v>8.8192497089481028E-3</v>
      </c>
      <c r="I1358" t="str">
        <f t="shared" si="103"/>
        <v>WH2050;winter;216;135;8.8192497089481E-03;TRUE;8.8192497089481E-03</v>
      </c>
    </row>
    <row r="1359" spans="1:9" x14ac:dyDescent="0.25">
      <c r="A1359">
        <f t="shared" si="102"/>
        <v>20.291666666666664</v>
      </c>
      <c r="B1359" t="s">
        <v>22</v>
      </c>
      <c r="C1359" t="s">
        <v>7</v>
      </c>
      <c r="D1359">
        <v>216</v>
      </c>
      <c r="E1359">
        <f t="shared" si="101"/>
        <v>140</v>
      </c>
      <c r="F1359" s="22">
        <f>'2050WH_W'!$V29</f>
        <v>6.3012511652963659E-3</v>
      </c>
      <c r="G1359" s="22" t="s">
        <v>33</v>
      </c>
      <c r="H1359" s="22">
        <f>'2050WH_W'!$V29</f>
        <v>6.3012511652963659E-3</v>
      </c>
      <c r="I1359" t="str">
        <f t="shared" si="103"/>
        <v>WH2050;winter;216;140;6.30125116529637E-03;TRUE;6.30125116529637E-03</v>
      </c>
    </row>
    <row r="1360" spans="1:9" x14ac:dyDescent="0.25">
      <c r="A1360">
        <f t="shared" si="102"/>
        <v>20.291666666666664</v>
      </c>
      <c r="B1360" t="s">
        <v>22</v>
      </c>
      <c r="C1360" t="s">
        <v>7</v>
      </c>
      <c r="D1360">
        <v>216</v>
      </c>
      <c r="E1360">
        <f t="shared" si="101"/>
        <v>145</v>
      </c>
      <c r="F1360" s="22">
        <f>'2050WH_W'!$V30</f>
        <v>4.4673220609828587E-3</v>
      </c>
      <c r="G1360" s="22" t="s">
        <v>33</v>
      </c>
      <c r="H1360" s="22">
        <f>'2050WH_W'!$V30</f>
        <v>4.4673220609828587E-3</v>
      </c>
      <c r="I1360" t="str">
        <f t="shared" si="103"/>
        <v>WH2050;winter;216;145;4.46732206098286E-03;TRUE;4.46732206098286E-03</v>
      </c>
    </row>
    <row r="1361" spans="1:9" x14ac:dyDescent="0.25">
      <c r="A1361">
        <f t="shared" si="102"/>
        <v>20.291666666666664</v>
      </c>
      <c r="B1361" t="s">
        <v>22</v>
      </c>
      <c r="C1361" t="s">
        <v>7</v>
      </c>
      <c r="D1361">
        <v>216</v>
      </c>
      <c r="E1361">
        <f t="shared" si="101"/>
        <v>150</v>
      </c>
      <c r="F1361" s="22">
        <f>'2050WH_W'!$V31</f>
        <v>3.1414739247433076E-3</v>
      </c>
      <c r="G1361" s="22" t="s">
        <v>33</v>
      </c>
      <c r="H1361" s="22">
        <f>'2050WH_W'!$V31</f>
        <v>3.1414739247433076E-3</v>
      </c>
      <c r="I1361" t="str">
        <f t="shared" si="103"/>
        <v>WH2050;winter;216;150;3.14147392474331E-03;TRUE;3.14147392474331E-03</v>
      </c>
    </row>
    <row r="1362" spans="1:9" x14ac:dyDescent="0.25">
      <c r="A1362">
        <f t="shared" si="102"/>
        <v>20.291666666666664</v>
      </c>
      <c r="B1362" t="s">
        <v>22</v>
      </c>
      <c r="C1362" t="s">
        <v>7</v>
      </c>
      <c r="D1362">
        <v>216</v>
      </c>
      <c r="E1362">
        <f t="shared" si="101"/>
        <v>155</v>
      </c>
      <c r="F1362" s="22">
        <f>'2050WH_W'!$V32</f>
        <v>2.1903534138364832E-3</v>
      </c>
      <c r="G1362" s="22" t="s">
        <v>33</v>
      </c>
      <c r="H1362" s="22">
        <f>'2050WH_W'!$V32</f>
        <v>2.1903534138364832E-3</v>
      </c>
      <c r="I1362" t="str">
        <f t="shared" si="103"/>
        <v>WH2050;winter;216;155;2.19035341383648E-03;TRUE;2.19035341383648E-03</v>
      </c>
    </row>
    <row r="1363" spans="1:9" x14ac:dyDescent="0.25">
      <c r="A1363">
        <f t="shared" si="102"/>
        <v>20.291666666666664</v>
      </c>
      <c r="B1363" t="s">
        <v>22</v>
      </c>
      <c r="C1363" t="s">
        <v>7</v>
      </c>
      <c r="D1363">
        <v>216</v>
      </c>
      <c r="E1363">
        <f t="shared" si="101"/>
        <v>160</v>
      </c>
      <c r="F1363" s="22">
        <f>'2050WH_W'!$V33</f>
        <v>4.5940000531032301E-3</v>
      </c>
      <c r="G1363" s="22" t="s">
        <v>33</v>
      </c>
      <c r="H1363" s="22">
        <f>'2050WH_W'!$V33</f>
        <v>4.5940000531032301E-3</v>
      </c>
      <c r="I1363" t="str">
        <f t="shared" si="103"/>
        <v>WH2050;winter;216;160;4.59400005310323E-03;TRUE;4.59400005310323E-03</v>
      </c>
    </row>
    <row r="1364" spans="1:9" x14ac:dyDescent="0.25">
      <c r="A1364">
        <f t="shared" si="102"/>
        <v>182.625</v>
      </c>
      <c r="B1364" t="s">
        <v>23</v>
      </c>
      <c r="C1364" t="s">
        <v>11</v>
      </c>
      <c r="D1364">
        <v>24</v>
      </c>
      <c r="E1364">
        <v>15</v>
      </c>
      <c r="F1364" s="22">
        <f>'2085GL_Z'!$F4</f>
        <v>356.68343562280603</v>
      </c>
      <c r="G1364" s="22" t="s">
        <v>33</v>
      </c>
      <c r="H1364" s="22">
        <f>'2085GL_Z'!$F4</f>
        <v>356.68343562280603</v>
      </c>
      <c r="I1364" t="str">
        <f t="shared" si="103"/>
        <v>GL2085;zomer;24;15;356.683435622806;TRUE;356.683435622806</v>
      </c>
    </row>
    <row r="1365" spans="1:9" x14ac:dyDescent="0.25">
      <c r="A1365">
        <f t="shared" si="102"/>
        <v>182.625</v>
      </c>
      <c r="B1365" t="s">
        <v>23</v>
      </c>
      <c r="C1365" t="s">
        <v>11</v>
      </c>
      <c r="D1365">
        <v>24</v>
      </c>
      <c r="E1365">
        <f>E1364+5</f>
        <v>20</v>
      </c>
      <c r="F1365" s="22">
        <f>'2085GL_Z'!$F5</f>
        <v>3.7644884052724086</v>
      </c>
      <c r="G1365" s="22" t="s">
        <v>33</v>
      </c>
      <c r="H1365" s="22">
        <f>'2085GL_Z'!$F5</f>
        <v>3.7644884052724086</v>
      </c>
      <c r="I1365" t="str">
        <f t="shared" si="103"/>
        <v>GL2085;zomer;24;20;3.76448840527241;TRUE;3.76448840527241</v>
      </c>
    </row>
    <row r="1366" spans="1:9" x14ac:dyDescent="0.25">
      <c r="A1366">
        <f t="shared" si="102"/>
        <v>182.625</v>
      </c>
      <c r="B1366" t="s">
        <v>23</v>
      </c>
      <c r="C1366" t="s">
        <v>11</v>
      </c>
      <c r="D1366">
        <v>24</v>
      </c>
      <c r="E1366">
        <f t="shared" ref="E1366:E1382" si="104">E1365+5</f>
        <v>25</v>
      </c>
      <c r="F1366" s="22">
        <f>'2085GL_Z'!$F6</f>
        <v>2.0463006650924398</v>
      </c>
      <c r="G1366" s="22" t="s">
        <v>33</v>
      </c>
      <c r="H1366" s="22">
        <f>'2085GL_Z'!$F6</f>
        <v>2.0463006650924398</v>
      </c>
      <c r="I1366" t="str">
        <f t="shared" si="103"/>
        <v>GL2085;zomer;24;25;2.04630066509244;TRUE;2.04630066509244</v>
      </c>
    </row>
    <row r="1367" spans="1:9" x14ac:dyDescent="0.25">
      <c r="A1367">
        <f t="shared" si="102"/>
        <v>182.625</v>
      </c>
      <c r="B1367" t="s">
        <v>23</v>
      </c>
      <c r="C1367" t="s">
        <v>11</v>
      </c>
      <c r="D1367">
        <v>24</v>
      </c>
      <c r="E1367">
        <f t="shared" si="104"/>
        <v>30</v>
      </c>
      <c r="F1367" s="22">
        <f>'2085GL_Z'!$F7</f>
        <v>1.1397186163873989</v>
      </c>
      <c r="G1367" s="22" t="s">
        <v>33</v>
      </c>
      <c r="H1367" s="22">
        <f>'2085GL_Z'!$F7</f>
        <v>1.1397186163873989</v>
      </c>
      <c r="I1367" t="str">
        <f t="shared" si="103"/>
        <v>GL2085;zomer;24;30;1.1397186163874;TRUE;1.1397186163874</v>
      </c>
    </row>
    <row r="1368" spans="1:9" x14ac:dyDescent="0.25">
      <c r="A1368">
        <f t="shared" si="102"/>
        <v>182.625</v>
      </c>
      <c r="B1368" t="s">
        <v>23</v>
      </c>
      <c r="C1368" t="s">
        <v>11</v>
      </c>
      <c r="D1368">
        <v>24</v>
      </c>
      <c r="E1368">
        <f t="shared" si="104"/>
        <v>35</v>
      </c>
      <c r="F1368" s="22">
        <f>'2085GL_Z'!$F8</f>
        <v>0.6491994150557916</v>
      </c>
      <c r="G1368" s="22" t="s">
        <v>33</v>
      </c>
      <c r="H1368" s="22">
        <f>'2085GL_Z'!$F8</f>
        <v>0.6491994150557916</v>
      </c>
      <c r="I1368" t="str">
        <f t="shared" si="103"/>
        <v>GL2085;zomer;24;35;0.649199415055792;TRUE;0.649199415055792</v>
      </c>
    </row>
    <row r="1369" spans="1:9" x14ac:dyDescent="0.25">
      <c r="A1369">
        <f t="shared" si="102"/>
        <v>182.625</v>
      </c>
      <c r="B1369" t="s">
        <v>23</v>
      </c>
      <c r="C1369" t="s">
        <v>11</v>
      </c>
      <c r="D1369">
        <v>24</v>
      </c>
      <c r="E1369">
        <f t="shared" si="104"/>
        <v>40</v>
      </c>
      <c r="F1369" s="22">
        <f>'2085GL_Z'!$F9</f>
        <v>0.3775624964241352</v>
      </c>
      <c r="G1369" s="22" t="s">
        <v>33</v>
      </c>
      <c r="H1369" s="22">
        <f>'2085GL_Z'!$F9</f>
        <v>0.3775624964241352</v>
      </c>
      <c r="I1369" t="str">
        <f t="shared" si="103"/>
        <v>GL2085;zomer;24;40;0.377562496424135;TRUE;0.377562496424135</v>
      </c>
    </row>
    <row r="1370" spans="1:9" x14ac:dyDescent="0.25">
      <c r="A1370">
        <f t="shared" si="102"/>
        <v>182.625</v>
      </c>
      <c r="B1370" t="s">
        <v>23</v>
      </c>
      <c r="C1370" t="s">
        <v>11</v>
      </c>
      <c r="D1370">
        <v>24</v>
      </c>
      <c r="E1370">
        <f t="shared" si="104"/>
        <v>45</v>
      </c>
      <c r="F1370" s="22">
        <f>'2085GL_Z'!$F10</f>
        <v>0.22386451105494676</v>
      </c>
      <c r="G1370" s="22" t="s">
        <v>33</v>
      </c>
      <c r="H1370" s="22">
        <f>'2085GL_Z'!$F10</f>
        <v>0.22386451105494676</v>
      </c>
      <c r="I1370" t="str">
        <f t="shared" si="103"/>
        <v>GL2085;zomer;24;45;0.223864511054947;TRUE;0.223864511054947</v>
      </c>
    </row>
    <row r="1371" spans="1:9" x14ac:dyDescent="0.25">
      <c r="A1371">
        <f t="shared" si="102"/>
        <v>182.625</v>
      </c>
      <c r="B1371" t="s">
        <v>23</v>
      </c>
      <c r="C1371" t="s">
        <v>11</v>
      </c>
      <c r="D1371">
        <v>24</v>
      </c>
      <c r="E1371">
        <f t="shared" si="104"/>
        <v>50</v>
      </c>
      <c r="F1371" s="22">
        <f>'2085GL_Z'!$F11</f>
        <v>0.13514173396959106</v>
      </c>
      <c r="G1371" s="22" t="s">
        <v>33</v>
      </c>
      <c r="H1371" s="22">
        <f>'2085GL_Z'!$F11</f>
        <v>0.13514173396959106</v>
      </c>
      <c r="I1371" t="str">
        <f t="shared" si="103"/>
        <v>GL2085;zomer;24;50;0.135141733969591;TRUE;0.135141733969591</v>
      </c>
    </row>
    <row r="1372" spans="1:9" x14ac:dyDescent="0.25">
      <c r="A1372">
        <f t="shared" si="102"/>
        <v>182.625</v>
      </c>
      <c r="B1372" t="s">
        <v>23</v>
      </c>
      <c r="C1372" t="s">
        <v>11</v>
      </c>
      <c r="D1372">
        <v>24</v>
      </c>
      <c r="E1372">
        <f t="shared" si="104"/>
        <v>55</v>
      </c>
      <c r="F1372" s="22">
        <f>'2085GL_Z'!$F12</f>
        <v>8.2962444368116117E-2</v>
      </c>
      <c r="G1372" s="22" t="s">
        <v>33</v>
      </c>
      <c r="H1372" s="22">
        <f>'2085GL_Z'!$F12</f>
        <v>8.2962444368116117E-2</v>
      </c>
      <c r="I1372" t="str">
        <f t="shared" si="103"/>
        <v>GL2085;zomer;24;55;8.29624443681161E-02;TRUE;8.29624443681161E-02</v>
      </c>
    </row>
    <row r="1373" spans="1:9" x14ac:dyDescent="0.25">
      <c r="A1373">
        <f t="shared" si="102"/>
        <v>182.625</v>
      </c>
      <c r="B1373" t="s">
        <v>23</v>
      </c>
      <c r="C1373" t="s">
        <v>11</v>
      </c>
      <c r="D1373">
        <v>24</v>
      </c>
      <c r="E1373">
        <f t="shared" si="104"/>
        <v>60</v>
      </c>
      <c r="F1373" s="22">
        <f>'2085GL_Z'!$F13</f>
        <v>5.1735867590622028E-2</v>
      </c>
      <c r="G1373" s="22" t="s">
        <v>33</v>
      </c>
      <c r="H1373" s="22">
        <f>'2085GL_Z'!$F13</f>
        <v>5.1735867590622028E-2</v>
      </c>
      <c r="I1373" t="str">
        <f t="shared" si="103"/>
        <v>GL2085;zomer;24;60;0.051735867590622;TRUE;0.051735867590622</v>
      </c>
    </row>
    <row r="1374" spans="1:9" x14ac:dyDescent="0.25">
      <c r="A1374">
        <f t="shared" si="102"/>
        <v>182.625</v>
      </c>
      <c r="B1374" t="s">
        <v>23</v>
      </c>
      <c r="C1374" t="s">
        <v>11</v>
      </c>
      <c r="D1374">
        <v>24</v>
      </c>
      <c r="E1374">
        <f t="shared" si="104"/>
        <v>65</v>
      </c>
      <c r="F1374" s="22">
        <f>'2085GL_Z'!$F14</f>
        <v>3.2741189099785503E-2</v>
      </c>
      <c r="G1374" s="22" t="s">
        <v>33</v>
      </c>
      <c r="H1374" s="22">
        <f>'2085GL_Z'!$F14</f>
        <v>3.2741189099785503E-2</v>
      </c>
      <c r="I1374" t="str">
        <f t="shared" si="103"/>
        <v>GL2085;zomer;24;65;3.27411890997855E-02;TRUE;3.27411890997855E-02</v>
      </c>
    </row>
    <row r="1375" spans="1:9" x14ac:dyDescent="0.25">
      <c r="A1375">
        <f t="shared" si="102"/>
        <v>182.625</v>
      </c>
      <c r="B1375" t="s">
        <v>23</v>
      </c>
      <c r="C1375" t="s">
        <v>11</v>
      </c>
      <c r="D1375">
        <v>24</v>
      </c>
      <c r="E1375">
        <f t="shared" si="104"/>
        <v>70</v>
      </c>
      <c r="F1375" s="22">
        <f>'2085GL_Z'!$F15</f>
        <v>2.1008872278379609E-2</v>
      </c>
      <c r="G1375" s="22" t="s">
        <v>33</v>
      </c>
      <c r="H1375" s="22">
        <f>'2085GL_Z'!$F15</f>
        <v>2.1008872278379609E-2</v>
      </c>
      <c r="I1375" t="str">
        <f t="shared" si="103"/>
        <v>GL2085;zomer;24;70;2.10088722783796E-02;TRUE;2.10088722783796E-02</v>
      </c>
    </row>
    <row r="1376" spans="1:9" x14ac:dyDescent="0.25">
      <c r="A1376">
        <f t="shared" si="102"/>
        <v>182.625</v>
      </c>
      <c r="B1376" t="s">
        <v>23</v>
      </c>
      <c r="C1376" t="s">
        <v>11</v>
      </c>
      <c r="D1376">
        <v>24</v>
      </c>
      <c r="E1376">
        <f t="shared" si="104"/>
        <v>75</v>
      </c>
      <c r="F1376" s="22">
        <f>'2085GL_Z'!$F16</f>
        <v>1.3657267599357478E-2</v>
      </c>
      <c r="G1376" s="22" t="s">
        <v>33</v>
      </c>
      <c r="H1376" s="22">
        <f>'2085GL_Z'!$F16</f>
        <v>1.3657267599357478E-2</v>
      </c>
      <c r="I1376" t="str">
        <f t="shared" si="103"/>
        <v>GL2085;zomer;24;75;1.36572675993575E-02;TRUE;1.36572675993575E-02</v>
      </c>
    </row>
    <row r="1377" spans="1:9" x14ac:dyDescent="0.25">
      <c r="A1377">
        <f t="shared" si="102"/>
        <v>182.625</v>
      </c>
      <c r="B1377" t="s">
        <v>23</v>
      </c>
      <c r="C1377" t="s">
        <v>11</v>
      </c>
      <c r="D1377">
        <v>24</v>
      </c>
      <c r="E1377">
        <f t="shared" si="104"/>
        <v>80</v>
      </c>
      <c r="F1377" s="22">
        <f>'2085GL_Z'!$F17</f>
        <v>8.9878356054265314E-3</v>
      </c>
      <c r="G1377" s="22" t="s">
        <v>33</v>
      </c>
      <c r="H1377" s="22">
        <f>'2085GL_Z'!$F17</f>
        <v>8.9878356054265314E-3</v>
      </c>
      <c r="I1377" t="str">
        <f t="shared" si="103"/>
        <v>GL2085;zomer;24;80;8.98783560542653E-03;TRUE;8.98783560542653E-03</v>
      </c>
    </row>
    <row r="1378" spans="1:9" x14ac:dyDescent="0.25">
      <c r="A1378">
        <f t="shared" si="102"/>
        <v>182.625</v>
      </c>
      <c r="B1378" t="s">
        <v>23</v>
      </c>
      <c r="C1378" t="s">
        <v>11</v>
      </c>
      <c r="D1378">
        <v>24</v>
      </c>
      <c r="E1378">
        <f t="shared" si="104"/>
        <v>85</v>
      </c>
      <c r="F1378" s="22">
        <f>'2085GL_Z'!$F18</f>
        <v>5.9838535091403661E-3</v>
      </c>
      <c r="G1378" s="22" t="s">
        <v>33</v>
      </c>
      <c r="H1378" s="22">
        <f>'2085GL_Z'!$F18</f>
        <v>5.9838535091403661E-3</v>
      </c>
      <c r="I1378" t="str">
        <f t="shared" si="103"/>
        <v>GL2085;zomer;24;85;5.98385350914037E-03;TRUE;5.98385350914037E-03</v>
      </c>
    </row>
    <row r="1379" spans="1:9" x14ac:dyDescent="0.25">
      <c r="A1379">
        <f t="shared" si="102"/>
        <v>182.625</v>
      </c>
      <c r="B1379" t="s">
        <v>23</v>
      </c>
      <c r="C1379" t="s">
        <v>11</v>
      </c>
      <c r="D1379">
        <v>24</v>
      </c>
      <c r="E1379">
        <f t="shared" si="104"/>
        <v>90</v>
      </c>
      <c r="F1379" s="22">
        <f>'2085GL_Z'!$F19</f>
        <v>4.0278156981510323E-3</v>
      </c>
      <c r="G1379" s="22" t="s">
        <v>33</v>
      </c>
      <c r="H1379" s="22">
        <f>'2085GL_Z'!$F19</f>
        <v>4.0278156981510323E-3</v>
      </c>
      <c r="I1379" t="str">
        <f t="shared" si="103"/>
        <v>GL2085;zomer;24;90;4.02781569815103E-03;TRUE;4.02781569815103E-03</v>
      </c>
    </row>
    <row r="1380" spans="1:9" x14ac:dyDescent="0.25">
      <c r="A1380">
        <f t="shared" si="102"/>
        <v>182.625</v>
      </c>
      <c r="B1380" t="s">
        <v>23</v>
      </c>
      <c r="C1380" t="s">
        <v>11</v>
      </c>
      <c r="D1380">
        <v>24</v>
      </c>
      <c r="E1380">
        <f t="shared" si="104"/>
        <v>95</v>
      </c>
      <c r="F1380" s="22">
        <f>'2085GL_Z'!$F20</f>
        <v>2.7394964702027874E-3</v>
      </c>
      <c r="G1380" s="22" t="s">
        <v>33</v>
      </c>
      <c r="H1380" s="22">
        <f>'2085GL_Z'!$F20</f>
        <v>2.7394964702027874E-3</v>
      </c>
      <c r="I1380" t="str">
        <f t="shared" si="103"/>
        <v>GL2085;zomer;24;95;2.73949647020279E-03;TRUE;2.73949647020279E-03</v>
      </c>
    </row>
    <row r="1381" spans="1:9" x14ac:dyDescent="0.25">
      <c r="A1381">
        <f t="shared" si="102"/>
        <v>182.625</v>
      </c>
      <c r="B1381" t="s">
        <v>23</v>
      </c>
      <c r="C1381" t="s">
        <v>11</v>
      </c>
      <c r="D1381">
        <v>24</v>
      </c>
      <c r="E1381">
        <f t="shared" si="104"/>
        <v>100</v>
      </c>
      <c r="F1381" s="22">
        <f>'2085GL_Z'!$F21</f>
        <v>1.8817129428834482E-3</v>
      </c>
      <c r="G1381" s="22" t="s">
        <v>33</v>
      </c>
      <c r="H1381" s="22">
        <f>'2085GL_Z'!$F21</f>
        <v>1.8817129428834482E-3</v>
      </c>
      <c r="I1381" t="str">
        <f t="shared" si="103"/>
        <v>GL2085;zomer;24;100;1.88171294288345E-03;TRUE;1.88171294288345E-03</v>
      </c>
    </row>
    <row r="1382" spans="1:9" x14ac:dyDescent="0.25">
      <c r="A1382">
        <f t="shared" si="102"/>
        <v>182.625</v>
      </c>
      <c r="B1382" t="s">
        <v>23</v>
      </c>
      <c r="C1382" t="s">
        <v>11</v>
      </c>
      <c r="D1382">
        <v>24</v>
      </c>
      <c r="E1382">
        <f t="shared" si="104"/>
        <v>105</v>
      </c>
      <c r="F1382" s="22">
        <f>'2085GL_Z'!$F22</f>
        <v>4.5621787751913339E-3</v>
      </c>
      <c r="G1382" s="22" t="s">
        <v>33</v>
      </c>
      <c r="H1382" s="22">
        <f>'2085GL_Z'!$F22</f>
        <v>4.5621787751913339E-3</v>
      </c>
      <c r="I1382" t="str">
        <f t="shared" si="103"/>
        <v>GL2085;zomer;24;105;4.56217877519133E-03;TRUE;4.56217877519133E-03</v>
      </c>
    </row>
    <row r="1383" spans="1:9" x14ac:dyDescent="0.25">
      <c r="A1383">
        <f t="shared" si="102"/>
        <v>91.3125</v>
      </c>
      <c r="B1383" t="s">
        <v>23</v>
      </c>
      <c r="C1383" t="s">
        <v>11</v>
      </c>
      <c r="D1383">
        <v>48</v>
      </c>
      <c r="E1383">
        <v>15</v>
      </c>
      <c r="F1383" s="22">
        <f>'2085GL_Z'!$J4</f>
        <v>168.99696242048165</v>
      </c>
      <c r="G1383" s="22" t="s">
        <v>33</v>
      </c>
      <c r="H1383" s="22">
        <f>'2085GL_Z'!$J4</f>
        <v>168.99696242048165</v>
      </c>
      <c r="I1383" t="str">
        <f t="shared" si="103"/>
        <v>GL2085;zomer;48;15;168.996962420482;TRUE;168.996962420482</v>
      </c>
    </row>
    <row r="1384" spans="1:9" x14ac:dyDescent="0.25">
      <c r="A1384">
        <f t="shared" si="102"/>
        <v>91.3125</v>
      </c>
      <c r="B1384" t="s">
        <v>23</v>
      </c>
      <c r="C1384" t="s">
        <v>11</v>
      </c>
      <c r="D1384">
        <v>48</v>
      </c>
      <c r="E1384">
        <f>E1383+5</f>
        <v>20</v>
      </c>
      <c r="F1384" s="22">
        <f>'2085GL_Z'!$J5</f>
        <v>5.2193454474113867</v>
      </c>
      <c r="G1384" s="22" t="s">
        <v>33</v>
      </c>
      <c r="H1384" s="22">
        <f>'2085GL_Z'!$J5</f>
        <v>5.2193454474113867</v>
      </c>
      <c r="I1384" t="str">
        <f t="shared" si="103"/>
        <v>GL2085;zomer;48;20;5.21934544741139;TRUE;5.21934544741139</v>
      </c>
    </row>
    <row r="1385" spans="1:9" x14ac:dyDescent="0.25">
      <c r="A1385">
        <f t="shared" si="102"/>
        <v>91.3125</v>
      </c>
      <c r="B1385" t="s">
        <v>23</v>
      </c>
      <c r="C1385" t="s">
        <v>11</v>
      </c>
      <c r="D1385">
        <v>48</v>
      </c>
      <c r="E1385">
        <f t="shared" ref="E1385:E1402" si="105">E1384+5</f>
        <v>25</v>
      </c>
      <c r="F1385" s="22">
        <f>'2085GL_Z'!$J6</f>
        <v>3.1540263622580254</v>
      </c>
      <c r="G1385" s="22" t="s">
        <v>33</v>
      </c>
      <c r="H1385" s="22">
        <f>'2085GL_Z'!$J6</f>
        <v>3.1540263622580254</v>
      </c>
      <c r="I1385" t="str">
        <f t="shared" si="103"/>
        <v>GL2085;zomer;48;25;3.15402636225803;TRUE;3.15402636225803</v>
      </c>
    </row>
    <row r="1386" spans="1:9" x14ac:dyDescent="0.25">
      <c r="A1386">
        <f t="shared" si="102"/>
        <v>91.3125</v>
      </c>
      <c r="B1386" t="s">
        <v>23</v>
      </c>
      <c r="C1386" t="s">
        <v>11</v>
      </c>
      <c r="D1386">
        <v>48</v>
      </c>
      <c r="E1386">
        <f t="shared" si="105"/>
        <v>30</v>
      </c>
      <c r="F1386" s="22">
        <f>'2085GL_Z'!$J7</f>
        <v>1.9311331914118233</v>
      </c>
      <c r="G1386" s="22" t="s">
        <v>33</v>
      </c>
      <c r="H1386" s="22">
        <f>'2085GL_Z'!$J7</f>
        <v>1.9311331914118233</v>
      </c>
      <c r="I1386" t="str">
        <f t="shared" si="103"/>
        <v>GL2085;zomer;48;30;1.93113319141182;TRUE;1.93113319141182</v>
      </c>
    </row>
    <row r="1387" spans="1:9" x14ac:dyDescent="0.25">
      <c r="A1387">
        <f t="shared" si="102"/>
        <v>91.3125</v>
      </c>
      <c r="B1387" t="s">
        <v>23</v>
      </c>
      <c r="C1387" t="s">
        <v>11</v>
      </c>
      <c r="D1387">
        <v>48</v>
      </c>
      <c r="E1387">
        <f t="shared" si="105"/>
        <v>35</v>
      </c>
      <c r="F1387" s="22">
        <f>'2085GL_Z'!$J8</f>
        <v>1.1972013180091827</v>
      </c>
      <c r="G1387" s="22" t="s">
        <v>33</v>
      </c>
      <c r="H1387" s="22">
        <f>'2085GL_Z'!$J8</f>
        <v>1.1972013180091827</v>
      </c>
      <c r="I1387" t="str">
        <f t="shared" si="103"/>
        <v>GL2085;zomer;48;35;1.19720131800918;TRUE;1.19720131800918</v>
      </c>
    </row>
    <row r="1388" spans="1:9" x14ac:dyDescent="0.25">
      <c r="A1388">
        <f t="shared" si="102"/>
        <v>91.3125</v>
      </c>
      <c r="B1388" t="s">
        <v>23</v>
      </c>
      <c r="C1388" t="s">
        <v>11</v>
      </c>
      <c r="D1388">
        <v>48</v>
      </c>
      <c r="E1388">
        <f t="shared" si="105"/>
        <v>40</v>
      </c>
      <c r="F1388" s="22">
        <f>'2085GL_Z'!$J9</f>
        <v>0.75103843133302428</v>
      </c>
      <c r="G1388" s="22" t="s">
        <v>33</v>
      </c>
      <c r="H1388" s="22">
        <f>'2085GL_Z'!$J9</f>
        <v>0.75103843133302428</v>
      </c>
      <c r="I1388" t="str">
        <f t="shared" si="103"/>
        <v>GL2085;zomer;48;40;0.751038431333024;TRUE;0.751038431333024</v>
      </c>
    </row>
    <row r="1389" spans="1:9" x14ac:dyDescent="0.25">
      <c r="A1389">
        <f t="shared" si="102"/>
        <v>91.3125</v>
      </c>
      <c r="B1389" t="s">
        <v>23</v>
      </c>
      <c r="C1389" t="s">
        <v>11</v>
      </c>
      <c r="D1389">
        <v>48</v>
      </c>
      <c r="E1389">
        <f t="shared" si="105"/>
        <v>45</v>
      </c>
      <c r="F1389" s="22">
        <f>'2085GL_Z'!$J10</f>
        <v>0.47648428668061293</v>
      </c>
      <c r="G1389" s="22" t="s">
        <v>33</v>
      </c>
      <c r="H1389" s="22">
        <f>'2085GL_Z'!$J10</f>
        <v>0.47648428668061293</v>
      </c>
      <c r="I1389" t="str">
        <f t="shared" si="103"/>
        <v>GL2085;zomer;48;45;0.476484286680613;TRUE;0.476484286680613</v>
      </c>
    </row>
    <row r="1390" spans="1:9" x14ac:dyDescent="0.25">
      <c r="A1390">
        <f t="shared" si="102"/>
        <v>91.3125</v>
      </c>
      <c r="B1390" t="s">
        <v>23</v>
      </c>
      <c r="C1390" t="s">
        <v>11</v>
      </c>
      <c r="D1390">
        <v>48</v>
      </c>
      <c r="E1390">
        <f t="shared" si="105"/>
        <v>50</v>
      </c>
      <c r="F1390" s="22">
        <f>'2085GL_Z'!$J11</f>
        <v>0.30555929988974562</v>
      </c>
      <c r="G1390" s="22" t="s">
        <v>33</v>
      </c>
      <c r="H1390" s="22">
        <f>'2085GL_Z'!$J11</f>
        <v>0.30555929988974562</v>
      </c>
      <c r="I1390" t="str">
        <f t="shared" si="103"/>
        <v>GL2085;zomer;48;50;0.305559299889746;TRUE;0.305559299889746</v>
      </c>
    </row>
    <row r="1391" spans="1:9" x14ac:dyDescent="0.25">
      <c r="A1391">
        <f t="shared" si="102"/>
        <v>91.3125</v>
      </c>
      <c r="B1391" t="s">
        <v>23</v>
      </c>
      <c r="C1391" t="s">
        <v>11</v>
      </c>
      <c r="D1391">
        <v>48</v>
      </c>
      <c r="E1391">
        <f t="shared" si="105"/>
        <v>55</v>
      </c>
      <c r="F1391" s="22">
        <f>'2085GL_Z'!$J12</f>
        <v>0.19796480017678664</v>
      </c>
      <c r="G1391" s="22" t="s">
        <v>33</v>
      </c>
      <c r="H1391" s="22">
        <f>'2085GL_Z'!$J12</f>
        <v>0.19796480017678664</v>
      </c>
      <c r="I1391" t="str">
        <f t="shared" si="103"/>
        <v>GL2085;zomer;48;55;0.197964800176787;TRUE;0.197964800176787</v>
      </c>
    </row>
    <row r="1392" spans="1:9" x14ac:dyDescent="0.25">
      <c r="A1392">
        <f t="shared" si="102"/>
        <v>91.3125</v>
      </c>
      <c r="B1392" t="s">
        <v>23</v>
      </c>
      <c r="C1392" t="s">
        <v>11</v>
      </c>
      <c r="D1392">
        <v>48</v>
      </c>
      <c r="E1392">
        <f t="shared" si="105"/>
        <v>60</v>
      </c>
      <c r="F1392" s="22">
        <f>'2085GL_Z'!$J13</f>
        <v>0.12951664510413641</v>
      </c>
      <c r="G1392" s="22" t="s">
        <v>33</v>
      </c>
      <c r="H1392" s="22">
        <f>'2085GL_Z'!$J13</f>
        <v>0.12951664510413641</v>
      </c>
      <c r="I1392" t="str">
        <f t="shared" si="103"/>
        <v>GL2085;zomer;48;60;0.129516645104136;TRUE;0.129516645104136</v>
      </c>
    </row>
    <row r="1393" spans="1:9" x14ac:dyDescent="0.25">
      <c r="A1393">
        <f t="shared" si="102"/>
        <v>91.3125</v>
      </c>
      <c r="B1393" t="s">
        <v>23</v>
      </c>
      <c r="C1393" t="s">
        <v>11</v>
      </c>
      <c r="D1393">
        <v>48</v>
      </c>
      <c r="E1393">
        <f t="shared" si="105"/>
        <v>65</v>
      </c>
      <c r="F1393" s="22">
        <f>'2085GL_Z'!$J14</f>
        <v>8.5530536313851935E-2</v>
      </c>
      <c r="G1393" s="22" t="s">
        <v>33</v>
      </c>
      <c r="H1393" s="22">
        <f>'2085GL_Z'!$J14</f>
        <v>8.5530536313851935E-2</v>
      </c>
      <c r="I1393" t="str">
        <f t="shared" si="103"/>
        <v>GL2085;zomer;48;65;8.55305363138519E-02;TRUE;8.55305363138519E-02</v>
      </c>
    </row>
    <row r="1394" spans="1:9" x14ac:dyDescent="0.25">
      <c r="A1394">
        <f t="shared" si="102"/>
        <v>91.3125</v>
      </c>
      <c r="B1394" t="s">
        <v>23</v>
      </c>
      <c r="C1394" t="s">
        <v>11</v>
      </c>
      <c r="D1394">
        <v>48</v>
      </c>
      <c r="E1394">
        <f t="shared" si="105"/>
        <v>70</v>
      </c>
      <c r="F1394" s="22">
        <f>'2085GL_Z'!$J15</f>
        <v>5.6990147115409603E-2</v>
      </c>
      <c r="G1394" s="22" t="s">
        <v>33</v>
      </c>
      <c r="H1394" s="22">
        <f>'2085GL_Z'!$J15</f>
        <v>5.6990147115409603E-2</v>
      </c>
      <c r="I1394" t="str">
        <f t="shared" si="103"/>
        <v>GL2085;zomer;48;70;5.69901471154096E-02;TRUE;5.69901471154096E-02</v>
      </c>
    </row>
    <row r="1395" spans="1:9" x14ac:dyDescent="0.25">
      <c r="A1395">
        <f t="shared" si="102"/>
        <v>91.3125</v>
      </c>
      <c r="B1395" t="s">
        <v>23</v>
      </c>
      <c r="C1395" t="s">
        <v>11</v>
      </c>
      <c r="D1395">
        <v>48</v>
      </c>
      <c r="E1395">
        <f t="shared" si="105"/>
        <v>75</v>
      </c>
      <c r="F1395" s="22">
        <f>'2085GL_Z'!$J16</f>
        <v>3.8299879065166464E-2</v>
      </c>
      <c r="G1395" s="22" t="s">
        <v>33</v>
      </c>
      <c r="H1395" s="22">
        <f>'2085GL_Z'!$J16</f>
        <v>3.8299879065166464E-2</v>
      </c>
      <c r="I1395" t="str">
        <f t="shared" si="103"/>
        <v>GL2085;zomer;48;75;3.82998790651665E-02;TRUE;3.82998790651665E-02</v>
      </c>
    </row>
    <row r="1396" spans="1:9" x14ac:dyDescent="0.25">
      <c r="A1396">
        <f t="shared" si="102"/>
        <v>91.3125</v>
      </c>
      <c r="B1396" t="s">
        <v>23</v>
      </c>
      <c r="C1396" t="s">
        <v>11</v>
      </c>
      <c r="D1396">
        <v>48</v>
      </c>
      <c r="E1396">
        <f t="shared" si="105"/>
        <v>80</v>
      </c>
      <c r="F1396" s="22">
        <f>'2085GL_Z'!$J17</f>
        <v>2.5951371274405152E-2</v>
      </c>
      <c r="G1396" s="22" t="s">
        <v>33</v>
      </c>
      <c r="H1396" s="22">
        <f>'2085GL_Z'!$J17</f>
        <v>2.5951371274405152E-2</v>
      </c>
      <c r="I1396" t="str">
        <f t="shared" si="103"/>
        <v>GL2085;zomer;48;80;2.59513712744052E-02;TRUE;2.59513712744052E-02</v>
      </c>
    </row>
    <row r="1397" spans="1:9" x14ac:dyDescent="0.25">
      <c r="A1397">
        <f t="shared" si="102"/>
        <v>91.3125</v>
      </c>
      <c r="B1397" t="s">
        <v>23</v>
      </c>
      <c r="C1397" t="s">
        <v>11</v>
      </c>
      <c r="D1397">
        <v>48</v>
      </c>
      <c r="E1397">
        <f t="shared" si="105"/>
        <v>85</v>
      </c>
      <c r="F1397" s="22">
        <f>'2085GL_Z'!$J18</f>
        <v>1.7723279794770265E-2</v>
      </c>
      <c r="G1397" s="22" t="s">
        <v>33</v>
      </c>
      <c r="H1397" s="22">
        <f>'2085GL_Z'!$J18</f>
        <v>1.7723279794770265E-2</v>
      </c>
      <c r="I1397" t="str">
        <f t="shared" si="103"/>
        <v>GL2085;zomer;48;85;1.77232797947703E-02;TRUE;1.77232797947703E-02</v>
      </c>
    </row>
    <row r="1398" spans="1:9" x14ac:dyDescent="0.25">
      <c r="A1398">
        <f t="shared" si="102"/>
        <v>91.3125</v>
      </c>
      <c r="B1398" t="s">
        <v>23</v>
      </c>
      <c r="C1398" t="s">
        <v>11</v>
      </c>
      <c r="D1398">
        <v>48</v>
      </c>
      <c r="E1398">
        <f t="shared" si="105"/>
        <v>90</v>
      </c>
      <c r="F1398" s="22">
        <f>'2085GL_Z'!$J19</f>
        <v>1.2195874501791843E-2</v>
      </c>
      <c r="G1398" s="22" t="s">
        <v>33</v>
      </c>
      <c r="H1398" s="22">
        <f>'2085GL_Z'!$J19</f>
        <v>1.2195874501791843E-2</v>
      </c>
      <c r="I1398" t="str">
        <f t="shared" si="103"/>
        <v>GL2085;zomer;48;90;1.21958745017918E-02;TRUE;1.21958745017918E-02</v>
      </c>
    </row>
    <row r="1399" spans="1:9" x14ac:dyDescent="0.25">
      <c r="A1399">
        <f t="shared" si="102"/>
        <v>91.3125</v>
      </c>
      <c r="B1399" t="s">
        <v>23</v>
      </c>
      <c r="C1399" t="s">
        <v>11</v>
      </c>
      <c r="D1399">
        <v>48</v>
      </c>
      <c r="E1399">
        <f t="shared" si="105"/>
        <v>95</v>
      </c>
      <c r="F1399" s="22">
        <f>'2085GL_Z'!$J20</f>
        <v>8.4535475653507823E-3</v>
      </c>
      <c r="G1399" s="22" t="s">
        <v>33</v>
      </c>
      <c r="H1399" s="22">
        <f>'2085GL_Z'!$J20</f>
        <v>8.4535475653507823E-3</v>
      </c>
      <c r="I1399" t="str">
        <f t="shared" si="103"/>
        <v>GL2085;zomer;48;95;8.45354756535078E-03;TRUE;8.45354756535078E-03</v>
      </c>
    </row>
    <row r="1400" spans="1:9" x14ac:dyDescent="0.25">
      <c r="A1400">
        <f t="shared" si="102"/>
        <v>91.3125</v>
      </c>
      <c r="B1400" t="s">
        <v>23</v>
      </c>
      <c r="C1400" t="s">
        <v>11</v>
      </c>
      <c r="D1400">
        <v>48</v>
      </c>
      <c r="E1400">
        <f t="shared" si="105"/>
        <v>100</v>
      </c>
      <c r="F1400" s="22">
        <f>'2085GL_Z'!$J21</f>
        <v>5.9006752540128639E-3</v>
      </c>
      <c r="G1400" s="22" t="s">
        <v>33</v>
      </c>
      <c r="H1400" s="22">
        <f>'2085GL_Z'!$J21</f>
        <v>5.9006752540128639E-3</v>
      </c>
      <c r="I1400" t="str">
        <f t="shared" si="103"/>
        <v>GL2085;zomer;48;100;5.90067525401286E-03;TRUE;5.90067525401286E-03</v>
      </c>
    </row>
    <row r="1401" spans="1:9" x14ac:dyDescent="0.25">
      <c r="A1401">
        <f t="shared" si="102"/>
        <v>91.3125</v>
      </c>
      <c r="B1401" t="s">
        <v>23</v>
      </c>
      <c r="C1401" t="s">
        <v>11</v>
      </c>
      <c r="D1401">
        <v>48</v>
      </c>
      <c r="E1401">
        <f t="shared" si="105"/>
        <v>105</v>
      </c>
      <c r="F1401" s="22">
        <f>'2085GL_Z'!$J22</f>
        <v>4.1465539708800941E-3</v>
      </c>
      <c r="G1401" s="22" t="s">
        <v>33</v>
      </c>
      <c r="H1401" s="22">
        <f>'2085GL_Z'!$J22</f>
        <v>4.1465539708800941E-3</v>
      </c>
      <c r="I1401" t="str">
        <f t="shared" si="103"/>
        <v>GL2085;zomer;48;105;4.14655397088009E-03;TRUE;4.14655397088009E-03</v>
      </c>
    </row>
    <row r="1402" spans="1:9" x14ac:dyDescent="0.25">
      <c r="A1402">
        <f t="shared" si="102"/>
        <v>91.3125</v>
      </c>
      <c r="B1402" t="s">
        <v>23</v>
      </c>
      <c r="C1402" t="s">
        <v>11</v>
      </c>
      <c r="D1402">
        <v>48</v>
      </c>
      <c r="E1402">
        <f t="shared" si="105"/>
        <v>110</v>
      </c>
      <c r="F1402" s="22">
        <f>'2085GL_Z'!$J23</f>
        <v>1.0575932387978762E-2</v>
      </c>
      <c r="G1402" s="22" t="s">
        <v>33</v>
      </c>
      <c r="H1402" s="22">
        <f>'2085GL_Z'!$J23</f>
        <v>1.0575932387978762E-2</v>
      </c>
      <c r="I1402" t="str">
        <f t="shared" si="103"/>
        <v>GL2085;zomer;48;110;1.05759323879788E-02;TRUE;1.05759323879788E-02</v>
      </c>
    </row>
    <row r="1403" spans="1:9" x14ac:dyDescent="0.25">
      <c r="A1403">
        <f t="shared" si="102"/>
        <v>45.65625</v>
      </c>
      <c r="B1403" t="s">
        <v>23</v>
      </c>
      <c r="C1403" t="s">
        <v>11</v>
      </c>
      <c r="D1403">
        <v>96</v>
      </c>
      <c r="E1403">
        <v>20</v>
      </c>
      <c r="F1403" s="22">
        <f>'2085GL_Z'!$N5</f>
        <v>78.871675693583896</v>
      </c>
      <c r="G1403" s="22" t="s">
        <v>33</v>
      </c>
      <c r="H1403" s="22">
        <f>'2085GL_Z'!$N5</f>
        <v>78.871675693583896</v>
      </c>
      <c r="I1403" t="str">
        <f t="shared" si="103"/>
        <v>GL2085;zomer;96;20;78.8716756935839;TRUE;78.8716756935839</v>
      </c>
    </row>
    <row r="1404" spans="1:9" x14ac:dyDescent="0.25">
      <c r="A1404">
        <f t="shared" si="102"/>
        <v>45.65625</v>
      </c>
      <c r="B1404" t="s">
        <v>23</v>
      </c>
      <c r="C1404" t="s">
        <v>11</v>
      </c>
      <c r="D1404">
        <v>96</v>
      </c>
      <c r="E1404">
        <f>E1403+5</f>
        <v>25</v>
      </c>
      <c r="F1404" s="22">
        <f>'2085GL_Z'!$N6</f>
        <v>3.7008125068025208</v>
      </c>
      <c r="G1404" s="22" t="s">
        <v>33</v>
      </c>
      <c r="H1404" s="22">
        <f>'2085GL_Z'!$N6</f>
        <v>3.7008125068025208</v>
      </c>
      <c r="I1404" t="str">
        <f t="shared" si="103"/>
        <v>GL2085;zomer;96;25;3.70081250680252;TRUE;3.70081250680252</v>
      </c>
    </row>
    <row r="1405" spans="1:9" x14ac:dyDescent="0.25">
      <c r="A1405">
        <f t="shared" si="102"/>
        <v>45.65625</v>
      </c>
      <c r="B1405" t="s">
        <v>23</v>
      </c>
      <c r="C1405" t="s">
        <v>11</v>
      </c>
      <c r="D1405">
        <v>96</v>
      </c>
      <c r="E1405">
        <f t="shared" ref="E1405:E1423" si="106">E1404+5</f>
        <v>30</v>
      </c>
      <c r="F1405" s="22">
        <f>'2085GL_Z'!$N7</f>
        <v>2.5831874300610265</v>
      </c>
      <c r="G1405" s="22" t="s">
        <v>33</v>
      </c>
      <c r="H1405" s="22">
        <f>'2085GL_Z'!$N7</f>
        <v>2.5831874300610265</v>
      </c>
      <c r="I1405" t="str">
        <f t="shared" si="103"/>
        <v>GL2085;zomer;96;30;2.58318743006103;TRUE;2.58318743006103</v>
      </c>
    </row>
    <row r="1406" spans="1:9" x14ac:dyDescent="0.25">
      <c r="A1406">
        <f t="shared" si="102"/>
        <v>45.65625</v>
      </c>
      <c r="B1406" t="s">
        <v>23</v>
      </c>
      <c r="C1406" t="s">
        <v>11</v>
      </c>
      <c r="D1406">
        <v>96</v>
      </c>
      <c r="E1406">
        <f t="shared" si="106"/>
        <v>35</v>
      </c>
      <c r="F1406" s="22">
        <f>'2085GL_Z'!$N8</f>
        <v>1.8080656255010945</v>
      </c>
      <c r="G1406" s="22" t="s">
        <v>33</v>
      </c>
      <c r="H1406" s="22">
        <f>'2085GL_Z'!$N8</f>
        <v>1.8080656255010945</v>
      </c>
      <c r="I1406" t="str">
        <f t="shared" si="103"/>
        <v>GL2085;zomer;96;35;1.80806562550109;TRUE;1.80806562550109</v>
      </c>
    </row>
    <row r="1407" spans="1:9" x14ac:dyDescent="0.25">
      <c r="A1407">
        <f t="shared" si="102"/>
        <v>45.65625</v>
      </c>
      <c r="B1407" t="s">
        <v>23</v>
      </c>
      <c r="C1407" t="s">
        <v>11</v>
      </c>
      <c r="D1407">
        <v>96</v>
      </c>
      <c r="E1407">
        <f t="shared" si="106"/>
        <v>40</v>
      </c>
      <c r="F1407" s="22">
        <f>'2085GL_Z'!$N9</f>
        <v>1.2689765727650797</v>
      </c>
      <c r="G1407" s="22" t="s">
        <v>33</v>
      </c>
      <c r="H1407" s="22">
        <f>'2085GL_Z'!$N9</f>
        <v>1.2689765727650797</v>
      </c>
      <c r="I1407" t="str">
        <f t="shared" si="103"/>
        <v>GL2085;zomer;96;40;1.26897657276508;TRUE;1.26897657276508</v>
      </c>
    </row>
    <row r="1408" spans="1:9" x14ac:dyDescent="0.25">
      <c r="A1408">
        <f t="shared" si="102"/>
        <v>45.65625</v>
      </c>
      <c r="B1408" t="s">
        <v>23</v>
      </c>
      <c r="C1408" t="s">
        <v>11</v>
      </c>
      <c r="D1408">
        <v>96</v>
      </c>
      <c r="E1408">
        <f t="shared" si="106"/>
        <v>45</v>
      </c>
      <c r="F1408" s="22">
        <f>'2085GL_Z'!$N10</f>
        <v>0.89300992848685024</v>
      </c>
      <c r="G1408" s="22" t="s">
        <v>33</v>
      </c>
      <c r="H1408" s="22">
        <f>'2085GL_Z'!$N10</f>
        <v>0.89300992848685024</v>
      </c>
      <c r="I1408" t="str">
        <f t="shared" si="103"/>
        <v>GL2085;zomer;96;45;0.89300992848685;TRUE;0.89300992848685</v>
      </c>
    </row>
    <row r="1409" spans="1:9" x14ac:dyDescent="0.25">
      <c r="A1409">
        <f t="shared" si="102"/>
        <v>45.65625</v>
      </c>
      <c r="B1409" t="s">
        <v>23</v>
      </c>
      <c r="C1409" t="s">
        <v>11</v>
      </c>
      <c r="D1409">
        <v>96</v>
      </c>
      <c r="E1409">
        <f t="shared" si="106"/>
        <v>50</v>
      </c>
      <c r="F1409" s="22">
        <f>'2085GL_Z'!$N11</f>
        <v>0.63009316040405428</v>
      </c>
      <c r="G1409" s="22" t="s">
        <v>33</v>
      </c>
      <c r="H1409" s="22">
        <f>'2085GL_Z'!$N11</f>
        <v>0.63009316040405428</v>
      </c>
      <c r="I1409" t="str">
        <f t="shared" si="103"/>
        <v>GL2085;zomer;96;50;0.630093160404054;TRUE;0.630093160404054</v>
      </c>
    </row>
    <row r="1410" spans="1:9" x14ac:dyDescent="0.25">
      <c r="A1410">
        <f t="shared" ref="A1410:A1473" si="107">IF(C1410="zomer",24/D1410*365.25 * 6/12,24/D1410*365.25 * 6/12)</f>
        <v>45.65625</v>
      </c>
      <c r="B1410" t="s">
        <v>23</v>
      </c>
      <c r="C1410" t="s">
        <v>11</v>
      </c>
      <c r="D1410">
        <v>96</v>
      </c>
      <c r="E1410">
        <f t="shared" si="106"/>
        <v>55</v>
      </c>
      <c r="F1410" s="22">
        <f>'2085GL_Z'!$N12</f>
        <v>0.44574035668929102</v>
      </c>
      <c r="G1410" s="22" t="s">
        <v>33</v>
      </c>
      <c r="H1410" s="22">
        <f>'2085GL_Z'!$N12</f>
        <v>0.44574035668929102</v>
      </c>
      <c r="I1410" t="str">
        <f t="shared" ref="I1410:I1473" si="108">CONCATENATEWITHDELIMITER(B1410:H1410,";")</f>
        <v>GL2085;zomer;96;55;0.445740356689291;TRUE;0.445740356689291</v>
      </c>
    </row>
    <row r="1411" spans="1:9" x14ac:dyDescent="0.25">
      <c r="A1411">
        <f t="shared" si="107"/>
        <v>45.65625</v>
      </c>
      <c r="B1411" t="s">
        <v>23</v>
      </c>
      <c r="C1411" t="s">
        <v>11</v>
      </c>
      <c r="D1411">
        <v>96</v>
      </c>
      <c r="E1411">
        <f t="shared" si="106"/>
        <v>60</v>
      </c>
      <c r="F1411" s="22">
        <f>'2085GL_Z'!$N13</f>
        <v>0.31613396400031102</v>
      </c>
      <c r="G1411" s="22" t="s">
        <v>33</v>
      </c>
      <c r="H1411" s="22">
        <f>'2085GL_Z'!$N13</f>
        <v>0.31613396400031102</v>
      </c>
      <c r="I1411" t="str">
        <f t="shared" si="108"/>
        <v>GL2085;zomer;96;60;0.316133964000311;TRUE;0.316133964000311</v>
      </c>
    </row>
    <row r="1412" spans="1:9" x14ac:dyDescent="0.25">
      <c r="A1412">
        <f t="shared" si="107"/>
        <v>45.65625</v>
      </c>
      <c r="B1412" t="s">
        <v>23</v>
      </c>
      <c r="C1412" t="s">
        <v>11</v>
      </c>
      <c r="D1412">
        <v>96</v>
      </c>
      <c r="E1412">
        <f t="shared" si="106"/>
        <v>65</v>
      </c>
      <c r="F1412" s="22">
        <f>'2085GL_Z'!$N14</f>
        <v>0.22477915420311223</v>
      </c>
      <c r="G1412" s="22" t="s">
        <v>33</v>
      </c>
      <c r="H1412" s="22">
        <f>'2085GL_Z'!$N14</f>
        <v>0.22477915420311223</v>
      </c>
      <c r="I1412" t="str">
        <f t="shared" si="108"/>
        <v>GL2085;zomer;96;65;0.224779154203112;TRUE;0.224779154203112</v>
      </c>
    </row>
    <row r="1413" spans="1:9" x14ac:dyDescent="0.25">
      <c r="A1413">
        <f t="shared" si="107"/>
        <v>45.65625</v>
      </c>
      <c r="B1413" t="s">
        <v>23</v>
      </c>
      <c r="C1413" t="s">
        <v>11</v>
      </c>
      <c r="D1413">
        <v>96</v>
      </c>
      <c r="E1413">
        <f t="shared" si="106"/>
        <v>70</v>
      </c>
      <c r="F1413" s="22">
        <f>'2085GL_Z'!$N15</f>
        <v>0.16022143091369628</v>
      </c>
      <c r="G1413" s="22" t="s">
        <v>33</v>
      </c>
      <c r="H1413" s="22">
        <f>'2085GL_Z'!$N15</f>
        <v>0.16022143091369628</v>
      </c>
      <c r="I1413" t="str">
        <f t="shared" si="108"/>
        <v>GL2085;zomer;96;70;0.160221430913696;TRUE;0.160221430913696</v>
      </c>
    </row>
    <row r="1414" spans="1:9" x14ac:dyDescent="0.25">
      <c r="A1414">
        <f t="shared" si="107"/>
        <v>45.65625</v>
      </c>
      <c r="B1414" t="s">
        <v>23</v>
      </c>
      <c r="C1414" t="s">
        <v>11</v>
      </c>
      <c r="D1414">
        <v>96</v>
      </c>
      <c r="E1414">
        <f t="shared" si="106"/>
        <v>75</v>
      </c>
      <c r="F1414" s="22">
        <f>'2085GL_Z'!$N16</f>
        <v>0.11448517345781495</v>
      </c>
      <c r="G1414" s="22" t="s">
        <v>33</v>
      </c>
      <c r="H1414" s="22">
        <f>'2085GL_Z'!$N16</f>
        <v>0.11448517345781495</v>
      </c>
      <c r="I1414" t="str">
        <f t="shared" si="108"/>
        <v>GL2085;zomer;96;75;0.114485173457815;TRUE;0.114485173457815</v>
      </c>
    </row>
    <row r="1415" spans="1:9" x14ac:dyDescent="0.25">
      <c r="A1415">
        <f t="shared" si="107"/>
        <v>45.65625</v>
      </c>
      <c r="B1415" t="s">
        <v>23</v>
      </c>
      <c r="C1415" t="s">
        <v>11</v>
      </c>
      <c r="D1415">
        <v>96</v>
      </c>
      <c r="E1415">
        <f t="shared" si="106"/>
        <v>80</v>
      </c>
      <c r="F1415" s="22">
        <f>'2085GL_Z'!$N17</f>
        <v>8.2002418391441734E-2</v>
      </c>
      <c r="G1415" s="22" t="s">
        <v>33</v>
      </c>
      <c r="H1415" s="22">
        <f>'2085GL_Z'!$N17</f>
        <v>8.2002418391441734E-2</v>
      </c>
      <c r="I1415" t="str">
        <f t="shared" si="108"/>
        <v>GL2085;zomer;96;80;8.20024183914417E-02;TRUE;8.20024183914417E-02</v>
      </c>
    </row>
    <row r="1416" spans="1:9" x14ac:dyDescent="0.25">
      <c r="A1416">
        <f t="shared" si="107"/>
        <v>45.65625</v>
      </c>
      <c r="B1416" t="s">
        <v>23</v>
      </c>
      <c r="C1416" t="s">
        <v>11</v>
      </c>
      <c r="D1416">
        <v>96</v>
      </c>
      <c r="E1416">
        <f t="shared" si="106"/>
        <v>85</v>
      </c>
      <c r="F1416" s="22">
        <f>'2085GL_Z'!$N18</f>
        <v>5.8875943871853048E-2</v>
      </c>
      <c r="G1416" s="22" t="s">
        <v>33</v>
      </c>
      <c r="H1416" s="22">
        <f>'2085GL_Z'!$N18</f>
        <v>5.8875943871853048E-2</v>
      </c>
      <c r="I1416" t="str">
        <f t="shared" si="108"/>
        <v>GL2085;zomer;96;85;0.058875943871853;TRUE;0.058875943871853</v>
      </c>
    </row>
    <row r="1417" spans="1:9" x14ac:dyDescent="0.25">
      <c r="A1417">
        <f t="shared" si="107"/>
        <v>45.65625</v>
      </c>
      <c r="B1417" t="s">
        <v>23</v>
      </c>
      <c r="C1417" t="s">
        <v>11</v>
      </c>
      <c r="D1417">
        <v>96</v>
      </c>
      <c r="E1417">
        <f t="shared" si="106"/>
        <v>90</v>
      </c>
      <c r="F1417" s="22">
        <f>'2085GL_Z'!$N19</f>
        <v>4.2370956150036235E-2</v>
      </c>
      <c r="G1417" s="22" t="s">
        <v>33</v>
      </c>
      <c r="H1417" s="22">
        <f>'2085GL_Z'!$N19</f>
        <v>4.2370956150036235E-2</v>
      </c>
      <c r="I1417" t="str">
        <f t="shared" si="108"/>
        <v>GL2085;zomer;96;90;4.23709561500362E-02;TRUE;4.23709561500362E-02</v>
      </c>
    </row>
    <row r="1418" spans="1:9" x14ac:dyDescent="0.25">
      <c r="A1418">
        <f t="shared" si="107"/>
        <v>45.65625</v>
      </c>
      <c r="B1418" t="s">
        <v>23</v>
      </c>
      <c r="C1418" t="s">
        <v>11</v>
      </c>
      <c r="D1418">
        <v>96</v>
      </c>
      <c r="E1418">
        <f t="shared" si="106"/>
        <v>95</v>
      </c>
      <c r="F1418" s="22">
        <f>'2085GL_Z'!$N20</f>
        <v>3.0563526837406194E-2</v>
      </c>
      <c r="G1418" s="22" t="s">
        <v>33</v>
      </c>
      <c r="H1418" s="22">
        <f>'2085GL_Z'!$N20</f>
        <v>3.0563526837406194E-2</v>
      </c>
      <c r="I1418" t="str">
        <f t="shared" si="108"/>
        <v>GL2085;zomer;96;95;3.05635268374062E-02;TRUE;3.05635268374062E-02</v>
      </c>
    </row>
    <row r="1419" spans="1:9" x14ac:dyDescent="0.25">
      <c r="A1419">
        <f t="shared" si="107"/>
        <v>45.65625</v>
      </c>
      <c r="B1419" t="s">
        <v>23</v>
      </c>
      <c r="C1419" t="s">
        <v>11</v>
      </c>
      <c r="D1419">
        <v>96</v>
      </c>
      <c r="E1419">
        <f t="shared" si="106"/>
        <v>100</v>
      </c>
      <c r="F1419" s="22">
        <f>'2085GL_Z'!$N21</f>
        <v>2.2096803515548748E-2</v>
      </c>
      <c r="G1419" s="22" t="s">
        <v>33</v>
      </c>
      <c r="H1419" s="22">
        <f>'2085GL_Z'!$N21</f>
        <v>2.2096803515548748E-2</v>
      </c>
      <c r="I1419" t="str">
        <f t="shared" si="108"/>
        <v>GL2085;zomer;96;100;2.20968035155487E-02;TRUE;2.20968035155487E-02</v>
      </c>
    </row>
    <row r="1420" spans="1:9" x14ac:dyDescent="0.25">
      <c r="A1420">
        <f t="shared" si="107"/>
        <v>45.65625</v>
      </c>
      <c r="B1420" t="s">
        <v>23</v>
      </c>
      <c r="C1420" t="s">
        <v>11</v>
      </c>
      <c r="D1420">
        <v>96</v>
      </c>
      <c r="E1420">
        <f t="shared" si="106"/>
        <v>105</v>
      </c>
      <c r="F1420" s="22">
        <f>'2085GL_Z'!$N22</f>
        <v>1.6011516880599874E-2</v>
      </c>
      <c r="G1420" s="22" t="s">
        <v>33</v>
      </c>
      <c r="H1420" s="22">
        <f>'2085GL_Z'!$N22</f>
        <v>1.6011516880599874E-2</v>
      </c>
      <c r="I1420" t="str">
        <f t="shared" si="108"/>
        <v>GL2085;zomer;96;105;1.60115168805999E-02;TRUE;1.60115168805999E-02</v>
      </c>
    </row>
    <row r="1421" spans="1:9" x14ac:dyDescent="0.25">
      <c r="A1421">
        <f t="shared" si="107"/>
        <v>45.65625</v>
      </c>
      <c r="B1421" t="s">
        <v>23</v>
      </c>
      <c r="C1421" t="s">
        <v>11</v>
      </c>
      <c r="D1421">
        <v>96</v>
      </c>
      <c r="E1421">
        <f t="shared" si="106"/>
        <v>110</v>
      </c>
      <c r="F1421" s="22">
        <f>'2085GL_Z'!$N23</f>
        <v>1.162784078847913E-2</v>
      </c>
      <c r="G1421" s="22" t="s">
        <v>33</v>
      </c>
      <c r="H1421" s="22">
        <f>'2085GL_Z'!$N23</f>
        <v>1.162784078847913E-2</v>
      </c>
      <c r="I1421" t="str">
        <f t="shared" si="108"/>
        <v>GL2085;zomer;96;110;1.16278407884791E-02;TRUE;1.16278407884791E-02</v>
      </c>
    </row>
    <row r="1422" spans="1:9" x14ac:dyDescent="0.25">
      <c r="A1422">
        <f t="shared" si="107"/>
        <v>45.65625</v>
      </c>
      <c r="B1422" t="s">
        <v>23</v>
      </c>
      <c r="C1422" t="s">
        <v>11</v>
      </c>
      <c r="D1422">
        <v>96</v>
      </c>
      <c r="E1422">
        <f t="shared" si="106"/>
        <v>115</v>
      </c>
      <c r="F1422" s="22">
        <f>'2085GL_Z'!$N24</f>
        <v>8.4628387484424784E-3</v>
      </c>
      <c r="G1422" s="22" t="s">
        <v>33</v>
      </c>
      <c r="H1422" s="22">
        <f>'2085GL_Z'!$N24</f>
        <v>8.4628387484424784E-3</v>
      </c>
      <c r="I1422" t="str">
        <f t="shared" si="108"/>
        <v>GL2085;zomer;96;115;8.46283874844248E-03;TRUE;8.46283874844248E-03</v>
      </c>
    </row>
    <row r="1423" spans="1:9" x14ac:dyDescent="0.25">
      <c r="A1423">
        <f t="shared" si="107"/>
        <v>45.65625</v>
      </c>
      <c r="B1423" t="s">
        <v>23</v>
      </c>
      <c r="C1423" t="s">
        <v>11</v>
      </c>
      <c r="D1423">
        <v>96</v>
      </c>
      <c r="E1423">
        <f t="shared" si="106"/>
        <v>120</v>
      </c>
      <c r="F1423" s="22">
        <f>'2085GL_Z'!$N25</f>
        <v>2.330715794744698E-2</v>
      </c>
      <c r="G1423" s="22" t="s">
        <v>33</v>
      </c>
      <c r="H1423" s="22">
        <f>'2085GL_Z'!$N25</f>
        <v>2.330715794744698E-2</v>
      </c>
      <c r="I1423" t="str">
        <f t="shared" si="108"/>
        <v>GL2085;zomer;96;120;0.023307157947447;TRUE;0.023307157947447</v>
      </c>
    </row>
    <row r="1424" spans="1:9" x14ac:dyDescent="0.25">
      <c r="A1424">
        <f t="shared" si="107"/>
        <v>22.828125</v>
      </c>
      <c r="B1424" t="s">
        <v>23</v>
      </c>
      <c r="C1424" t="s">
        <v>11</v>
      </c>
      <c r="D1424">
        <v>192</v>
      </c>
      <c r="E1424">
        <v>20</v>
      </c>
      <c r="F1424" s="22">
        <f>'2085GL_Z'!$R5</f>
        <v>32.000334339756485</v>
      </c>
      <c r="G1424" s="22" t="s">
        <v>33</v>
      </c>
      <c r="H1424" s="22">
        <f>'2085GL_Z'!$R5</f>
        <v>32.000334339756485</v>
      </c>
      <c r="I1424" t="str">
        <f t="shared" si="108"/>
        <v>GL2085;zomer;192;20;32.0003343397565;TRUE;32.0003343397565</v>
      </c>
    </row>
    <row r="1425" spans="1:9" x14ac:dyDescent="0.25">
      <c r="A1425">
        <f t="shared" si="107"/>
        <v>22.828125</v>
      </c>
      <c r="B1425" t="s">
        <v>23</v>
      </c>
      <c r="C1425" t="s">
        <v>11</v>
      </c>
      <c r="D1425">
        <v>192</v>
      </c>
      <c r="E1425">
        <f>E1424+5</f>
        <v>25</v>
      </c>
      <c r="F1425" s="22">
        <f>'2085GL_Z'!$R6</f>
        <v>2.7269529120963654</v>
      </c>
      <c r="G1425" s="22" t="s">
        <v>33</v>
      </c>
      <c r="H1425" s="22">
        <f>'2085GL_Z'!$R6</f>
        <v>2.7269529120963654</v>
      </c>
      <c r="I1425" t="str">
        <f t="shared" si="108"/>
        <v>GL2085;zomer;192;25;2.72695291209637;TRUE;2.72695291209637</v>
      </c>
    </row>
    <row r="1426" spans="1:9" x14ac:dyDescent="0.25">
      <c r="A1426">
        <f t="shared" si="107"/>
        <v>22.828125</v>
      </c>
      <c r="B1426" t="s">
        <v>23</v>
      </c>
      <c r="C1426" t="s">
        <v>11</v>
      </c>
      <c r="D1426">
        <v>192</v>
      </c>
      <c r="E1426">
        <f t="shared" ref="E1426:E1450" si="109">E1425+5</f>
        <v>30</v>
      </c>
      <c r="F1426" s="22">
        <f>'2085GL_Z'!$R7</f>
        <v>2.2025550472911419</v>
      </c>
      <c r="G1426" s="22" t="s">
        <v>33</v>
      </c>
      <c r="H1426" s="22">
        <f>'2085GL_Z'!$R7</f>
        <v>2.2025550472911419</v>
      </c>
      <c r="I1426" t="str">
        <f t="shared" si="108"/>
        <v>GL2085;zomer;192;30;2.20255504729114;TRUE;2.20255504729114</v>
      </c>
    </row>
    <row r="1427" spans="1:9" x14ac:dyDescent="0.25">
      <c r="A1427">
        <f t="shared" si="107"/>
        <v>22.828125</v>
      </c>
      <c r="B1427" t="s">
        <v>23</v>
      </c>
      <c r="C1427" t="s">
        <v>11</v>
      </c>
      <c r="D1427">
        <v>192</v>
      </c>
      <c r="E1427">
        <f t="shared" si="109"/>
        <v>35</v>
      </c>
      <c r="F1427" s="22">
        <f>'2085GL_Z'!$R8</f>
        <v>1.7750516791225239</v>
      </c>
      <c r="G1427" s="22" t="s">
        <v>33</v>
      </c>
      <c r="H1427" s="22">
        <f>'2085GL_Z'!$R8</f>
        <v>1.7750516791225239</v>
      </c>
      <c r="I1427" t="str">
        <f t="shared" si="108"/>
        <v>GL2085;zomer;192;35;1.77505167912252;TRUE;1.77505167912252</v>
      </c>
    </row>
    <row r="1428" spans="1:9" x14ac:dyDescent="0.25">
      <c r="A1428">
        <f t="shared" si="107"/>
        <v>22.828125</v>
      </c>
      <c r="B1428" t="s">
        <v>23</v>
      </c>
      <c r="C1428" t="s">
        <v>11</v>
      </c>
      <c r="D1428">
        <v>192</v>
      </c>
      <c r="E1428">
        <f t="shared" si="109"/>
        <v>40</v>
      </c>
      <c r="F1428" s="22">
        <f>'2085GL_Z'!$R9</f>
        <v>1.4272828463481906</v>
      </c>
      <c r="G1428" s="22" t="s">
        <v>33</v>
      </c>
      <c r="H1428" s="22">
        <f>'2085GL_Z'!$R9</f>
        <v>1.4272828463481906</v>
      </c>
      <c r="I1428" t="str">
        <f t="shared" si="108"/>
        <v>GL2085;zomer;192;40;1.42728284634819;TRUE;1.42728284634819</v>
      </c>
    </row>
    <row r="1429" spans="1:9" x14ac:dyDescent="0.25">
      <c r="A1429">
        <f t="shared" si="107"/>
        <v>22.828125</v>
      </c>
      <c r="B1429" t="s">
        <v>23</v>
      </c>
      <c r="C1429" t="s">
        <v>11</v>
      </c>
      <c r="D1429">
        <v>192</v>
      </c>
      <c r="E1429">
        <f t="shared" si="109"/>
        <v>45</v>
      </c>
      <c r="F1429" s="22">
        <f>'2085GL_Z'!$R10</f>
        <v>1.1449933787450233</v>
      </c>
      <c r="G1429" s="22" t="s">
        <v>33</v>
      </c>
      <c r="H1429" s="22">
        <f>'2085GL_Z'!$R10</f>
        <v>1.1449933787450233</v>
      </c>
      <c r="I1429" t="str">
        <f t="shared" si="108"/>
        <v>GL2085;zomer;192;45;1.14499337874502;TRUE;1.14499337874502</v>
      </c>
    </row>
    <row r="1430" spans="1:9" x14ac:dyDescent="0.25">
      <c r="A1430">
        <f t="shared" si="107"/>
        <v>22.828125</v>
      </c>
      <c r="B1430" t="s">
        <v>23</v>
      </c>
      <c r="C1430" t="s">
        <v>11</v>
      </c>
      <c r="D1430">
        <v>192</v>
      </c>
      <c r="E1430">
        <f t="shared" si="109"/>
        <v>50</v>
      </c>
      <c r="F1430" s="22">
        <f>'2085GL_Z'!$R11</f>
        <v>0.91636434888095408</v>
      </c>
      <c r="G1430" s="22" t="s">
        <v>33</v>
      </c>
      <c r="H1430" s="22">
        <f>'2085GL_Z'!$R11</f>
        <v>0.91636434888095408</v>
      </c>
      <c r="I1430" t="str">
        <f t="shared" si="108"/>
        <v>GL2085;zomer;192;50;0.916364348880954;TRUE;0.916364348880954</v>
      </c>
    </row>
    <row r="1431" spans="1:9" x14ac:dyDescent="0.25">
      <c r="A1431">
        <f t="shared" si="107"/>
        <v>22.828125</v>
      </c>
      <c r="B1431" t="s">
        <v>23</v>
      </c>
      <c r="C1431" t="s">
        <v>11</v>
      </c>
      <c r="D1431">
        <v>192</v>
      </c>
      <c r="E1431">
        <f t="shared" si="109"/>
        <v>55</v>
      </c>
      <c r="F1431" s="22">
        <f>'2085GL_Z'!$R12</f>
        <v>0.73161629081370716</v>
      </c>
      <c r="G1431" s="22" t="s">
        <v>33</v>
      </c>
      <c r="H1431" s="22">
        <f>'2085GL_Z'!$R12</f>
        <v>0.73161629081370716</v>
      </c>
      <c r="I1431" t="str">
        <f t="shared" si="108"/>
        <v>GL2085;zomer;192;55;0.731616290813707;TRUE;0.731616290813707</v>
      </c>
    </row>
    <row r="1432" spans="1:9" x14ac:dyDescent="0.25">
      <c r="A1432">
        <f t="shared" si="107"/>
        <v>22.828125</v>
      </c>
      <c r="B1432" t="s">
        <v>23</v>
      </c>
      <c r="C1432" t="s">
        <v>11</v>
      </c>
      <c r="D1432">
        <v>192</v>
      </c>
      <c r="E1432">
        <f t="shared" si="109"/>
        <v>60</v>
      </c>
      <c r="F1432" s="22">
        <f>'2085GL_Z'!$R13</f>
        <v>0.58267378863466268</v>
      </c>
      <c r="G1432" s="22" t="s">
        <v>33</v>
      </c>
      <c r="H1432" s="22">
        <f>'2085GL_Z'!$R13</f>
        <v>0.58267378863466268</v>
      </c>
      <c r="I1432" t="str">
        <f t="shared" si="108"/>
        <v>GL2085;zomer;192;60;0.582673788634663;TRUE;0.582673788634663</v>
      </c>
    </row>
    <row r="1433" spans="1:9" x14ac:dyDescent="0.25">
      <c r="A1433">
        <f t="shared" si="107"/>
        <v>22.828125</v>
      </c>
      <c r="B1433" t="s">
        <v>23</v>
      </c>
      <c r="C1433" t="s">
        <v>11</v>
      </c>
      <c r="D1433">
        <v>192</v>
      </c>
      <c r="E1433">
        <f t="shared" si="109"/>
        <v>65</v>
      </c>
      <c r="F1433" s="22">
        <f>'2085GL_Z'!$R14</f>
        <v>0.46288245602825429</v>
      </c>
      <c r="G1433" s="22" t="s">
        <v>33</v>
      </c>
      <c r="H1433" s="22">
        <f>'2085GL_Z'!$R14</f>
        <v>0.46288245602825429</v>
      </c>
      <c r="I1433" t="str">
        <f t="shared" si="108"/>
        <v>GL2085;zomer;192;65;0.462882456028254;TRUE;0.462882456028254</v>
      </c>
    </row>
    <row r="1434" spans="1:9" x14ac:dyDescent="0.25">
      <c r="A1434">
        <f t="shared" si="107"/>
        <v>22.828125</v>
      </c>
      <c r="B1434" t="s">
        <v>23</v>
      </c>
      <c r="C1434" t="s">
        <v>11</v>
      </c>
      <c r="D1434">
        <v>192</v>
      </c>
      <c r="E1434">
        <f t="shared" si="109"/>
        <v>70</v>
      </c>
      <c r="F1434" s="22">
        <f>'2085GL_Z'!$R15</f>
        <v>0.36677056506703498</v>
      </c>
      <c r="G1434" s="22" t="s">
        <v>33</v>
      </c>
      <c r="H1434" s="22">
        <f>'2085GL_Z'!$R15</f>
        <v>0.36677056506703498</v>
      </c>
      <c r="I1434" t="str">
        <f t="shared" si="108"/>
        <v>GL2085;zomer;192;70;0.366770565067035;TRUE;0.366770565067035</v>
      </c>
    </row>
    <row r="1435" spans="1:9" x14ac:dyDescent="0.25">
      <c r="A1435">
        <f t="shared" si="107"/>
        <v>22.828125</v>
      </c>
      <c r="B1435" t="s">
        <v>23</v>
      </c>
      <c r="C1435" t="s">
        <v>11</v>
      </c>
      <c r="D1435">
        <v>192</v>
      </c>
      <c r="E1435">
        <f t="shared" si="109"/>
        <v>75</v>
      </c>
      <c r="F1435" s="22">
        <f>'2085GL_Z'!$R16</f>
        <v>0.28984865985073038</v>
      </c>
      <c r="G1435" s="22" t="s">
        <v>33</v>
      </c>
      <c r="H1435" s="22">
        <f>'2085GL_Z'!$R16</f>
        <v>0.28984865985073038</v>
      </c>
      <c r="I1435" t="str">
        <f t="shared" si="108"/>
        <v>GL2085;zomer;192;75;0.28984865985073;TRUE;0.28984865985073</v>
      </c>
    </row>
    <row r="1436" spans="1:9" x14ac:dyDescent="0.25">
      <c r="A1436">
        <f t="shared" si="107"/>
        <v>22.828125</v>
      </c>
      <c r="B1436" t="s">
        <v>23</v>
      </c>
      <c r="C1436" t="s">
        <v>11</v>
      </c>
      <c r="D1436">
        <v>192</v>
      </c>
      <c r="E1436">
        <f t="shared" si="109"/>
        <v>80</v>
      </c>
      <c r="F1436" s="22">
        <f>'2085GL_Z'!$R17</f>
        <v>0.22844142751425178</v>
      </c>
      <c r="G1436" s="22" t="s">
        <v>33</v>
      </c>
      <c r="H1436" s="22">
        <f>'2085GL_Z'!$R17</f>
        <v>0.22844142751425178</v>
      </c>
      <c r="I1436" t="str">
        <f t="shared" si="108"/>
        <v>GL2085;zomer;192;80;0.228441427514252;TRUE;0.228441427514252</v>
      </c>
    </row>
    <row r="1437" spans="1:9" x14ac:dyDescent="0.25">
      <c r="A1437">
        <f t="shared" si="107"/>
        <v>22.828125</v>
      </c>
      <c r="B1437" t="s">
        <v>23</v>
      </c>
      <c r="C1437" t="s">
        <v>11</v>
      </c>
      <c r="D1437">
        <v>192</v>
      </c>
      <c r="E1437">
        <f t="shared" si="109"/>
        <v>85</v>
      </c>
      <c r="F1437" s="22">
        <f>'2085GL_Z'!$R18</f>
        <v>0.17954691262773004</v>
      </c>
      <c r="G1437" s="22" t="s">
        <v>33</v>
      </c>
      <c r="H1437" s="22">
        <f>'2085GL_Z'!$R18</f>
        <v>0.17954691262773004</v>
      </c>
      <c r="I1437" t="str">
        <f t="shared" si="108"/>
        <v>GL2085;zomer;192;85;0.17954691262773;TRUE;0.17954691262773</v>
      </c>
    </row>
    <row r="1438" spans="1:9" x14ac:dyDescent="0.25">
      <c r="A1438">
        <f t="shared" si="107"/>
        <v>22.828125</v>
      </c>
      <c r="B1438" t="s">
        <v>23</v>
      </c>
      <c r="C1438" t="s">
        <v>11</v>
      </c>
      <c r="D1438">
        <v>192</v>
      </c>
      <c r="E1438">
        <f t="shared" si="109"/>
        <v>90</v>
      </c>
      <c r="F1438" s="22">
        <f>'2085GL_Z'!$R19</f>
        <v>0.14071886623431307</v>
      </c>
      <c r="G1438" s="22" t="s">
        <v>33</v>
      </c>
      <c r="H1438" s="22">
        <f>'2085GL_Z'!$R19</f>
        <v>0.14071886623431307</v>
      </c>
      <c r="I1438" t="str">
        <f t="shared" si="108"/>
        <v>GL2085;zomer;192;90;0.140718866234313;TRUE;0.140718866234313</v>
      </c>
    </row>
    <row r="1439" spans="1:9" x14ac:dyDescent="0.25">
      <c r="A1439">
        <f t="shared" si="107"/>
        <v>22.828125</v>
      </c>
      <c r="B1439" t="s">
        <v>23</v>
      </c>
      <c r="C1439" t="s">
        <v>11</v>
      </c>
      <c r="D1439">
        <v>192</v>
      </c>
      <c r="E1439">
        <f t="shared" si="109"/>
        <v>95</v>
      </c>
      <c r="F1439" s="22">
        <f>'2085GL_Z'!$R20</f>
        <v>0.1099686311406769</v>
      </c>
      <c r="G1439" s="22" t="s">
        <v>33</v>
      </c>
      <c r="H1439" s="22">
        <f>'2085GL_Z'!$R20</f>
        <v>0.1099686311406769</v>
      </c>
      <c r="I1439" t="str">
        <f t="shared" si="108"/>
        <v>GL2085;zomer;192;95;0.109968631140677;TRUE;0.109968631140677</v>
      </c>
    </row>
    <row r="1440" spans="1:9" x14ac:dyDescent="0.25">
      <c r="A1440">
        <f t="shared" si="107"/>
        <v>22.828125</v>
      </c>
      <c r="B1440" t="s">
        <v>23</v>
      </c>
      <c r="C1440" t="s">
        <v>11</v>
      </c>
      <c r="D1440">
        <v>192</v>
      </c>
      <c r="E1440">
        <f t="shared" si="109"/>
        <v>100</v>
      </c>
      <c r="F1440" s="22">
        <f>'2085GL_Z'!$R21</f>
        <v>8.5683492475827572E-2</v>
      </c>
      <c r="G1440" s="22" t="s">
        <v>33</v>
      </c>
      <c r="H1440" s="22">
        <f>'2085GL_Z'!$R21</f>
        <v>8.5683492475827572E-2</v>
      </c>
      <c r="I1440" t="str">
        <f t="shared" si="108"/>
        <v>GL2085;zomer;192;100;8.56834924758276E-02;TRUE;8.56834924758276E-02</v>
      </c>
    </row>
    <row r="1441" spans="1:9" x14ac:dyDescent="0.25">
      <c r="A1441">
        <f t="shared" si="107"/>
        <v>22.828125</v>
      </c>
      <c r="B1441" t="s">
        <v>23</v>
      </c>
      <c r="C1441" t="s">
        <v>11</v>
      </c>
      <c r="D1441">
        <v>192</v>
      </c>
      <c r="E1441">
        <f t="shared" si="109"/>
        <v>105</v>
      </c>
      <c r="F1441" s="22">
        <f>'2085GL_Z'!$R22</f>
        <v>6.6558877472871897E-2</v>
      </c>
      <c r="G1441" s="22" t="s">
        <v>33</v>
      </c>
      <c r="H1441" s="22">
        <f>'2085GL_Z'!$R22</f>
        <v>6.6558877472871897E-2</v>
      </c>
      <c r="I1441" t="str">
        <f t="shared" si="108"/>
        <v>GL2085;zomer;192;105;6.65588774728719E-02;TRUE;6.65588774728719E-02</v>
      </c>
    </row>
    <row r="1442" spans="1:9" x14ac:dyDescent="0.25">
      <c r="A1442">
        <f t="shared" si="107"/>
        <v>22.828125</v>
      </c>
      <c r="B1442" t="s">
        <v>23</v>
      </c>
      <c r="C1442" t="s">
        <v>11</v>
      </c>
      <c r="D1442">
        <v>192</v>
      </c>
      <c r="E1442">
        <f t="shared" si="109"/>
        <v>110</v>
      </c>
      <c r="F1442" s="22">
        <f>'2085GL_Z'!$R23</f>
        <v>5.1542180182381769E-2</v>
      </c>
      <c r="G1442" s="22" t="s">
        <v>33</v>
      </c>
      <c r="H1442" s="22">
        <f>'2085GL_Z'!$R23</f>
        <v>5.1542180182381769E-2</v>
      </c>
      <c r="I1442" t="str">
        <f t="shared" si="108"/>
        <v>GL2085;zomer;192;110;5.15421801823818E-02;TRUE;5.15421801823818E-02</v>
      </c>
    </row>
    <row r="1443" spans="1:9" x14ac:dyDescent="0.25">
      <c r="A1443">
        <f t="shared" si="107"/>
        <v>22.828125</v>
      </c>
      <c r="B1443" t="s">
        <v>23</v>
      </c>
      <c r="C1443" t="s">
        <v>11</v>
      </c>
      <c r="D1443">
        <v>192</v>
      </c>
      <c r="E1443">
        <f t="shared" si="109"/>
        <v>115</v>
      </c>
      <c r="F1443" s="22">
        <f>'2085GL_Z'!$R24</f>
        <v>3.9786323572529647E-2</v>
      </c>
      <c r="G1443" s="22" t="s">
        <v>33</v>
      </c>
      <c r="H1443" s="22">
        <f>'2085GL_Z'!$R24</f>
        <v>3.9786323572529647E-2</v>
      </c>
      <c r="I1443" t="str">
        <f t="shared" si="108"/>
        <v>GL2085;zomer;192;115;3.97863235725296E-02;TRUE;3.97863235725296E-02</v>
      </c>
    </row>
    <row r="1444" spans="1:9" x14ac:dyDescent="0.25">
      <c r="A1444">
        <f t="shared" si="107"/>
        <v>22.828125</v>
      </c>
      <c r="B1444" t="s">
        <v>23</v>
      </c>
      <c r="C1444" t="s">
        <v>11</v>
      </c>
      <c r="D1444">
        <v>192</v>
      </c>
      <c r="E1444">
        <f t="shared" si="109"/>
        <v>120</v>
      </c>
      <c r="F1444" s="22">
        <f>'2085GL_Z'!$R25</f>
        <v>3.061146040874875E-2</v>
      </c>
      <c r="G1444" s="22" t="s">
        <v>33</v>
      </c>
      <c r="H1444" s="22">
        <f>'2085GL_Z'!$R25</f>
        <v>3.061146040874875E-2</v>
      </c>
      <c r="I1444" t="str">
        <f t="shared" si="108"/>
        <v>GL2085;zomer;192;120;3.06114604087488E-02;TRUE;3.06114604087488E-02</v>
      </c>
    </row>
    <row r="1445" spans="1:9" x14ac:dyDescent="0.25">
      <c r="A1445">
        <f t="shared" si="107"/>
        <v>22.828125</v>
      </c>
      <c r="B1445" t="s">
        <v>23</v>
      </c>
      <c r="C1445" t="s">
        <v>11</v>
      </c>
      <c r="D1445">
        <v>192</v>
      </c>
      <c r="E1445">
        <f t="shared" si="109"/>
        <v>125</v>
      </c>
      <c r="F1445" s="22">
        <f>'2085GL_Z'!$R26</f>
        <v>2.3473461761145939E-2</v>
      </c>
      <c r="G1445" s="22" t="s">
        <v>33</v>
      </c>
      <c r="H1445" s="22">
        <f>'2085GL_Z'!$R26</f>
        <v>2.3473461761145939E-2</v>
      </c>
      <c r="I1445" t="str">
        <f t="shared" si="108"/>
        <v>GL2085;zomer;192;125;2.34734617611459E-02;TRUE;2.34734617611459E-02</v>
      </c>
    </row>
    <row r="1446" spans="1:9" x14ac:dyDescent="0.25">
      <c r="A1446">
        <f t="shared" si="107"/>
        <v>22.828125</v>
      </c>
      <c r="B1446" t="s">
        <v>23</v>
      </c>
      <c r="C1446" t="s">
        <v>11</v>
      </c>
      <c r="D1446">
        <v>192</v>
      </c>
      <c r="E1446">
        <f t="shared" si="109"/>
        <v>130</v>
      </c>
      <c r="F1446" s="22">
        <f>'2085GL_Z'!$R27</f>
        <v>1.7938053513065662E-2</v>
      </c>
      <c r="G1446" s="22" t="s">
        <v>33</v>
      </c>
      <c r="H1446" s="22">
        <f>'2085GL_Z'!$R27</f>
        <v>1.7938053513065662E-2</v>
      </c>
      <c r="I1446" t="str">
        <f t="shared" si="108"/>
        <v>GL2085;zomer;192;130;1.79380535130657E-02;TRUE;1.79380535130657E-02</v>
      </c>
    </row>
    <row r="1447" spans="1:9" x14ac:dyDescent="0.25">
      <c r="A1447">
        <f t="shared" si="107"/>
        <v>22.828125</v>
      </c>
      <c r="B1447" t="s">
        <v>23</v>
      </c>
      <c r="C1447" t="s">
        <v>11</v>
      </c>
      <c r="D1447">
        <v>192</v>
      </c>
      <c r="E1447">
        <f t="shared" si="109"/>
        <v>135</v>
      </c>
      <c r="F1447" s="22">
        <f>'2085GL_Z'!$R28</f>
        <v>1.3659641703361231E-2</v>
      </c>
      <c r="G1447" s="22" t="s">
        <v>33</v>
      </c>
      <c r="H1447" s="22">
        <f>'2085GL_Z'!$R28</f>
        <v>1.3659641703361231E-2</v>
      </c>
      <c r="I1447" t="str">
        <f t="shared" si="108"/>
        <v>GL2085;zomer;192;135;1.36596417033612E-02;TRUE;1.36596417033612E-02</v>
      </c>
    </row>
    <row r="1448" spans="1:9" x14ac:dyDescent="0.25">
      <c r="A1448">
        <f t="shared" si="107"/>
        <v>22.828125</v>
      </c>
      <c r="B1448" t="s">
        <v>23</v>
      </c>
      <c r="C1448" t="s">
        <v>11</v>
      </c>
      <c r="D1448">
        <v>192</v>
      </c>
      <c r="E1448">
        <f t="shared" si="109"/>
        <v>140</v>
      </c>
      <c r="F1448" s="22">
        <f>'2085GL_Z'!$R29</f>
        <v>1.0364021182492928E-2</v>
      </c>
      <c r="G1448" s="22" t="s">
        <v>33</v>
      </c>
      <c r="H1448" s="22">
        <f>'2085GL_Z'!$R29</f>
        <v>1.0364021182492928E-2</v>
      </c>
      <c r="I1448" t="str">
        <f t="shared" si="108"/>
        <v>GL2085;zomer;192;140;1.03640211824929E-02;TRUE;1.03640211824929E-02</v>
      </c>
    </row>
    <row r="1449" spans="1:9" x14ac:dyDescent="0.25">
      <c r="A1449">
        <f t="shared" si="107"/>
        <v>22.828125</v>
      </c>
      <c r="B1449" t="s">
        <v>23</v>
      </c>
      <c r="C1449" t="s">
        <v>11</v>
      </c>
      <c r="D1449">
        <v>192</v>
      </c>
      <c r="E1449">
        <f t="shared" si="109"/>
        <v>145</v>
      </c>
      <c r="F1449" s="22">
        <f>'2085GL_Z'!$R30</f>
        <v>7.8342926137484302E-3</v>
      </c>
      <c r="G1449" s="22" t="s">
        <v>33</v>
      </c>
      <c r="H1449" s="22">
        <f>'2085GL_Z'!$R30</f>
        <v>7.8342926137484302E-3</v>
      </c>
      <c r="I1449" t="str">
        <f t="shared" si="108"/>
        <v>GL2085;zomer;192;145;7.83429261374843E-03;TRUE;7.83429261374843E-03</v>
      </c>
    </row>
    <row r="1450" spans="1:9" x14ac:dyDescent="0.25">
      <c r="A1450">
        <f t="shared" si="107"/>
        <v>22.828125</v>
      </c>
      <c r="B1450" t="s">
        <v>23</v>
      </c>
      <c r="C1450" t="s">
        <v>11</v>
      </c>
      <c r="D1450">
        <v>192</v>
      </c>
      <c r="E1450">
        <f t="shared" si="109"/>
        <v>150</v>
      </c>
      <c r="F1450" s="22">
        <f>'2085GL_Z'!$R31</f>
        <v>2.2796044961782731E-2</v>
      </c>
      <c r="G1450" s="22" t="s">
        <v>33</v>
      </c>
      <c r="H1450" s="22">
        <f>'2085GL_Z'!$R31</f>
        <v>2.2796044961782731E-2</v>
      </c>
      <c r="I1450" t="str">
        <f t="shared" si="108"/>
        <v>GL2085;zomer;192;150;2.27960449617827E-02;TRUE;2.27960449617827E-02</v>
      </c>
    </row>
    <row r="1451" spans="1:9" x14ac:dyDescent="0.25">
      <c r="A1451">
        <f t="shared" si="107"/>
        <v>20.291666666666664</v>
      </c>
      <c r="B1451" t="s">
        <v>23</v>
      </c>
      <c r="C1451" t="s">
        <v>11</v>
      </c>
      <c r="D1451">
        <v>216</v>
      </c>
      <c r="E1451">
        <v>20</v>
      </c>
      <c r="F1451" s="22">
        <f>'2085GL_Z'!$V5</f>
        <v>27.183913856764754</v>
      </c>
      <c r="G1451" s="22" t="s">
        <v>33</v>
      </c>
      <c r="H1451" s="22">
        <f>'2085GL_Z'!$V5</f>
        <v>27.183913856764754</v>
      </c>
      <c r="I1451" t="str">
        <f t="shared" si="108"/>
        <v>GL2085;zomer;216;20;27.1839138567648;TRUE;27.1839138567648</v>
      </c>
    </row>
    <row r="1452" spans="1:9" x14ac:dyDescent="0.25">
      <c r="A1452">
        <f t="shared" si="107"/>
        <v>20.291666666666664</v>
      </c>
      <c r="B1452" t="s">
        <v>23</v>
      </c>
      <c r="C1452" t="s">
        <v>11</v>
      </c>
      <c r="D1452">
        <v>216</v>
      </c>
      <c r="E1452">
        <f>E1451+5</f>
        <v>25</v>
      </c>
      <c r="F1452" s="22">
        <f>'2085GL_Z'!$V6</f>
        <v>2.4486899479355948</v>
      </c>
      <c r="G1452" s="22" t="s">
        <v>33</v>
      </c>
      <c r="H1452" s="22">
        <f>'2085GL_Z'!$V6</f>
        <v>2.4486899479355948</v>
      </c>
      <c r="I1452" t="str">
        <f t="shared" si="108"/>
        <v>GL2085;zomer;216;25;2.44868994793559;TRUE;2.44868994793559</v>
      </c>
    </row>
    <row r="1453" spans="1:9" x14ac:dyDescent="0.25">
      <c r="A1453">
        <f t="shared" si="107"/>
        <v>20.291666666666664</v>
      </c>
      <c r="B1453" t="s">
        <v>23</v>
      </c>
      <c r="C1453" t="s">
        <v>11</v>
      </c>
      <c r="D1453">
        <v>216</v>
      </c>
      <c r="E1453">
        <f t="shared" ref="E1453:E1478" si="110">E1452+5</f>
        <v>30</v>
      </c>
      <c r="F1453" s="22">
        <f>'2085GL_Z'!$V7</f>
        <v>2.0244293321059015</v>
      </c>
      <c r="G1453" s="22" t="s">
        <v>33</v>
      </c>
      <c r="H1453" s="22">
        <f>'2085GL_Z'!$V7</f>
        <v>2.0244293321059015</v>
      </c>
      <c r="I1453" t="str">
        <f t="shared" si="108"/>
        <v>GL2085;zomer;216;30;2.0244293321059;TRUE;2.0244293321059</v>
      </c>
    </row>
    <row r="1454" spans="1:9" x14ac:dyDescent="0.25">
      <c r="A1454">
        <f t="shared" si="107"/>
        <v>20.291666666666664</v>
      </c>
      <c r="B1454" t="s">
        <v>23</v>
      </c>
      <c r="C1454" t="s">
        <v>11</v>
      </c>
      <c r="D1454">
        <v>216</v>
      </c>
      <c r="E1454">
        <f t="shared" si="110"/>
        <v>35</v>
      </c>
      <c r="F1454" s="22">
        <f>'2085GL_Z'!$V8</f>
        <v>1.6695555234831421</v>
      </c>
      <c r="G1454" s="22" t="s">
        <v>33</v>
      </c>
      <c r="H1454" s="22">
        <f>'2085GL_Z'!$V8</f>
        <v>1.6695555234831421</v>
      </c>
      <c r="I1454" t="str">
        <f t="shared" si="108"/>
        <v>GL2085;zomer;216;35;1.66955552348314;TRUE;1.66955552348314</v>
      </c>
    </row>
    <row r="1455" spans="1:9" x14ac:dyDescent="0.25">
      <c r="A1455">
        <f t="shared" si="107"/>
        <v>20.291666666666664</v>
      </c>
      <c r="B1455" t="s">
        <v>23</v>
      </c>
      <c r="C1455" t="s">
        <v>11</v>
      </c>
      <c r="D1455">
        <v>216</v>
      </c>
      <c r="E1455">
        <f t="shared" si="110"/>
        <v>40</v>
      </c>
      <c r="F1455" s="22">
        <f>'2085GL_Z'!$V9</f>
        <v>1.3734107266687889</v>
      </c>
      <c r="G1455" s="22" t="s">
        <v>33</v>
      </c>
      <c r="H1455" s="22">
        <f>'2085GL_Z'!$V9</f>
        <v>1.3734107266687889</v>
      </c>
      <c r="I1455" t="str">
        <f t="shared" si="108"/>
        <v>GL2085;zomer;216;40;1.37341072666879;TRUE;1.37341072666879</v>
      </c>
    </row>
    <row r="1456" spans="1:9" x14ac:dyDescent="0.25">
      <c r="A1456">
        <f t="shared" si="107"/>
        <v>20.291666666666664</v>
      </c>
      <c r="B1456" t="s">
        <v>23</v>
      </c>
      <c r="C1456" t="s">
        <v>11</v>
      </c>
      <c r="D1456">
        <v>216</v>
      </c>
      <c r="E1456">
        <f t="shared" si="110"/>
        <v>45</v>
      </c>
      <c r="F1456" s="22">
        <f>'2085GL_Z'!$V10</f>
        <v>1.126865558470163</v>
      </c>
      <c r="G1456" s="22" t="s">
        <v>33</v>
      </c>
      <c r="H1456" s="22">
        <f>'2085GL_Z'!$V10</f>
        <v>1.126865558470163</v>
      </c>
      <c r="I1456" t="str">
        <f t="shared" si="108"/>
        <v>GL2085;zomer;216;45;1.12686555847016;TRUE;1.12686555847016</v>
      </c>
    </row>
    <row r="1457" spans="1:9" x14ac:dyDescent="0.25">
      <c r="A1457">
        <f t="shared" si="107"/>
        <v>20.291666666666664</v>
      </c>
      <c r="B1457" t="s">
        <v>23</v>
      </c>
      <c r="C1457" t="s">
        <v>11</v>
      </c>
      <c r="D1457">
        <v>216</v>
      </c>
      <c r="E1457">
        <f t="shared" si="110"/>
        <v>50</v>
      </c>
      <c r="F1457" s="22">
        <f>'2085GL_Z'!$V11</f>
        <v>0.92211582567707273</v>
      </c>
      <c r="G1457" s="22" t="s">
        <v>33</v>
      </c>
      <c r="H1457" s="22">
        <f>'2085GL_Z'!$V11</f>
        <v>0.92211582567707273</v>
      </c>
      <c r="I1457" t="str">
        <f t="shared" si="108"/>
        <v>GL2085;zomer;216;50;0.922115825677073;TRUE;0.922115825677073</v>
      </c>
    </row>
    <row r="1458" spans="1:9" x14ac:dyDescent="0.25">
      <c r="A1458">
        <f t="shared" si="107"/>
        <v>20.291666666666664</v>
      </c>
      <c r="B1458" t="s">
        <v>23</v>
      </c>
      <c r="C1458" t="s">
        <v>11</v>
      </c>
      <c r="D1458">
        <v>216</v>
      </c>
      <c r="E1458">
        <f t="shared" si="110"/>
        <v>55</v>
      </c>
      <c r="F1458" s="22">
        <f>'2085GL_Z'!$V12</f>
        <v>0.75250414783530228</v>
      </c>
      <c r="G1458" s="22" t="s">
        <v>33</v>
      </c>
      <c r="H1458" s="22">
        <f>'2085GL_Z'!$V12</f>
        <v>0.75250414783530228</v>
      </c>
      <c r="I1458" t="str">
        <f t="shared" si="108"/>
        <v>GL2085;zomer;216;55;0.752504147835302;TRUE;0.752504147835302</v>
      </c>
    </row>
    <row r="1459" spans="1:9" x14ac:dyDescent="0.25">
      <c r="A1459">
        <f t="shared" si="107"/>
        <v>20.291666666666664</v>
      </c>
      <c r="B1459" t="s">
        <v>23</v>
      </c>
      <c r="C1459" t="s">
        <v>11</v>
      </c>
      <c r="D1459">
        <v>216</v>
      </c>
      <c r="E1459">
        <f t="shared" si="110"/>
        <v>60</v>
      </c>
      <c r="F1459" s="22">
        <f>'2085GL_Z'!$V13</f>
        <v>0.61236366038443668</v>
      </c>
      <c r="G1459" s="22" t="s">
        <v>33</v>
      </c>
      <c r="H1459" s="22">
        <f>'2085GL_Z'!$V13</f>
        <v>0.61236366038443668</v>
      </c>
      <c r="I1459" t="str">
        <f t="shared" si="108"/>
        <v>GL2085;zomer;216;60;0.612363660384437;TRUE;0.612363660384437</v>
      </c>
    </row>
    <row r="1460" spans="1:9" x14ac:dyDescent="0.25">
      <c r="A1460">
        <f t="shared" si="107"/>
        <v>20.291666666666664</v>
      </c>
      <c r="B1460" t="s">
        <v>23</v>
      </c>
      <c r="C1460" t="s">
        <v>11</v>
      </c>
      <c r="D1460">
        <v>216</v>
      </c>
      <c r="E1460">
        <f t="shared" si="110"/>
        <v>65</v>
      </c>
      <c r="F1460" s="22">
        <f>'2085GL_Z'!$V14</f>
        <v>0.49688131003262237</v>
      </c>
      <c r="G1460" s="22" t="s">
        <v>33</v>
      </c>
      <c r="H1460" s="22">
        <f>'2085GL_Z'!$V14</f>
        <v>0.49688131003262237</v>
      </c>
      <c r="I1460" t="str">
        <f t="shared" si="108"/>
        <v>GL2085;zomer;216;65;0.496881310032622;TRUE;0.496881310032622</v>
      </c>
    </row>
    <row r="1461" spans="1:9" x14ac:dyDescent="0.25">
      <c r="A1461">
        <f t="shared" si="107"/>
        <v>20.291666666666664</v>
      </c>
      <c r="B1461" t="s">
        <v>23</v>
      </c>
      <c r="C1461" t="s">
        <v>11</v>
      </c>
      <c r="D1461">
        <v>216</v>
      </c>
      <c r="E1461">
        <f t="shared" si="110"/>
        <v>70</v>
      </c>
      <c r="F1461" s="22">
        <f>'2085GL_Z'!$V15</f>
        <v>0.40197850627847598</v>
      </c>
      <c r="G1461" s="22" t="s">
        <v>33</v>
      </c>
      <c r="H1461" s="22">
        <f>'2085GL_Z'!$V15</f>
        <v>0.40197850627847598</v>
      </c>
      <c r="I1461" t="str">
        <f t="shared" si="108"/>
        <v>GL2085;zomer;216;70;0.401978506278476;TRUE;0.401978506278476</v>
      </c>
    </row>
    <row r="1462" spans="1:9" x14ac:dyDescent="0.25">
      <c r="A1462">
        <f t="shared" si="107"/>
        <v>20.291666666666664</v>
      </c>
      <c r="B1462" t="s">
        <v>23</v>
      </c>
      <c r="C1462" t="s">
        <v>11</v>
      </c>
      <c r="D1462">
        <v>216</v>
      </c>
      <c r="E1462">
        <f t="shared" si="110"/>
        <v>75</v>
      </c>
      <c r="F1462" s="22">
        <f>'2085GL_Z'!$V16</f>
        <v>0.32420712244139449</v>
      </c>
      <c r="G1462" s="22" t="s">
        <v>33</v>
      </c>
      <c r="H1462" s="22">
        <f>'2085GL_Z'!$V16</f>
        <v>0.32420712244139449</v>
      </c>
      <c r="I1462" t="str">
        <f t="shared" si="108"/>
        <v>GL2085;zomer;216;75;0.324207122441394;TRUE;0.324207122441394</v>
      </c>
    </row>
    <row r="1463" spans="1:9" x14ac:dyDescent="0.25">
      <c r="A1463">
        <f t="shared" si="107"/>
        <v>20.291666666666664</v>
      </c>
      <c r="B1463" t="s">
        <v>23</v>
      </c>
      <c r="C1463" t="s">
        <v>11</v>
      </c>
      <c r="D1463">
        <v>216</v>
      </c>
      <c r="E1463">
        <f t="shared" si="110"/>
        <v>80</v>
      </c>
      <c r="F1463" s="22">
        <f>'2085GL_Z'!$V17</f>
        <v>0.26065904818188168</v>
      </c>
      <c r="G1463" s="22" t="s">
        <v>33</v>
      </c>
      <c r="H1463" s="22">
        <f>'2085GL_Z'!$V17</f>
        <v>0.26065904818188168</v>
      </c>
      <c r="I1463" t="str">
        <f t="shared" si="108"/>
        <v>GL2085;zomer;216;80;0.260659048181882;TRUE;0.260659048181882</v>
      </c>
    </row>
    <row r="1464" spans="1:9" x14ac:dyDescent="0.25">
      <c r="A1464">
        <f t="shared" si="107"/>
        <v>20.291666666666664</v>
      </c>
      <c r="B1464" t="s">
        <v>23</v>
      </c>
      <c r="C1464" t="s">
        <v>11</v>
      </c>
      <c r="D1464">
        <v>216</v>
      </c>
      <c r="E1464">
        <f t="shared" si="110"/>
        <v>85</v>
      </c>
      <c r="F1464" s="22">
        <f>'2085GL_Z'!$V18</f>
        <v>0.20888768492148124</v>
      </c>
      <c r="G1464" s="22" t="s">
        <v>33</v>
      </c>
      <c r="H1464" s="22">
        <f>'2085GL_Z'!$V18</f>
        <v>0.20888768492148124</v>
      </c>
      <c r="I1464" t="str">
        <f t="shared" si="108"/>
        <v>GL2085;zomer;216;85;0.208887684921481;TRUE;0.208887684921481</v>
      </c>
    </row>
    <row r="1465" spans="1:9" x14ac:dyDescent="0.25">
      <c r="A1465">
        <f t="shared" si="107"/>
        <v>20.291666666666664</v>
      </c>
      <c r="B1465" t="s">
        <v>23</v>
      </c>
      <c r="C1465" t="s">
        <v>11</v>
      </c>
      <c r="D1465">
        <v>216</v>
      </c>
      <c r="E1465">
        <f t="shared" si="110"/>
        <v>90</v>
      </c>
      <c r="F1465" s="22">
        <f>'2085GL_Z'!$V19</f>
        <v>0.16683994733743257</v>
      </c>
      <c r="G1465" s="22" t="s">
        <v>33</v>
      </c>
      <c r="H1465" s="22">
        <f>'2085GL_Z'!$V19</f>
        <v>0.16683994733743257</v>
      </c>
      <c r="I1465" t="str">
        <f t="shared" si="108"/>
        <v>GL2085;zomer;216;90;0.166839947337433;TRUE;0.166839947337433</v>
      </c>
    </row>
    <row r="1466" spans="1:9" x14ac:dyDescent="0.25">
      <c r="A1466">
        <f t="shared" si="107"/>
        <v>20.291666666666664</v>
      </c>
      <c r="B1466" t="s">
        <v>23</v>
      </c>
      <c r="C1466" t="s">
        <v>11</v>
      </c>
      <c r="D1466">
        <v>216</v>
      </c>
      <c r="E1466">
        <f t="shared" si="110"/>
        <v>95</v>
      </c>
      <c r="F1466" s="22">
        <f>'2085GL_Z'!$V20</f>
        <v>0.13279748963578569</v>
      </c>
      <c r="G1466" s="22" t="s">
        <v>33</v>
      </c>
      <c r="H1466" s="22">
        <f>'2085GL_Z'!$V20</f>
        <v>0.13279748963578569</v>
      </c>
      <c r="I1466" t="str">
        <f t="shared" si="108"/>
        <v>GL2085;zomer;216;95;0.132797489635786;TRUE;0.132797489635786</v>
      </c>
    </row>
    <row r="1467" spans="1:9" x14ac:dyDescent="0.25">
      <c r="A1467">
        <f t="shared" si="107"/>
        <v>20.291666666666664</v>
      </c>
      <c r="B1467" t="s">
        <v>23</v>
      </c>
      <c r="C1467" t="s">
        <v>11</v>
      </c>
      <c r="D1467">
        <v>216</v>
      </c>
      <c r="E1467">
        <f t="shared" si="110"/>
        <v>100</v>
      </c>
      <c r="F1467" s="22">
        <f>'2085GL_Z'!$V21</f>
        <v>0.10532601593051744</v>
      </c>
      <c r="G1467" s="22" t="s">
        <v>33</v>
      </c>
      <c r="H1467" s="22">
        <f>'2085GL_Z'!$V21</f>
        <v>0.10532601593051744</v>
      </c>
      <c r="I1467" t="str">
        <f t="shared" si="108"/>
        <v>GL2085;zomer;216;100;0.105326015930517;TRUE;0.105326015930517</v>
      </c>
    </row>
    <row r="1468" spans="1:9" x14ac:dyDescent="0.25">
      <c r="A1468">
        <f t="shared" si="107"/>
        <v>20.291666666666664</v>
      </c>
      <c r="B1468" t="s">
        <v>23</v>
      </c>
      <c r="C1468" t="s">
        <v>11</v>
      </c>
      <c r="D1468">
        <v>216</v>
      </c>
      <c r="E1468">
        <f t="shared" si="110"/>
        <v>105</v>
      </c>
      <c r="F1468" s="22">
        <f>'2085GL_Z'!$V22</f>
        <v>8.3231661011655689E-2</v>
      </c>
      <c r="G1468" s="22" t="s">
        <v>33</v>
      </c>
      <c r="H1468" s="22">
        <f>'2085GL_Z'!$V22</f>
        <v>8.3231661011655689E-2</v>
      </c>
      <c r="I1468" t="str">
        <f t="shared" si="108"/>
        <v>GL2085;zomer;216;105;8.32316610116557E-02;TRUE;8.32316610116557E-02</v>
      </c>
    </row>
    <row r="1469" spans="1:9" x14ac:dyDescent="0.25">
      <c r="A1469">
        <f t="shared" si="107"/>
        <v>20.291666666666664</v>
      </c>
      <c r="B1469" t="s">
        <v>23</v>
      </c>
      <c r="C1469" t="s">
        <v>11</v>
      </c>
      <c r="D1469">
        <v>216</v>
      </c>
      <c r="E1469">
        <f t="shared" si="110"/>
        <v>110</v>
      </c>
      <c r="F1469" s="22">
        <f>'2085GL_Z'!$V23</f>
        <v>6.5523542225574327E-2</v>
      </c>
      <c r="G1469" s="22" t="s">
        <v>33</v>
      </c>
      <c r="H1469" s="22">
        <f>'2085GL_Z'!$V23</f>
        <v>6.5523542225574327E-2</v>
      </c>
      <c r="I1469" t="str">
        <f t="shared" si="108"/>
        <v>GL2085;zomer;216;110;6.55235422255743E-02;TRUE;6.55235422255743E-02</v>
      </c>
    </row>
    <row r="1470" spans="1:9" x14ac:dyDescent="0.25">
      <c r="A1470">
        <f t="shared" si="107"/>
        <v>20.291666666666664</v>
      </c>
      <c r="B1470" t="s">
        <v>23</v>
      </c>
      <c r="C1470" t="s">
        <v>11</v>
      </c>
      <c r="D1470">
        <v>216</v>
      </c>
      <c r="E1470">
        <f t="shared" si="110"/>
        <v>115</v>
      </c>
      <c r="F1470" s="22">
        <f>'2085GL_Z'!$V24</f>
        <v>5.1381686184738012E-2</v>
      </c>
      <c r="G1470" s="22" t="s">
        <v>33</v>
      </c>
      <c r="H1470" s="22">
        <f>'2085GL_Z'!$V24</f>
        <v>5.1381686184738012E-2</v>
      </c>
      <c r="I1470" t="str">
        <f t="shared" si="108"/>
        <v>GL2085;zomer;216;115;0.051381686184738;TRUE;0.051381686184738</v>
      </c>
    </row>
    <row r="1471" spans="1:9" x14ac:dyDescent="0.25">
      <c r="A1471">
        <f t="shared" si="107"/>
        <v>20.291666666666664</v>
      </c>
      <c r="B1471" t="s">
        <v>23</v>
      </c>
      <c r="C1471" t="s">
        <v>11</v>
      </c>
      <c r="D1471">
        <v>216</v>
      </c>
      <c r="E1471">
        <f t="shared" si="110"/>
        <v>120</v>
      </c>
      <c r="F1471" s="22">
        <f>'2085GL_Z'!$V25</f>
        <v>4.0129626565494625E-2</v>
      </c>
      <c r="G1471" s="22" t="s">
        <v>33</v>
      </c>
      <c r="H1471" s="22">
        <f>'2085GL_Z'!$V25</f>
        <v>4.0129626565494625E-2</v>
      </c>
      <c r="I1471" t="str">
        <f t="shared" si="108"/>
        <v>GL2085;zomer;216;120;4.01296265654946E-02;TRUE;4.01296265654946E-02</v>
      </c>
    </row>
    <row r="1472" spans="1:9" x14ac:dyDescent="0.25">
      <c r="A1472">
        <f t="shared" si="107"/>
        <v>20.291666666666664</v>
      </c>
      <c r="B1472" t="s">
        <v>23</v>
      </c>
      <c r="C1472" t="s">
        <v>11</v>
      </c>
      <c r="D1472">
        <v>216</v>
      </c>
      <c r="E1472">
        <f t="shared" si="110"/>
        <v>125</v>
      </c>
      <c r="F1472" s="22">
        <f>'2085GL_Z'!$V26</f>
        <v>3.1211052261362546E-2</v>
      </c>
      <c r="G1472" s="22" t="s">
        <v>33</v>
      </c>
      <c r="H1472" s="22">
        <f>'2085GL_Z'!$V26</f>
        <v>3.1211052261362546E-2</v>
      </c>
      <c r="I1472" t="str">
        <f t="shared" si="108"/>
        <v>GL2085;zomer;216;125;3.12110522613625E-02;TRUE;3.12110522613625E-02</v>
      </c>
    </row>
    <row r="1473" spans="1:9" x14ac:dyDescent="0.25">
      <c r="A1473">
        <f t="shared" si="107"/>
        <v>20.291666666666664</v>
      </c>
      <c r="B1473" t="s">
        <v>23</v>
      </c>
      <c r="C1473" t="s">
        <v>11</v>
      </c>
      <c r="D1473">
        <v>216</v>
      </c>
      <c r="E1473">
        <f t="shared" si="110"/>
        <v>130</v>
      </c>
      <c r="F1473" s="22">
        <f>'2085GL_Z'!$V27</f>
        <v>2.4169959487716733E-2</v>
      </c>
      <c r="G1473" s="22" t="s">
        <v>33</v>
      </c>
      <c r="H1473" s="22">
        <f>'2085GL_Z'!$V27</f>
        <v>2.4169959487716733E-2</v>
      </c>
      <c r="I1473" t="str">
        <f t="shared" si="108"/>
        <v>GL2085;zomer;216;130;2.41699594877167E-02;TRUE;2.41699594877167E-02</v>
      </c>
    </row>
    <row r="1474" spans="1:9" x14ac:dyDescent="0.25">
      <c r="A1474">
        <f t="shared" ref="A1474:A1537" si="111">IF(C1474="zomer",24/D1474*365.25 * 6/12,24/D1474*365.25 * 6/12)</f>
        <v>20.291666666666664</v>
      </c>
      <c r="B1474" t="s">
        <v>23</v>
      </c>
      <c r="C1474" t="s">
        <v>11</v>
      </c>
      <c r="D1474">
        <v>216</v>
      </c>
      <c r="E1474">
        <f t="shared" si="110"/>
        <v>135</v>
      </c>
      <c r="F1474" s="22">
        <f>'2085GL_Z'!$V28</f>
        <v>1.8633827869758889E-2</v>
      </c>
      <c r="G1474" s="22" t="s">
        <v>33</v>
      </c>
      <c r="H1474" s="22">
        <f>'2085GL_Z'!$V28</f>
        <v>1.8633827869758889E-2</v>
      </c>
      <c r="I1474" t="str">
        <f t="shared" ref="I1474:I1537" si="112">CONCATENATEWITHDELIMITER(B1474:H1474,";")</f>
        <v>GL2085;zomer;216;135;1.86338278697589E-02;TRUE;1.86338278697589E-02</v>
      </c>
    </row>
    <row r="1475" spans="1:9" x14ac:dyDescent="0.25">
      <c r="A1475">
        <f t="shared" si="111"/>
        <v>20.291666666666664</v>
      </c>
      <c r="B1475" t="s">
        <v>23</v>
      </c>
      <c r="C1475" t="s">
        <v>11</v>
      </c>
      <c r="D1475">
        <v>216</v>
      </c>
      <c r="E1475">
        <f t="shared" si="110"/>
        <v>140</v>
      </c>
      <c r="F1475" s="22">
        <f>'2085GL_Z'!$V29</f>
        <v>1.4299399816785283E-2</v>
      </c>
      <c r="G1475" s="22" t="s">
        <v>33</v>
      </c>
      <c r="H1475" s="22">
        <f>'2085GL_Z'!$V29</f>
        <v>1.4299399816785283E-2</v>
      </c>
      <c r="I1475" t="str">
        <f t="shared" si="112"/>
        <v>GL2085;zomer;216;140;1.42993998167853E-02;TRUE;1.42993998167853E-02</v>
      </c>
    </row>
    <row r="1476" spans="1:9" x14ac:dyDescent="0.25">
      <c r="A1476">
        <f t="shared" si="111"/>
        <v>20.291666666666664</v>
      </c>
      <c r="B1476" t="s">
        <v>23</v>
      </c>
      <c r="C1476" t="s">
        <v>11</v>
      </c>
      <c r="D1476">
        <v>216</v>
      </c>
      <c r="E1476">
        <f t="shared" si="110"/>
        <v>145</v>
      </c>
      <c r="F1476" s="22">
        <f>'2085GL_Z'!$V30</f>
        <v>1.0920695263028364E-2</v>
      </c>
      <c r="G1476" s="22" t="s">
        <v>33</v>
      </c>
      <c r="H1476" s="22">
        <f>'2085GL_Z'!$V30</f>
        <v>1.0920695263028364E-2</v>
      </c>
      <c r="I1476" t="str">
        <f t="shared" si="112"/>
        <v>GL2085;zomer;216;145;1.09206952630284E-02;TRUE;1.09206952630284E-02</v>
      </c>
    </row>
    <row r="1477" spans="1:9" x14ac:dyDescent="0.25">
      <c r="A1477">
        <f t="shared" si="111"/>
        <v>20.291666666666664</v>
      </c>
      <c r="B1477" t="s">
        <v>23</v>
      </c>
      <c r="C1477" t="s">
        <v>11</v>
      </c>
      <c r="D1477">
        <v>216</v>
      </c>
      <c r="E1477">
        <f t="shared" si="110"/>
        <v>150</v>
      </c>
      <c r="F1477" s="22">
        <f>'2085GL_Z'!$V31</f>
        <v>8.298940756863462E-3</v>
      </c>
      <c r="G1477" s="22" t="s">
        <v>33</v>
      </c>
      <c r="H1477" s="22">
        <f>'2085GL_Z'!$V31</f>
        <v>8.298940756863462E-3</v>
      </c>
      <c r="I1477" t="str">
        <f t="shared" si="112"/>
        <v>GL2085;zomer;216;150;8.29894075686346E-03;TRUE;8.29894075686346E-03</v>
      </c>
    </row>
    <row r="1478" spans="1:9" x14ac:dyDescent="0.25">
      <c r="A1478">
        <f t="shared" si="111"/>
        <v>20.291666666666664</v>
      </c>
      <c r="B1478" t="s">
        <v>23</v>
      </c>
      <c r="C1478" t="s">
        <v>11</v>
      </c>
      <c r="D1478">
        <v>216</v>
      </c>
      <c r="E1478">
        <f t="shared" si="110"/>
        <v>155</v>
      </c>
      <c r="F1478" s="22">
        <f>'2085GL_Z'!$V32</f>
        <v>2.4107237805605187E-2</v>
      </c>
      <c r="G1478" s="22" t="s">
        <v>33</v>
      </c>
      <c r="H1478" s="22">
        <f>'2085GL_Z'!$V32</f>
        <v>2.4107237805605187E-2</v>
      </c>
      <c r="I1478" t="str">
        <f t="shared" si="112"/>
        <v>GL2085;zomer;216;155;2.41072378056052E-02;TRUE;2.41072378056052E-02</v>
      </c>
    </row>
    <row r="1479" spans="1:9" x14ac:dyDescent="0.25">
      <c r="A1479">
        <f t="shared" si="111"/>
        <v>182.625</v>
      </c>
      <c r="B1479" t="s">
        <v>23</v>
      </c>
      <c r="C1479" t="s">
        <v>7</v>
      </c>
      <c r="D1479">
        <v>24</v>
      </c>
      <c r="E1479">
        <v>15</v>
      </c>
      <c r="F1479" s="22">
        <f>'2085GL_W'!$F4</f>
        <v>360.62333805104629</v>
      </c>
      <c r="G1479" s="22" t="s">
        <v>33</v>
      </c>
      <c r="H1479" s="22">
        <f>'2085GL_W'!$F4</f>
        <v>360.62333805104629</v>
      </c>
      <c r="I1479" t="str">
        <f t="shared" si="112"/>
        <v>GL2085;winter;24;15;360.623338051046;TRUE;360.623338051046</v>
      </c>
    </row>
    <row r="1480" spans="1:9" x14ac:dyDescent="0.25">
      <c r="A1480">
        <f t="shared" si="111"/>
        <v>182.625</v>
      </c>
      <c r="B1480" t="s">
        <v>23</v>
      </c>
      <c r="C1480" t="s">
        <v>7</v>
      </c>
      <c r="D1480">
        <v>24</v>
      </c>
      <c r="E1480">
        <f>E1479+5</f>
        <v>20</v>
      </c>
      <c r="F1480" s="22">
        <f>'2085GL_W'!$F5</f>
        <v>2.7064647528039147</v>
      </c>
      <c r="G1480" s="22" t="s">
        <v>33</v>
      </c>
      <c r="H1480" s="22">
        <f>'2085GL_W'!$F5</f>
        <v>2.7064647528039147</v>
      </c>
      <c r="I1480" t="str">
        <f t="shared" si="112"/>
        <v>GL2085;winter;24;20;2.70646475280391;TRUE;2.70646475280391</v>
      </c>
    </row>
    <row r="1481" spans="1:9" x14ac:dyDescent="0.25">
      <c r="A1481">
        <f t="shared" si="111"/>
        <v>182.625</v>
      </c>
      <c r="B1481" t="s">
        <v>23</v>
      </c>
      <c r="C1481" t="s">
        <v>7</v>
      </c>
      <c r="D1481">
        <v>24</v>
      </c>
      <c r="E1481">
        <f t="shared" ref="E1481:E1495" si="113">E1480+5</f>
        <v>25</v>
      </c>
      <c r="F1481" s="22">
        <f>'2085GL_W'!$F6</f>
        <v>1.0798282460901267</v>
      </c>
      <c r="G1481" s="22" t="s">
        <v>33</v>
      </c>
      <c r="H1481" s="22">
        <f>'2085GL_W'!$F6</f>
        <v>1.0798282460901267</v>
      </c>
      <c r="I1481" t="str">
        <f t="shared" si="112"/>
        <v>GL2085;winter;24;25;1.07982824609013;TRUE;1.07982824609013</v>
      </c>
    </row>
    <row r="1482" spans="1:9" x14ac:dyDescent="0.25">
      <c r="A1482">
        <f t="shared" si="111"/>
        <v>182.625</v>
      </c>
      <c r="B1482" t="s">
        <v>23</v>
      </c>
      <c r="C1482" t="s">
        <v>7</v>
      </c>
      <c r="D1482">
        <v>24</v>
      </c>
      <c r="E1482">
        <f t="shared" si="113"/>
        <v>30</v>
      </c>
      <c r="F1482" s="22">
        <f>'2085GL_W'!$F7</f>
        <v>0.45487592494104956</v>
      </c>
      <c r="G1482" s="22" t="s">
        <v>33</v>
      </c>
      <c r="H1482" s="22">
        <f>'2085GL_W'!$F7</f>
        <v>0.45487592494104956</v>
      </c>
      <c r="I1482" t="str">
        <f t="shared" si="112"/>
        <v>GL2085;winter;24;30;0.45487592494105;TRUE;0.45487592494105</v>
      </c>
    </row>
    <row r="1483" spans="1:9" x14ac:dyDescent="0.25">
      <c r="A1483">
        <f t="shared" si="111"/>
        <v>182.625</v>
      </c>
      <c r="B1483" t="s">
        <v>23</v>
      </c>
      <c r="C1483" t="s">
        <v>7</v>
      </c>
      <c r="D1483">
        <v>24</v>
      </c>
      <c r="E1483">
        <f t="shared" si="113"/>
        <v>35</v>
      </c>
      <c r="F1483" s="22">
        <f>'2085GL_W'!$F8</f>
        <v>0.2010825022243159</v>
      </c>
      <c r="G1483" s="22" t="s">
        <v>33</v>
      </c>
      <c r="H1483" s="22">
        <f>'2085GL_W'!$F8</f>
        <v>0.2010825022243159</v>
      </c>
      <c r="I1483" t="str">
        <f t="shared" si="112"/>
        <v>GL2085;winter;24;35;0.201082502224316;TRUE;0.201082502224316</v>
      </c>
    </row>
    <row r="1484" spans="1:9" x14ac:dyDescent="0.25">
      <c r="A1484">
        <f t="shared" si="111"/>
        <v>182.625</v>
      </c>
      <c r="B1484" t="s">
        <v>23</v>
      </c>
      <c r="C1484" t="s">
        <v>7</v>
      </c>
      <c r="D1484">
        <v>24</v>
      </c>
      <c r="E1484">
        <f t="shared" si="113"/>
        <v>40</v>
      </c>
      <c r="F1484" s="22">
        <f>'2085GL_W'!$F9</f>
        <v>9.280637901026384E-2</v>
      </c>
      <c r="G1484" s="22" t="s">
        <v>33</v>
      </c>
      <c r="H1484" s="22">
        <f>'2085GL_W'!$F9</f>
        <v>9.280637901026384E-2</v>
      </c>
      <c r="I1484" t="str">
        <f t="shared" si="112"/>
        <v>GL2085;winter;24;40;9.28063790102638E-02;TRUE;9.28063790102638E-02</v>
      </c>
    </row>
    <row r="1485" spans="1:9" x14ac:dyDescent="0.25">
      <c r="A1485">
        <f t="shared" si="111"/>
        <v>182.625</v>
      </c>
      <c r="B1485" t="s">
        <v>23</v>
      </c>
      <c r="C1485" t="s">
        <v>7</v>
      </c>
      <c r="D1485">
        <v>24</v>
      </c>
      <c r="E1485">
        <f t="shared" si="113"/>
        <v>45</v>
      </c>
      <c r="F1485" s="22">
        <f>'2085GL_W'!$F10</f>
        <v>4.4526570187717288E-2</v>
      </c>
      <c r="G1485" s="22" t="s">
        <v>33</v>
      </c>
      <c r="H1485" s="22">
        <f>'2085GL_W'!$F10</f>
        <v>4.4526570187717288E-2</v>
      </c>
      <c r="I1485" t="str">
        <f t="shared" si="112"/>
        <v>GL2085;winter;24;45;4.45265701877173E-02;TRUE;4.45265701877173E-02</v>
      </c>
    </row>
    <row r="1486" spans="1:9" x14ac:dyDescent="0.25">
      <c r="A1486">
        <f t="shared" si="111"/>
        <v>182.625</v>
      </c>
      <c r="B1486" t="s">
        <v>23</v>
      </c>
      <c r="C1486" t="s">
        <v>7</v>
      </c>
      <c r="D1486">
        <v>24</v>
      </c>
      <c r="E1486">
        <f t="shared" si="113"/>
        <v>50</v>
      </c>
      <c r="F1486" s="22">
        <f>'2085GL_W'!$F11</f>
        <v>2.2125127851857732E-2</v>
      </c>
      <c r="G1486" s="22" t="s">
        <v>33</v>
      </c>
      <c r="H1486" s="22">
        <f>'2085GL_W'!$F11</f>
        <v>2.2125127851857732E-2</v>
      </c>
      <c r="I1486" t="str">
        <f t="shared" si="112"/>
        <v>GL2085;winter;24;50;2.21251278518577E-02;TRUE;2.21251278518577E-02</v>
      </c>
    </row>
    <row r="1487" spans="1:9" x14ac:dyDescent="0.25">
      <c r="A1487">
        <f t="shared" si="111"/>
        <v>182.625</v>
      </c>
      <c r="B1487" t="s">
        <v>23</v>
      </c>
      <c r="C1487" t="s">
        <v>7</v>
      </c>
      <c r="D1487">
        <v>24</v>
      </c>
      <c r="E1487">
        <f t="shared" si="113"/>
        <v>55</v>
      </c>
      <c r="F1487" s="22">
        <f>'2085GL_W'!$F12</f>
        <v>1.1349753077247287E-2</v>
      </c>
      <c r="G1487" s="22" t="s">
        <v>33</v>
      </c>
      <c r="H1487" s="22">
        <f>'2085GL_W'!$F12</f>
        <v>1.1349753077247287E-2</v>
      </c>
      <c r="I1487" t="str">
        <f t="shared" si="112"/>
        <v>GL2085;winter;24;55;1.13497530772473E-02;TRUE;1.13497530772473E-02</v>
      </c>
    </row>
    <row r="1488" spans="1:9" x14ac:dyDescent="0.25">
      <c r="A1488">
        <f t="shared" si="111"/>
        <v>182.625</v>
      </c>
      <c r="B1488" t="s">
        <v>23</v>
      </c>
      <c r="C1488" t="s">
        <v>7</v>
      </c>
      <c r="D1488">
        <v>24</v>
      </c>
      <c r="E1488">
        <f t="shared" si="113"/>
        <v>60</v>
      </c>
      <c r="F1488" s="22">
        <f>'2085GL_W'!$F13</f>
        <v>5.9939458089004593E-3</v>
      </c>
      <c r="G1488" s="22" t="s">
        <v>33</v>
      </c>
      <c r="H1488" s="22">
        <f>'2085GL_W'!$F13</f>
        <v>5.9939458089004593E-3</v>
      </c>
      <c r="I1488" t="str">
        <f t="shared" si="112"/>
        <v>GL2085;winter;24;60;5.99394580890046E-03;TRUE;5.99394580890046E-03</v>
      </c>
    </row>
    <row r="1489" spans="1:9" x14ac:dyDescent="0.25">
      <c r="A1489">
        <f t="shared" si="111"/>
        <v>182.625</v>
      </c>
      <c r="B1489" t="s">
        <v>23</v>
      </c>
      <c r="C1489" t="s">
        <v>7</v>
      </c>
      <c r="D1489">
        <v>24</v>
      </c>
      <c r="E1489">
        <f t="shared" si="113"/>
        <v>65</v>
      </c>
      <c r="F1489" s="22">
        <f>'2085GL_W'!$F14</f>
        <v>3.2509380805484612E-3</v>
      </c>
      <c r="G1489" s="22" t="s">
        <v>33</v>
      </c>
      <c r="H1489" s="22">
        <f>'2085GL_W'!$F14</f>
        <v>3.2509380805484612E-3</v>
      </c>
      <c r="I1489" t="str">
        <f t="shared" si="112"/>
        <v>GL2085;winter;24;65;3.25093808054846E-03;TRUE;3.25093808054846E-03</v>
      </c>
    </row>
    <row r="1490" spans="1:9" x14ac:dyDescent="0.25">
      <c r="A1490">
        <f t="shared" si="111"/>
        <v>182.625</v>
      </c>
      <c r="B1490" t="s">
        <v>23</v>
      </c>
      <c r="C1490" t="s">
        <v>7</v>
      </c>
      <c r="D1490">
        <v>24</v>
      </c>
      <c r="E1490">
        <f t="shared" si="113"/>
        <v>70</v>
      </c>
      <c r="F1490" s="22">
        <f>'2085GL_W'!$F15</f>
        <v>1.8069464246387489E-3</v>
      </c>
      <c r="G1490" s="22" t="s">
        <v>33</v>
      </c>
      <c r="H1490" s="22">
        <f>'2085GL_W'!$F15</f>
        <v>1.8069464246387489E-3</v>
      </c>
      <c r="I1490" t="str">
        <f t="shared" si="112"/>
        <v>GL2085;winter;24;70;1.80694642463875E-03;TRUE;1.80694642463875E-03</v>
      </c>
    </row>
    <row r="1491" spans="1:9" x14ac:dyDescent="0.25">
      <c r="A1491">
        <f t="shared" si="111"/>
        <v>182.625</v>
      </c>
      <c r="B1491" t="s">
        <v>23</v>
      </c>
      <c r="C1491" t="s">
        <v>7</v>
      </c>
      <c r="D1491">
        <v>24</v>
      </c>
      <c r="E1491">
        <f t="shared" si="113"/>
        <v>75</v>
      </c>
      <c r="F1491" s="22">
        <f>'2085GL_W'!$F16</f>
        <v>1.0273099330071281E-3</v>
      </c>
      <c r="G1491" s="22" t="s">
        <v>33</v>
      </c>
      <c r="H1491" s="22">
        <f>'2085GL_W'!$F16</f>
        <v>1.0273099330071281E-3</v>
      </c>
      <c r="I1491" t="str">
        <f t="shared" si="112"/>
        <v>GL2085;winter;24;75;1.02730993300713E-03;TRUE;1.02730993300713E-03</v>
      </c>
    </row>
    <row r="1492" spans="1:9" x14ac:dyDescent="0.25">
      <c r="A1492">
        <f t="shared" si="111"/>
        <v>182.625</v>
      </c>
      <c r="B1492" t="s">
        <v>23</v>
      </c>
      <c r="C1492" t="s">
        <v>7</v>
      </c>
      <c r="D1492">
        <v>24</v>
      </c>
      <c r="E1492">
        <f t="shared" si="113"/>
        <v>80</v>
      </c>
      <c r="F1492" s="22">
        <f>'2085GL_W'!$F17</f>
        <v>5.9641414701725479E-4</v>
      </c>
      <c r="G1492" s="22" t="s">
        <v>33</v>
      </c>
      <c r="H1492" s="22">
        <f>'2085GL_W'!$F17</f>
        <v>5.9641414701725479E-4</v>
      </c>
      <c r="I1492" t="str">
        <f t="shared" si="112"/>
        <v>GL2085;winter;24;80;5.96414147017255E-04;TRUE;5.96414147017255E-04</v>
      </c>
    </row>
    <row r="1493" spans="1:9" x14ac:dyDescent="0.25">
      <c r="A1493">
        <f t="shared" si="111"/>
        <v>182.625</v>
      </c>
      <c r="B1493" t="s">
        <v>23</v>
      </c>
      <c r="C1493" t="s">
        <v>7</v>
      </c>
      <c r="D1493">
        <v>24</v>
      </c>
      <c r="E1493">
        <f t="shared" si="113"/>
        <v>85</v>
      </c>
      <c r="F1493" s="22">
        <f>'2085GL_W'!$F18</f>
        <v>3.5304796856424671E-4</v>
      </c>
      <c r="G1493" s="22" t="s">
        <v>33</v>
      </c>
      <c r="H1493" s="22">
        <f>'2085GL_W'!$F18</f>
        <v>3.5304796856424671E-4</v>
      </c>
      <c r="I1493" t="str">
        <f t="shared" si="112"/>
        <v>GL2085;winter;24;85;3.53047968564247E-04;TRUE;3.53047968564247E-04</v>
      </c>
    </row>
    <row r="1494" spans="1:9" x14ac:dyDescent="0.25">
      <c r="A1494">
        <f t="shared" si="111"/>
        <v>182.625</v>
      </c>
      <c r="B1494" t="s">
        <v>23</v>
      </c>
      <c r="C1494" t="s">
        <v>7</v>
      </c>
      <c r="D1494">
        <v>24</v>
      </c>
      <c r="E1494">
        <f t="shared" si="113"/>
        <v>90</v>
      </c>
      <c r="F1494" s="22">
        <f>'2085GL_W'!$F19</f>
        <v>2.1280191072161903E-4</v>
      </c>
      <c r="G1494" s="22" t="s">
        <v>33</v>
      </c>
      <c r="H1494" s="22">
        <f>'2085GL_W'!$F19</f>
        <v>2.1280191072161903E-4</v>
      </c>
      <c r="I1494" t="str">
        <f t="shared" si="112"/>
        <v>GL2085;winter;24;90;2.12801910721619E-04;TRUE;2.12801910721619E-04</v>
      </c>
    </row>
    <row r="1495" spans="1:9" x14ac:dyDescent="0.25">
      <c r="A1495">
        <f t="shared" si="111"/>
        <v>182.625</v>
      </c>
      <c r="B1495" t="s">
        <v>23</v>
      </c>
      <c r="C1495" t="s">
        <v>7</v>
      </c>
      <c r="D1495">
        <v>24</v>
      </c>
      <c r="E1495">
        <f t="shared" si="113"/>
        <v>95</v>
      </c>
      <c r="F1495" s="22">
        <f>'2085GL_W'!$F20</f>
        <v>3.6128849383807333E-4</v>
      </c>
      <c r="G1495" s="22" t="s">
        <v>33</v>
      </c>
      <c r="H1495" s="22">
        <f>'2085GL_W'!$F20</f>
        <v>3.6128849383807333E-4</v>
      </c>
      <c r="I1495" t="str">
        <f t="shared" si="112"/>
        <v>GL2085;winter;24;95;3.61288493838073E-04;TRUE;3.61288493838073E-04</v>
      </c>
    </row>
    <row r="1496" spans="1:9" x14ac:dyDescent="0.25">
      <c r="A1496">
        <f t="shared" si="111"/>
        <v>91.3125</v>
      </c>
      <c r="B1496" t="s">
        <v>23</v>
      </c>
      <c r="C1496" t="s">
        <v>7</v>
      </c>
      <c r="D1496">
        <v>48</v>
      </c>
      <c r="E1496">
        <v>15</v>
      </c>
      <c r="F1496" s="22">
        <f>'2085GL_W'!$J4</f>
        <v>172.47601313173885</v>
      </c>
      <c r="G1496" s="22" t="s">
        <v>33</v>
      </c>
      <c r="H1496" s="22">
        <f>'2085GL_W'!$J4</f>
        <v>172.47601313173885</v>
      </c>
      <c r="I1496" t="str">
        <f t="shared" si="112"/>
        <v>GL2085;winter;48;15;172.476013131739;TRUE;172.476013131739</v>
      </c>
    </row>
    <row r="1497" spans="1:9" x14ac:dyDescent="0.25">
      <c r="A1497">
        <f t="shared" si="111"/>
        <v>91.3125</v>
      </c>
      <c r="B1497" t="s">
        <v>23</v>
      </c>
      <c r="C1497" t="s">
        <v>7</v>
      </c>
      <c r="D1497">
        <v>48</v>
      </c>
      <c r="E1497">
        <f>E1496+5</f>
        <v>20</v>
      </c>
      <c r="F1497" s="22">
        <f>'2085GL_W'!$J5</f>
        <v>4.9877954809668834</v>
      </c>
      <c r="G1497" s="22" t="s">
        <v>33</v>
      </c>
      <c r="H1497" s="22">
        <f>'2085GL_W'!$J5</f>
        <v>4.9877954809668834</v>
      </c>
      <c r="I1497" t="str">
        <f t="shared" si="112"/>
        <v>GL2085;winter;48;20;4.98779548096688;TRUE;4.98779548096688</v>
      </c>
    </row>
    <row r="1498" spans="1:9" x14ac:dyDescent="0.25">
      <c r="A1498">
        <f t="shared" si="111"/>
        <v>91.3125</v>
      </c>
      <c r="B1498" t="s">
        <v>23</v>
      </c>
      <c r="C1498" t="s">
        <v>7</v>
      </c>
      <c r="D1498">
        <v>48</v>
      </c>
      <c r="E1498">
        <f t="shared" ref="E1498:E1514" si="114">E1497+5</f>
        <v>25</v>
      </c>
      <c r="F1498" s="22">
        <f>'2085GL_W'!$J6</f>
        <v>2.4709370034736975</v>
      </c>
      <c r="G1498" s="22" t="s">
        <v>33</v>
      </c>
      <c r="H1498" s="22">
        <f>'2085GL_W'!$J6</f>
        <v>2.4709370034736975</v>
      </c>
      <c r="I1498" t="str">
        <f t="shared" si="112"/>
        <v>GL2085;winter;48;25;2.4709370034737;TRUE;2.4709370034737</v>
      </c>
    </row>
    <row r="1499" spans="1:9" x14ac:dyDescent="0.25">
      <c r="A1499">
        <f t="shared" si="111"/>
        <v>91.3125</v>
      </c>
      <c r="B1499" t="s">
        <v>23</v>
      </c>
      <c r="C1499" t="s">
        <v>7</v>
      </c>
      <c r="D1499">
        <v>48</v>
      </c>
      <c r="E1499">
        <f t="shared" si="114"/>
        <v>30</v>
      </c>
      <c r="F1499" s="22">
        <f>'2085GL_W'!$J7</f>
        <v>1.255431694109632</v>
      </c>
      <c r="G1499" s="22" t="s">
        <v>33</v>
      </c>
      <c r="H1499" s="22">
        <f>'2085GL_W'!$J7</f>
        <v>1.255431694109632</v>
      </c>
      <c r="I1499" t="str">
        <f t="shared" si="112"/>
        <v>GL2085;winter;48;30;1.25543169410963;TRUE;1.25543169410963</v>
      </c>
    </row>
    <row r="1500" spans="1:9" x14ac:dyDescent="0.25">
      <c r="A1500">
        <f t="shared" si="111"/>
        <v>91.3125</v>
      </c>
      <c r="B1500" t="s">
        <v>23</v>
      </c>
      <c r="C1500" t="s">
        <v>7</v>
      </c>
      <c r="D1500">
        <v>48</v>
      </c>
      <c r="E1500">
        <f t="shared" si="114"/>
        <v>35</v>
      </c>
      <c r="F1500" s="22">
        <f>'2085GL_W'!$J8</f>
        <v>0.65303824517945497</v>
      </c>
      <c r="G1500" s="22" t="s">
        <v>33</v>
      </c>
      <c r="H1500" s="22">
        <f>'2085GL_W'!$J8</f>
        <v>0.65303824517945497</v>
      </c>
      <c r="I1500" t="str">
        <f t="shared" si="112"/>
        <v>GL2085;winter;48;35;0.653038245179455;TRUE;0.653038245179455</v>
      </c>
    </row>
    <row r="1501" spans="1:9" x14ac:dyDescent="0.25">
      <c r="A1501">
        <f t="shared" si="111"/>
        <v>91.3125</v>
      </c>
      <c r="B1501" t="s">
        <v>23</v>
      </c>
      <c r="C1501" t="s">
        <v>7</v>
      </c>
      <c r="D1501">
        <v>48</v>
      </c>
      <c r="E1501">
        <f t="shared" si="114"/>
        <v>40</v>
      </c>
      <c r="F1501" s="22">
        <f>'2085GL_W'!$J9</f>
        <v>0.34722521160518455</v>
      </c>
      <c r="G1501" s="22" t="s">
        <v>33</v>
      </c>
      <c r="H1501" s="22">
        <f>'2085GL_W'!$J9</f>
        <v>0.34722521160518455</v>
      </c>
      <c r="I1501" t="str">
        <f t="shared" si="112"/>
        <v>GL2085;winter;48;40;0.347225211605185;TRUE;0.347225211605185</v>
      </c>
    </row>
    <row r="1502" spans="1:9" x14ac:dyDescent="0.25">
      <c r="A1502">
        <f t="shared" si="111"/>
        <v>91.3125</v>
      </c>
      <c r="B1502" t="s">
        <v>23</v>
      </c>
      <c r="C1502" t="s">
        <v>7</v>
      </c>
      <c r="D1502">
        <v>48</v>
      </c>
      <c r="E1502">
        <f t="shared" si="114"/>
        <v>45</v>
      </c>
      <c r="F1502" s="22">
        <f>'2085GL_W'!$J10</f>
        <v>0.18844783704066639</v>
      </c>
      <c r="G1502" s="22" t="s">
        <v>33</v>
      </c>
      <c r="H1502" s="22">
        <f>'2085GL_W'!$J10</f>
        <v>0.18844783704066639</v>
      </c>
      <c r="I1502" t="str">
        <f t="shared" si="112"/>
        <v>GL2085;winter;48;45;0.188447837040666;TRUE;0.188447837040666</v>
      </c>
    </row>
    <row r="1503" spans="1:9" x14ac:dyDescent="0.25">
      <c r="A1503">
        <f t="shared" si="111"/>
        <v>91.3125</v>
      </c>
      <c r="B1503" t="s">
        <v>23</v>
      </c>
      <c r="C1503" t="s">
        <v>7</v>
      </c>
      <c r="D1503">
        <v>48</v>
      </c>
      <c r="E1503">
        <f t="shared" si="114"/>
        <v>50</v>
      </c>
      <c r="F1503" s="22">
        <f>'2085GL_W'!$J11</f>
        <v>0.10425986914040306</v>
      </c>
      <c r="G1503" s="22" t="s">
        <v>33</v>
      </c>
      <c r="H1503" s="22">
        <f>'2085GL_W'!$J11</f>
        <v>0.10425986914040306</v>
      </c>
      <c r="I1503" t="str">
        <f t="shared" si="112"/>
        <v>GL2085;winter;48;50;0.104259869140403;TRUE;0.104259869140403</v>
      </c>
    </row>
    <row r="1504" spans="1:9" x14ac:dyDescent="0.25">
      <c r="A1504">
        <f t="shared" si="111"/>
        <v>91.3125</v>
      </c>
      <c r="B1504" t="s">
        <v>23</v>
      </c>
      <c r="C1504" t="s">
        <v>7</v>
      </c>
      <c r="D1504">
        <v>48</v>
      </c>
      <c r="E1504">
        <f t="shared" si="114"/>
        <v>55</v>
      </c>
      <c r="F1504" s="22">
        <f>'2085GL_W'!$J12</f>
        <v>5.8732655226475736E-2</v>
      </c>
      <c r="G1504" s="22" t="s">
        <v>33</v>
      </c>
      <c r="H1504" s="22">
        <f>'2085GL_W'!$J12</f>
        <v>5.8732655226475736E-2</v>
      </c>
      <c r="I1504" t="str">
        <f t="shared" si="112"/>
        <v>GL2085;winter;48;55;5.87326552264757E-02;TRUE;5.87326552264757E-02</v>
      </c>
    </row>
    <row r="1505" spans="1:9" x14ac:dyDescent="0.25">
      <c r="A1505">
        <f t="shared" si="111"/>
        <v>91.3125</v>
      </c>
      <c r="B1505" t="s">
        <v>23</v>
      </c>
      <c r="C1505" t="s">
        <v>7</v>
      </c>
      <c r="D1505">
        <v>48</v>
      </c>
      <c r="E1505">
        <f t="shared" si="114"/>
        <v>60</v>
      </c>
      <c r="F1505" s="22">
        <f>'2085GL_W'!$J13</f>
        <v>3.3652259707583752E-2</v>
      </c>
      <c r="G1505" s="22" t="s">
        <v>33</v>
      </c>
      <c r="H1505" s="22">
        <f>'2085GL_W'!$J13</f>
        <v>3.3652259707583752E-2</v>
      </c>
      <c r="I1505" t="str">
        <f t="shared" si="112"/>
        <v>GL2085;winter;48;60;3.36522597075838E-02;TRUE;3.36522597075838E-02</v>
      </c>
    </row>
    <row r="1506" spans="1:9" x14ac:dyDescent="0.25">
      <c r="A1506">
        <f t="shared" si="111"/>
        <v>91.3125</v>
      </c>
      <c r="B1506" t="s">
        <v>23</v>
      </c>
      <c r="C1506" t="s">
        <v>7</v>
      </c>
      <c r="D1506">
        <v>48</v>
      </c>
      <c r="E1506">
        <f t="shared" si="114"/>
        <v>65</v>
      </c>
      <c r="F1506" s="22">
        <f>'2085GL_W'!$J14</f>
        <v>1.9592812957778833E-2</v>
      </c>
      <c r="G1506" s="22" t="s">
        <v>33</v>
      </c>
      <c r="H1506" s="22">
        <f>'2085GL_W'!$J14</f>
        <v>1.9592812957778833E-2</v>
      </c>
      <c r="I1506" t="str">
        <f t="shared" si="112"/>
        <v>GL2085;winter;48;65;1.95928129577788E-02;TRUE;1.95928129577788E-02</v>
      </c>
    </row>
    <row r="1507" spans="1:9" x14ac:dyDescent="0.25">
      <c r="A1507">
        <f t="shared" si="111"/>
        <v>91.3125</v>
      </c>
      <c r="B1507" t="s">
        <v>23</v>
      </c>
      <c r="C1507" t="s">
        <v>7</v>
      </c>
      <c r="D1507">
        <v>48</v>
      </c>
      <c r="E1507">
        <f t="shared" si="114"/>
        <v>70</v>
      </c>
      <c r="F1507" s="22">
        <f>'2085GL_W'!$J15</f>
        <v>1.1580805676157706E-2</v>
      </c>
      <c r="G1507" s="22" t="s">
        <v>33</v>
      </c>
      <c r="H1507" s="22">
        <f>'2085GL_W'!$J15</f>
        <v>1.1580805676157706E-2</v>
      </c>
      <c r="I1507" t="str">
        <f t="shared" si="112"/>
        <v>GL2085;winter;48;70;1.15808056761577E-02;TRUE;1.15808056761577E-02</v>
      </c>
    </row>
    <row r="1508" spans="1:9" x14ac:dyDescent="0.25">
      <c r="A1508">
        <f t="shared" si="111"/>
        <v>91.3125</v>
      </c>
      <c r="B1508" t="s">
        <v>23</v>
      </c>
      <c r="C1508" t="s">
        <v>7</v>
      </c>
      <c r="D1508">
        <v>48</v>
      </c>
      <c r="E1508">
        <f t="shared" si="114"/>
        <v>75</v>
      </c>
      <c r="F1508" s="22">
        <f>'2085GL_W'!$J16</f>
        <v>6.9435789555650235E-3</v>
      </c>
      <c r="G1508" s="22" t="s">
        <v>33</v>
      </c>
      <c r="H1508" s="22">
        <f>'2085GL_W'!$J16</f>
        <v>6.9435789555650235E-3</v>
      </c>
      <c r="I1508" t="str">
        <f t="shared" si="112"/>
        <v>GL2085;winter;48;75;6.94357895556502E-03;TRUE;6.94357895556502E-03</v>
      </c>
    </row>
    <row r="1509" spans="1:9" x14ac:dyDescent="0.25">
      <c r="A1509">
        <f t="shared" si="111"/>
        <v>91.3125</v>
      </c>
      <c r="B1509" t="s">
        <v>23</v>
      </c>
      <c r="C1509" t="s">
        <v>7</v>
      </c>
      <c r="D1509">
        <v>48</v>
      </c>
      <c r="E1509">
        <f t="shared" si="114"/>
        <v>80</v>
      </c>
      <c r="F1509" s="22">
        <f>'2085GL_W'!$J17</f>
        <v>4.2199001918067818E-3</v>
      </c>
      <c r="G1509" s="22" t="s">
        <v>33</v>
      </c>
      <c r="H1509" s="22">
        <f>'2085GL_W'!$J17</f>
        <v>4.2199001918067818E-3</v>
      </c>
      <c r="I1509" t="str">
        <f t="shared" si="112"/>
        <v>GL2085;winter;48;80;4.21990019180678E-03;TRUE;4.21990019180678E-03</v>
      </c>
    </row>
    <row r="1510" spans="1:9" x14ac:dyDescent="0.25">
      <c r="A1510">
        <f t="shared" si="111"/>
        <v>91.3125</v>
      </c>
      <c r="B1510" t="s">
        <v>23</v>
      </c>
      <c r="C1510" t="s">
        <v>7</v>
      </c>
      <c r="D1510">
        <v>48</v>
      </c>
      <c r="E1510">
        <f t="shared" si="114"/>
        <v>85</v>
      </c>
      <c r="F1510" s="22">
        <f>'2085GL_W'!$J18</f>
        <v>2.5977191270181556E-3</v>
      </c>
      <c r="G1510" s="22" t="s">
        <v>33</v>
      </c>
      <c r="H1510" s="22">
        <f>'2085GL_W'!$J18</f>
        <v>2.5977191270181556E-3</v>
      </c>
      <c r="I1510" t="str">
        <f t="shared" si="112"/>
        <v>GL2085;winter;48;85;2.59771912701816E-03;TRUE;2.59771912701816E-03</v>
      </c>
    </row>
    <row r="1511" spans="1:9" x14ac:dyDescent="0.25">
      <c r="A1511">
        <f t="shared" si="111"/>
        <v>91.3125</v>
      </c>
      <c r="B1511" t="s">
        <v>23</v>
      </c>
      <c r="C1511" t="s">
        <v>7</v>
      </c>
      <c r="D1511">
        <v>48</v>
      </c>
      <c r="E1511">
        <f t="shared" si="114"/>
        <v>90</v>
      </c>
      <c r="F1511" s="22">
        <f>'2085GL_W'!$J19</f>
        <v>1.618725870058511E-3</v>
      </c>
      <c r="G1511" s="22" t="s">
        <v>33</v>
      </c>
      <c r="H1511" s="22">
        <f>'2085GL_W'!$J19</f>
        <v>1.618725870058511E-3</v>
      </c>
      <c r="I1511" t="str">
        <f t="shared" si="112"/>
        <v>GL2085;winter;48;90;1.61872587005851E-03;TRUE;1.61872587005851E-03</v>
      </c>
    </row>
    <row r="1512" spans="1:9" x14ac:dyDescent="0.25">
      <c r="A1512">
        <f t="shared" si="111"/>
        <v>91.3125</v>
      </c>
      <c r="B1512" t="s">
        <v>23</v>
      </c>
      <c r="C1512" t="s">
        <v>7</v>
      </c>
      <c r="D1512">
        <v>48</v>
      </c>
      <c r="E1512">
        <f t="shared" si="114"/>
        <v>95</v>
      </c>
      <c r="F1512" s="22">
        <f>'2085GL_W'!$J20</f>
        <v>1.020436639495325E-3</v>
      </c>
      <c r="G1512" s="22" t="s">
        <v>33</v>
      </c>
      <c r="H1512" s="22">
        <f>'2085GL_W'!$J20</f>
        <v>1.020436639495325E-3</v>
      </c>
      <c r="I1512" t="str">
        <f t="shared" si="112"/>
        <v>GL2085;winter;48;95;1.02043663949532E-03;TRUE;1.02043663949532E-03</v>
      </c>
    </row>
    <row r="1513" spans="1:9" x14ac:dyDescent="0.25">
      <c r="A1513">
        <f t="shared" si="111"/>
        <v>91.3125</v>
      </c>
      <c r="B1513" t="s">
        <v>23</v>
      </c>
      <c r="C1513" t="s">
        <v>7</v>
      </c>
      <c r="D1513">
        <v>48</v>
      </c>
      <c r="E1513">
        <f t="shared" si="114"/>
        <v>100</v>
      </c>
      <c r="F1513" s="22">
        <f>'2085GL_W'!$J21</f>
        <v>6.5041353162805654E-4</v>
      </c>
      <c r="G1513" s="22" t="s">
        <v>33</v>
      </c>
      <c r="H1513" s="22">
        <f>'2085GL_W'!$J21</f>
        <v>6.5041353162805654E-4</v>
      </c>
      <c r="I1513" t="str">
        <f t="shared" si="112"/>
        <v>GL2085;winter;48;100;6.50413531628057E-04;TRUE;6.50413531628057E-04</v>
      </c>
    </row>
    <row r="1514" spans="1:9" x14ac:dyDescent="0.25">
      <c r="A1514">
        <f t="shared" si="111"/>
        <v>91.3125</v>
      </c>
      <c r="B1514" t="s">
        <v>23</v>
      </c>
      <c r="C1514" t="s">
        <v>7</v>
      </c>
      <c r="D1514">
        <v>48</v>
      </c>
      <c r="E1514">
        <f t="shared" si="114"/>
        <v>105</v>
      </c>
      <c r="F1514" s="22">
        <f>'2085GL_W'!$J22</f>
        <v>1.2422188616699967E-3</v>
      </c>
      <c r="G1514" s="22" t="s">
        <v>33</v>
      </c>
      <c r="H1514" s="22">
        <f>'2085GL_W'!$J22</f>
        <v>1.2422188616699967E-3</v>
      </c>
      <c r="I1514" t="str">
        <f t="shared" si="112"/>
        <v>GL2085;winter;48;105;0.00124221886167;TRUE;0.00124221886167</v>
      </c>
    </row>
    <row r="1515" spans="1:9" x14ac:dyDescent="0.25">
      <c r="A1515">
        <f t="shared" si="111"/>
        <v>45.65625</v>
      </c>
      <c r="B1515" t="s">
        <v>23</v>
      </c>
      <c r="C1515" t="s">
        <v>7</v>
      </c>
      <c r="D1515">
        <v>96</v>
      </c>
      <c r="E1515">
        <v>20</v>
      </c>
      <c r="F1515" s="22">
        <f>'2085GL_W'!$N5</f>
        <v>80.748327134127194</v>
      </c>
      <c r="G1515" s="22" t="s">
        <v>33</v>
      </c>
      <c r="H1515" s="22">
        <f>'2085GL_W'!$N5</f>
        <v>80.748327134127194</v>
      </c>
      <c r="I1515" t="str">
        <f t="shared" si="112"/>
        <v>GL2085;winter;96;20;80.7483271341272;TRUE;80.7483271341272</v>
      </c>
    </row>
    <row r="1516" spans="1:9" x14ac:dyDescent="0.25">
      <c r="A1516">
        <f t="shared" si="111"/>
        <v>45.65625</v>
      </c>
      <c r="B1516" t="s">
        <v>23</v>
      </c>
      <c r="C1516" t="s">
        <v>7</v>
      </c>
      <c r="D1516">
        <v>96</v>
      </c>
      <c r="E1516">
        <f>E1515+5</f>
        <v>25</v>
      </c>
      <c r="F1516" s="22">
        <f>'2085GL_W'!$N6</f>
        <v>3.9246481598852405</v>
      </c>
      <c r="G1516" s="22" t="s">
        <v>33</v>
      </c>
      <c r="H1516" s="22">
        <f>'2085GL_W'!$N6</f>
        <v>3.9246481598852405</v>
      </c>
      <c r="I1516" t="str">
        <f t="shared" si="112"/>
        <v>GL2085;winter;96;25;3.92464815988524;TRUE;3.92464815988524</v>
      </c>
    </row>
    <row r="1517" spans="1:9" x14ac:dyDescent="0.25">
      <c r="A1517">
        <f t="shared" si="111"/>
        <v>45.65625</v>
      </c>
      <c r="B1517" t="s">
        <v>23</v>
      </c>
      <c r="C1517" t="s">
        <v>7</v>
      </c>
      <c r="D1517">
        <v>96</v>
      </c>
      <c r="E1517">
        <f t="shared" ref="E1517:E1535" si="115">E1516+5</f>
        <v>30</v>
      </c>
      <c r="F1517" s="22">
        <f>'2085GL_W'!$N7</f>
        <v>2.4469723492240449</v>
      </c>
      <c r="G1517" s="22" t="s">
        <v>33</v>
      </c>
      <c r="H1517" s="22">
        <f>'2085GL_W'!$N7</f>
        <v>2.4469723492240449</v>
      </c>
      <c r="I1517" t="str">
        <f t="shared" si="112"/>
        <v>GL2085;winter;96;30;2.44697234922404;TRUE;2.44697234922404</v>
      </c>
    </row>
    <row r="1518" spans="1:9" x14ac:dyDescent="0.25">
      <c r="A1518">
        <f t="shared" si="111"/>
        <v>45.65625</v>
      </c>
      <c r="B1518" t="s">
        <v>23</v>
      </c>
      <c r="C1518" t="s">
        <v>7</v>
      </c>
      <c r="D1518">
        <v>96</v>
      </c>
      <c r="E1518">
        <f t="shared" si="115"/>
        <v>35</v>
      </c>
      <c r="F1518" s="22">
        <f>'2085GL_W'!$N8</f>
        <v>1.5329350120058698</v>
      </c>
      <c r="G1518" s="22" t="s">
        <v>33</v>
      </c>
      <c r="H1518" s="22">
        <f>'2085GL_W'!$N8</f>
        <v>1.5329350120058698</v>
      </c>
      <c r="I1518" t="str">
        <f t="shared" si="112"/>
        <v>GL2085;winter;96;35;1.53293501200587;TRUE;1.53293501200587</v>
      </c>
    </row>
    <row r="1519" spans="1:9" x14ac:dyDescent="0.25">
      <c r="A1519">
        <f t="shared" si="111"/>
        <v>45.65625</v>
      </c>
      <c r="B1519" t="s">
        <v>23</v>
      </c>
      <c r="C1519" t="s">
        <v>7</v>
      </c>
      <c r="D1519">
        <v>96</v>
      </c>
      <c r="E1519">
        <f t="shared" si="115"/>
        <v>40</v>
      </c>
      <c r="F1519" s="22">
        <f>'2085GL_W'!$N9</f>
        <v>0.96481389866004408</v>
      </c>
      <c r="G1519" s="22" t="s">
        <v>33</v>
      </c>
      <c r="H1519" s="22">
        <f>'2085GL_W'!$N9</f>
        <v>0.96481389866004408</v>
      </c>
      <c r="I1519" t="str">
        <f t="shared" si="112"/>
        <v>GL2085;winter;96;40;0.964813898660044;TRUE;0.964813898660044</v>
      </c>
    </row>
    <row r="1520" spans="1:9" x14ac:dyDescent="0.25">
      <c r="A1520">
        <f t="shared" si="111"/>
        <v>45.65625</v>
      </c>
      <c r="B1520" t="s">
        <v>23</v>
      </c>
      <c r="C1520" t="s">
        <v>7</v>
      </c>
      <c r="D1520">
        <v>96</v>
      </c>
      <c r="E1520">
        <f t="shared" si="115"/>
        <v>45</v>
      </c>
      <c r="F1520" s="22">
        <f>'2085GL_W'!$N10</f>
        <v>0.61002619373633049</v>
      </c>
      <c r="G1520" s="22" t="s">
        <v>33</v>
      </c>
      <c r="H1520" s="22">
        <f>'2085GL_W'!$N10</f>
        <v>0.61002619373633049</v>
      </c>
      <c r="I1520" t="str">
        <f t="shared" si="112"/>
        <v>GL2085;winter;96;45;0.61002619373633;TRUE;0.61002619373633</v>
      </c>
    </row>
    <row r="1521" spans="1:9" x14ac:dyDescent="0.25">
      <c r="A1521">
        <f t="shared" si="111"/>
        <v>45.65625</v>
      </c>
      <c r="B1521" t="s">
        <v>23</v>
      </c>
      <c r="C1521" t="s">
        <v>7</v>
      </c>
      <c r="D1521">
        <v>96</v>
      </c>
      <c r="E1521">
        <f t="shared" si="115"/>
        <v>50</v>
      </c>
      <c r="F1521" s="22">
        <f>'2085GL_W'!$N11</f>
        <v>0.38743576930072254</v>
      </c>
      <c r="G1521" s="22" t="s">
        <v>33</v>
      </c>
      <c r="H1521" s="22">
        <f>'2085GL_W'!$N11</f>
        <v>0.38743576930072254</v>
      </c>
      <c r="I1521" t="str">
        <f t="shared" si="112"/>
        <v>GL2085;winter;96;50;0.387435769300723;TRUE;0.387435769300723</v>
      </c>
    </row>
    <row r="1522" spans="1:9" x14ac:dyDescent="0.25">
      <c r="A1522">
        <f t="shared" si="111"/>
        <v>45.65625</v>
      </c>
      <c r="B1522" t="s">
        <v>23</v>
      </c>
      <c r="C1522" t="s">
        <v>7</v>
      </c>
      <c r="D1522">
        <v>96</v>
      </c>
      <c r="E1522">
        <f t="shared" si="115"/>
        <v>55</v>
      </c>
      <c r="F1522" s="22">
        <f>'2085GL_W'!$N12</f>
        <v>0.24714939021846727</v>
      </c>
      <c r="G1522" s="22" t="s">
        <v>33</v>
      </c>
      <c r="H1522" s="22">
        <f>'2085GL_W'!$N12</f>
        <v>0.24714939021846727</v>
      </c>
      <c r="I1522" t="str">
        <f t="shared" si="112"/>
        <v>GL2085;winter;96;55;0.247149390218467;TRUE;0.247149390218467</v>
      </c>
    </row>
    <row r="1523" spans="1:9" x14ac:dyDescent="0.25">
      <c r="A1523">
        <f t="shared" si="111"/>
        <v>45.65625</v>
      </c>
      <c r="B1523" t="s">
        <v>23</v>
      </c>
      <c r="C1523" t="s">
        <v>7</v>
      </c>
      <c r="D1523">
        <v>96</v>
      </c>
      <c r="E1523">
        <f t="shared" si="115"/>
        <v>60</v>
      </c>
      <c r="F1523" s="22">
        <f>'2085GL_W'!$N13</f>
        <v>0.15834026190397205</v>
      </c>
      <c r="G1523" s="22" t="s">
        <v>33</v>
      </c>
      <c r="H1523" s="22">
        <f>'2085GL_W'!$N13</f>
        <v>0.15834026190397205</v>
      </c>
      <c r="I1523" t="str">
        <f t="shared" si="112"/>
        <v>GL2085;winter;96;60;0.158340261903972;TRUE;0.158340261903972</v>
      </c>
    </row>
    <row r="1524" spans="1:9" x14ac:dyDescent="0.25">
      <c r="A1524">
        <f t="shared" si="111"/>
        <v>45.65625</v>
      </c>
      <c r="B1524" t="s">
        <v>23</v>
      </c>
      <c r="C1524" t="s">
        <v>7</v>
      </c>
      <c r="D1524">
        <v>96</v>
      </c>
      <c r="E1524">
        <f t="shared" si="115"/>
        <v>65</v>
      </c>
      <c r="F1524" s="22">
        <f>'2085GL_W'!$N14</f>
        <v>0.10187311626657322</v>
      </c>
      <c r="G1524" s="22" t="s">
        <v>33</v>
      </c>
      <c r="H1524" s="22">
        <f>'2085GL_W'!$N14</f>
        <v>0.10187311626657322</v>
      </c>
      <c r="I1524" t="str">
        <f t="shared" si="112"/>
        <v>GL2085;winter;96;65;0.101873116266573;TRUE;0.101873116266573</v>
      </c>
    </row>
    <row r="1525" spans="1:9" x14ac:dyDescent="0.25">
      <c r="A1525">
        <f t="shared" si="111"/>
        <v>45.65625</v>
      </c>
      <c r="B1525" t="s">
        <v>23</v>
      </c>
      <c r="C1525" t="s">
        <v>7</v>
      </c>
      <c r="D1525">
        <v>96</v>
      </c>
      <c r="E1525">
        <f t="shared" si="115"/>
        <v>70</v>
      </c>
      <c r="F1525" s="22">
        <f>'2085GL_W'!$N15</f>
        <v>6.5815725880161047E-2</v>
      </c>
      <c r="G1525" s="22" t="s">
        <v>33</v>
      </c>
      <c r="H1525" s="22">
        <f>'2085GL_W'!$N15</f>
        <v>6.5815725880161047E-2</v>
      </c>
      <c r="I1525" t="str">
        <f t="shared" si="112"/>
        <v>GL2085;winter;96;70;0.065815725880161;TRUE;0.065815725880161</v>
      </c>
    </row>
    <row r="1526" spans="1:9" x14ac:dyDescent="0.25">
      <c r="A1526">
        <f t="shared" si="111"/>
        <v>45.65625</v>
      </c>
      <c r="B1526" t="s">
        <v>23</v>
      </c>
      <c r="C1526" t="s">
        <v>7</v>
      </c>
      <c r="D1526">
        <v>96</v>
      </c>
      <c r="E1526">
        <f t="shared" si="115"/>
        <v>75</v>
      </c>
      <c r="F1526" s="22">
        <f>'2085GL_W'!$N16</f>
        <v>4.2694114826382676E-2</v>
      </c>
      <c r="G1526" s="22" t="s">
        <v>33</v>
      </c>
      <c r="H1526" s="22">
        <f>'2085GL_W'!$N16</f>
        <v>4.2694114826382676E-2</v>
      </c>
      <c r="I1526" t="str">
        <f t="shared" si="112"/>
        <v>GL2085;winter;96;75;4.26941148263827E-02;TRUE;4.26941148263827E-02</v>
      </c>
    </row>
    <row r="1527" spans="1:9" x14ac:dyDescent="0.25">
      <c r="A1527">
        <f t="shared" si="111"/>
        <v>45.65625</v>
      </c>
      <c r="B1527" t="s">
        <v>23</v>
      </c>
      <c r="C1527" t="s">
        <v>7</v>
      </c>
      <c r="D1527">
        <v>96</v>
      </c>
      <c r="E1527">
        <f t="shared" si="115"/>
        <v>80</v>
      </c>
      <c r="F1527" s="22">
        <f>'2085GL_W'!$N17</f>
        <v>2.7806219058715546E-2</v>
      </c>
      <c r="G1527" s="22" t="s">
        <v>33</v>
      </c>
      <c r="H1527" s="22">
        <f>'2085GL_W'!$N17</f>
        <v>2.7806219058715546E-2</v>
      </c>
      <c r="I1527" t="str">
        <f t="shared" si="112"/>
        <v>GL2085;winter;96;80;2.78062190587155E-02;TRUE;2.78062190587155E-02</v>
      </c>
    </row>
    <row r="1528" spans="1:9" x14ac:dyDescent="0.25">
      <c r="A1528">
        <f t="shared" si="111"/>
        <v>45.65625</v>
      </c>
      <c r="B1528" t="s">
        <v>23</v>
      </c>
      <c r="C1528" t="s">
        <v>7</v>
      </c>
      <c r="D1528">
        <v>96</v>
      </c>
      <c r="E1528">
        <f t="shared" si="115"/>
        <v>85</v>
      </c>
      <c r="F1528" s="22">
        <f>'2085GL_W'!$N18</f>
        <v>1.8181080277649753E-2</v>
      </c>
      <c r="G1528" s="22" t="s">
        <v>33</v>
      </c>
      <c r="H1528" s="22">
        <f>'2085GL_W'!$N18</f>
        <v>1.8181080277649753E-2</v>
      </c>
      <c r="I1528" t="str">
        <f t="shared" si="112"/>
        <v>GL2085;winter;96;85;1.81810802776498E-02;TRUE;1.81810802776498E-02</v>
      </c>
    </row>
    <row r="1529" spans="1:9" x14ac:dyDescent="0.25">
      <c r="A1529">
        <f t="shared" si="111"/>
        <v>45.65625</v>
      </c>
      <c r="B1529" t="s">
        <v>23</v>
      </c>
      <c r="C1529" t="s">
        <v>7</v>
      </c>
      <c r="D1529">
        <v>96</v>
      </c>
      <c r="E1529">
        <f t="shared" si="115"/>
        <v>90</v>
      </c>
      <c r="F1529" s="22">
        <f>'2085GL_W'!$N19</f>
        <v>1.1933568848643598E-2</v>
      </c>
      <c r="G1529" s="22" t="s">
        <v>33</v>
      </c>
      <c r="H1529" s="22">
        <f>'2085GL_W'!$N19</f>
        <v>1.1933568848643598E-2</v>
      </c>
      <c r="I1529" t="str">
        <f t="shared" si="112"/>
        <v>GL2085;winter;96;90;1.19335688486436E-02;TRUE;1.19335688486436E-02</v>
      </c>
    </row>
    <row r="1530" spans="1:9" x14ac:dyDescent="0.25">
      <c r="A1530">
        <f t="shared" si="111"/>
        <v>45.65625</v>
      </c>
      <c r="B1530" t="s">
        <v>23</v>
      </c>
      <c r="C1530" t="s">
        <v>7</v>
      </c>
      <c r="D1530">
        <v>96</v>
      </c>
      <c r="E1530">
        <f t="shared" si="115"/>
        <v>95</v>
      </c>
      <c r="F1530" s="22">
        <f>'2085GL_W'!$N20</f>
        <v>7.8625576842262547E-3</v>
      </c>
      <c r="G1530" s="22" t="s">
        <v>33</v>
      </c>
      <c r="H1530" s="22">
        <f>'2085GL_W'!$N20</f>
        <v>7.8625576842262547E-3</v>
      </c>
      <c r="I1530" t="str">
        <f t="shared" si="112"/>
        <v>GL2085;winter;96;95;7.86255768422625E-03;TRUE;7.86255768422625E-03</v>
      </c>
    </row>
    <row r="1531" spans="1:9" x14ac:dyDescent="0.25">
      <c r="A1531">
        <f t="shared" si="111"/>
        <v>45.65625</v>
      </c>
      <c r="B1531" t="s">
        <v>23</v>
      </c>
      <c r="C1531" t="s">
        <v>7</v>
      </c>
      <c r="D1531">
        <v>96</v>
      </c>
      <c r="E1531">
        <f t="shared" si="115"/>
        <v>100</v>
      </c>
      <c r="F1531" s="22">
        <f>'2085GL_W'!$N21</f>
        <v>5.1996118187498854E-3</v>
      </c>
      <c r="G1531" s="22" t="s">
        <v>33</v>
      </c>
      <c r="H1531" s="22">
        <f>'2085GL_W'!$N21</f>
        <v>5.1996118187498854E-3</v>
      </c>
      <c r="I1531" t="str">
        <f t="shared" si="112"/>
        <v>GL2085;winter;96;100;5.19961181874989E-03;TRUE;5.19961181874989E-03</v>
      </c>
    </row>
    <row r="1532" spans="1:9" x14ac:dyDescent="0.25">
      <c r="A1532">
        <f t="shared" si="111"/>
        <v>45.65625</v>
      </c>
      <c r="B1532" t="s">
        <v>23</v>
      </c>
      <c r="C1532" t="s">
        <v>7</v>
      </c>
      <c r="D1532">
        <v>96</v>
      </c>
      <c r="E1532">
        <f t="shared" si="115"/>
        <v>105</v>
      </c>
      <c r="F1532" s="22">
        <f>'2085GL_W'!$N22</f>
        <v>3.4511440253084903E-3</v>
      </c>
      <c r="G1532" s="22" t="s">
        <v>33</v>
      </c>
      <c r="H1532" s="22">
        <f>'2085GL_W'!$N22</f>
        <v>3.4511440253084903E-3</v>
      </c>
      <c r="I1532" t="str">
        <f t="shared" si="112"/>
        <v>GL2085;winter;96;105;3.45114402530849E-03;TRUE;3.45114402530849E-03</v>
      </c>
    </row>
    <row r="1533" spans="1:9" x14ac:dyDescent="0.25">
      <c r="A1533">
        <f t="shared" si="111"/>
        <v>45.65625</v>
      </c>
      <c r="B1533" t="s">
        <v>23</v>
      </c>
      <c r="C1533" t="s">
        <v>7</v>
      </c>
      <c r="D1533">
        <v>96</v>
      </c>
      <c r="E1533">
        <f t="shared" si="115"/>
        <v>110</v>
      </c>
      <c r="F1533" s="22">
        <f>'2085GL_W'!$N23</f>
        <v>2.2988603314550576E-3</v>
      </c>
      <c r="G1533" s="22" t="s">
        <v>33</v>
      </c>
      <c r="H1533" s="22">
        <f>'2085GL_W'!$N23</f>
        <v>2.2988603314550576E-3</v>
      </c>
      <c r="I1533" t="str">
        <f t="shared" si="112"/>
        <v>GL2085;winter;96;110;2.29886033145506E-03;TRUE;2.29886033145506E-03</v>
      </c>
    </row>
    <row r="1534" spans="1:9" x14ac:dyDescent="0.25">
      <c r="A1534">
        <f t="shared" si="111"/>
        <v>45.65625</v>
      </c>
      <c r="B1534" t="s">
        <v>23</v>
      </c>
      <c r="C1534" t="s">
        <v>7</v>
      </c>
      <c r="D1534">
        <v>96</v>
      </c>
      <c r="E1534">
        <f t="shared" si="115"/>
        <v>115</v>
      </c>
      <c r="F1534" s="22">
        <f>'2085GL_W'!$N24</f>
        <v>1.5367117361718028E-3</v>
      </c>
      <c r="G1534" s="22" t="s">
        <v>33</v>
      </c>
      <c r="H1534" s="22">
        <f>'2085GL_W'!$N24</f>
        <v>1.5367117361718028E-3</v>
      </c>
      <c r="I1534" t="str">
        <f t="shared" si="112"/>
        <v>GL2085;winter;96;115;1.5367117361718E-03;TRUE;1.5367117361718E-03</v>
      </c>
    </row>
    <row r="1535" spans="1:9" x14ac:dyDescent="0.25">
      <c r="A1535">
        <f t="shared" si="111"/>
        <v>45.65625</v>
      </c>
      <c r="B1535" t="s">
        <v>23</v>
      </c>
      <c r="C1535" t="s">
        <v>7</v>
      </c>
      <c r="D1535">
        <v>96</v>
      </c>
      <c r="E1535">
        <f t="shared" si="115"/>
        <v>120</v>
      </c>
      <c r="F1535" s="22">
        <f>'2085GL_W'!$N25</f>
        <v>3.1991201840783426E-3</v>
      </c>
      <c r="G1535" s="22" t="s">
        <v>33</v>
      </c>
      <c r="H1535" s="22">
        <f>'2085GL_W'!$N25</f>
        <v>3.1991201840783426E-3</v>
      </c>
      <c r="I1535" t="str">
        <f t="shared" si="112"/>
        <v>GL2085;winter;96;120;3.19912018407834E-03;TRUE;3.19912018407834E-03</v>
      </c>
    </row>
    <row r="1536" spans="1:9" x14ac:dyDescent="0.25">
      <c r="A1536">
        <f t="shared" si="111"/>
        <v>22.828125</v>
      </c>
      <c r="B1536" t="s">
        <v>23</v>
      </c>
      <c r="C1536" t="s">
        <v>7</v>
      </c>
      <c r="D1536">
        <v>192</v>
      </c>
      <c r="E1536">
        <v>25</v>
      </c>
      <c r="F1536" s="22">
        <f>'2085GL_W'!$R6</f>
        <v>34.58682026910418</v>
      </c>
      <c r="G1536" s="22" t="s">
        <v>33</v>
      </c>
      <c r="H1536" s="22">
        <f>'2085GL_W'!$R6</f>
        <v>34.58682026910418</v>
      </c>
      <c r="I1536" t="str">
        <f t="shared" si="112"/>
        <v>GL2085;winter;192;25;34.5868202691042;TRUE;34.5868202691042</v>
      </c>
    </row>
    <row r="1537" spans="1:9" x14ac:dyDescent="0.25">
      <c r="A1537">
        <f t="shared" si="111"/>
        <v>22.828125</v>
      </c>
      <c r="B1537" t="s">
        <v>23</v>
      </c>
      <c r="C1537" t="s">
        <v>7</v>
      </c>
      <c r="D1537">
        <v>192</v>
      </c>
      <c r="E1537">
        <f>E1536+5</f>
        <v>30</v>
      </c>
      <c r="F1537" s="22">
        <f>'2085GL_W'!$R7</f>
        <v>2.7591901259966178</v>
      </c>
      <c r="G1537" s="22" t="s">
        <v>33</v>
      </c>
      <c r="H1537" s="22">
        <f>'2085GL_W'!$R7</f>
        <v>2.7591901259966178</v>
      </c>
      <c r="I1537" t="str">
        <f t="shared" si="112"/>
        <v>GL2085;winter;192;30;2.75919012599662;TRUE;2.75919012599662</v>
      </c>
    </row>
    <row r="1538" spans="1:9" x14ac:dyDescent="0.25">
      <c r="A1538">
        <f t="shared" ref="A1538:A1601" si="116">IF(C1538="zomer",24/D1538*365.25 * 6/12,24/D1538*365.25 * 6/12)</f>
        <v>22.828125</v>
      </c>
      <c r="B1538" t="s">
        <v>23</v>
      </c>
      <c r="C1538" t="s">
        <v>7</v>
      </c>
      <c r="D1538">
        <v>192</v>
      </c>
      <c r="E1538">
        <f t="shared" ref="E1538:E1562" si="117">E1537+5</f>
        <v>35</v>
      </c>
      <c r="F1538" s="22">
        <f>'2085GL_W'!$R8</f>
        <v>2.0952873677528627</v>
      </c>
      <c r="G1538" s="22" t="s">
        <v>33</v>
      </c>
      <c r="H1538" s="22">
        <f>'2085GL_W'!$R8</f>
        <v>2.0952873677528627</v>
      </c>
      <c r="I1538" t="str">
        <f t="shared" ref="I1538:I1601" si="118">CONCATENATEWITHDELIMITER(B1538:H1538,";")</f>
        <v>GL2085;winter;192;35;2.09528736775286;TRUE;2.09528736775286</v>
      </c>
    </row>
    <row r="1539" spans="1:9" x14ac:dyDescent="0.25">
      <c r="A1539">
        <f t="shared" si="116"/>
        <v>22.828125</v>
      </c>
      <c r="B1539" t="s">
        <v>23</v>
      </c>
      <c r="C1539" t="s">
        <v>7</v>
      </c>
      <c r="D1539">
        <v>192</v>
      </c>
      <c r="E1539">
        <f t="shared" si="117"/>
        <v>40</v>
      </c>
      <c r="F1539" s="22">
        <f>'2085GL_W'!$R9</f>
        <v>1.5852515482496399</v>
      </c>
      <c r="G1539" s="22" t="s">
        <v>33</v>
      </c>
      <c r="H1539" s="22">
        <f>'2085GL_W'!$R9</f>
        <v>1.5852515482496399</v>
      </c>
      <c r="I1539" t="str">
        <f t="shared" si="118"/>
        <v>GL2085;winter;192;40;1.58525154824964;TRUE;1.58525154824964</v>
      </c>
    </row>
    <row r="1540" spans="1:9" x14ac:dyDescent="0.25">
      <c r="A1540">
        <f t="shared" si="116"/>
        <v>22.828125</v>
      </c>
      <c r="B1540" t="s">
        <v>23</v>
      </c>
      <c r="C1540" t="s">
        <v>7</v>
      </c>
      <c r="D1540">
        <v>192</v>
      </c>
      <c r="E1540">
        <f t="shared" si="117"/>
        <v>45</v>
      </c>
      <c r="F1540" s="22">
        <f>'2085GL_W'!$R10</f>
        <v>1.1948175614953453</v>
      </c>
      <c r="G1540" s="22" t="s">
        <v>33</v>
      </c>
      <c r="H1540" s="22">
        <f>'2085GL_W'!$R10</f>
        <v>1.1948175614953453</v>
      </c>
      <c r="I1540" t="str">
        <f t="shared" si="118"/>
        <v>GL2085;winter;192;45;1.19481756149535;TRUE;1.19481756149535</v>
      </c>
    </row>
    <row r="1541" spans="1:9" x14ac:dyDescent="0.25">
      <c r="A1541">
        <f t="shared" si="116"/>
        <v>22.828125</v>
      </c>
      <c r="B1541" t="s">
        <v>23</v>
      </c>
      <c r="C1541" t="s">
        <v>7</v>
      </c>
      <c r="D1541">
        <v>192</v>
      </c>
      <c r="E1541">
        <f t="shared" si="117"/>
        <v>50</v>
      </c>
      <c r="F1541" s="22">
        <f>'2085GL_W'!$R11</f>
        <v>0.89703256533133802</v>
      </c>
      <c r="G1541" s="22" t="s">
        <v>33</v>
      </c>
      <c r="H1541" s="22">
        <f>'2085GL_W'!$R11</f>
        <v>0.89703256533133802</v>
      </c>
      <c r="I1541" t="str">
        <f t="shared" si="118"/>
        <v>GL2085;winter;192;50;0.897032565331338;TRUE;0.897032565331338</v>
      </c>
    </row>
    <row r="1542" spans="1:9" x14ac:dyDescent="0.25">
      <c r="A1542">
        <f t="shared" si="116"/>
        <v>22.828125</v>
      </c>
      <c r="B1542" t="s">
        <v>23</v>
      </c>
      <c r="C1542" t="s">
        <v>7</v>
      </c>
      <c r="D1542">
        <v>192</v>
      </c>
      <c r="E1542">
        <f t="shared" si="117"/>
        <v>55</v>
      </c>
      <c r="F1542" s="22">
        <f>'2085GL_W'!$R12</f>
        <v>0.67076514638826379</v>
      </c>
      <c r="G1542" s="22" t="s">
        <v>33</v>
      </c>
      <c r="H1542" s="22">
        <f>'2085GL_W'!$R12</f>
        <v>0.67076514638826379</v>
      </c>
      <c r="I1542" t="str">
        <f t="shared" si="118"/>
        <v>GL2085;winter;192;55;0.670765146388264;TRUE;0.670765146388264</v>
      </c>
    </row>
    <row r="1543" spans="1:9" x14ac:dyDescent="0.25">
      <c r="A1543">
        <f t="shared" si="116"/>
        <v>22.828125</v>
      </c>
      <c r="B1543" t="s">
        <v>23</v>
      </c>
      <c r="C1543" t="s">
        <v>7</v>
      </c>
      <c r="D1543">
        <v>192</v>
      </c>
      <c r="E1543">
        <f t="shared" si="117"/>
        <v>60</v>
      </c>
      <c r="F1543" s="22">
        <f>'2085GL_W'!$R13</f>
        <v>0.49950388709593718</v>
      </c>
      <c r="G1543" s="22" t="s">
        <v>33</v>
      </c>
      <c r="H1543" s="22">
        <f>'2085GL_W'!$R13</f>
        <v>0.49950388709593718</v>
      </c>
      <c r="I1543" t="str">
        <f t="shared" si="118"/>
        <v>GL2085;winter;192;60;0.499503887095937;TRUE;0.499503887095937</v>
      </c>
    </row>
    <row r="1544" spans="1:9" x14ac:dyDescent="0.25">
      <c r="A1544">
        <f t="shared" si="116"/>
        <v>22.828125</v>
      </c>
      <c r="B1544" t="s">
        <v>23</v>
      </c>
      <c r="C1544" t="s">
        <v>7</v>
      </c>
      <c r="D1544">
        <v>192</v>
      </c>
      <c r="E1544">
        <f t="shared" si="117"/>
        <v>65</v>
      </c>
      <c r="F1544" s="22">
        <f>'2085GL_W'!$R14</f>
        <v>0.37039205255943441</v>
      </c>
      <c r="G1544" s="22" t="s">
        <v>33</v>
      </c>
      <c r="H1544" s="22">
        <f>'2085GL_W'!$R14</f>
        <v>0.37039205255943441</v>
      </c>
      <c r="I1544" t="str">
        <f t="shared" si="118"/>
        <v>GL2085;winter;192;65;0.370392052559434;TRUE;0.370392052559434</v>
      </c>
    </row>
    <row r="1545" spans="1:9" x14ac:dyDescent="0.25">
      <c r="A1545">
        <f t="shared" si="116"/>
        <v>22.828125</v>
      </c>
      <c r="B1545" t="s">
        <v>23</v>
      </c>
      <c r="C1545" t="s">
        <v>7</v>
      </c>
      <c r="D1545">
        <v>192</v>
      </c>
      <c r="E1545">
        <f t="shared" si="117"/>
        <v>70</v>
      </c>
      <c r="F1545" s="22">
        <f>'2085GL_W'!$R15</f>
        <v>0.27345437786426341</v>
      </c>
      <c r="G1545" s="22" t="s">
        <v>33</v>
      </c>
      <c r="H1545" s="22">
        <f>'2085GL_W'!$R15</f>
        <v>0.27345437786426341</v>
      </c>
      <c r="I1545" t="str">
        <f t="shared" si="118"/>
        <v>GL2085;winter;192;70;0.273454377864263;TRUE;0.273454377864263</v>
      </c>
    </row>
    <row r="1546" spans="1:9" x14ac:dyDescent="0.25">
      <c r="A1546">
        <f t="shared" si="116"/>
        <v>22.828125</v>
      </c>
      <c r="B1546" t="s">
        <v>23</v>
      </c>
      <c r="C1546" t="s">
        <v>7</v>
      </c>
      <c r="D1546">
        <v>192</v>
      </c>
      <c r="E1546">
        <f t="shared" si="117"/>
        <v>75</v>
      </c>
      <c r="F1546" s="22">
        <f>'2085GL_W'!$R16</f>
        <v>0.20097968645625786</v>
      </c>
      <c r="G1546" s="22" t="s">
        <v>33</v>
      </c>
      <c r="H1546" s="22">
        <f>'2085GL_W'!$R16</f>
        <v>0.20097968645625786</v>
      </c>
      <c r="I1546" t="str">
        <f t="shared" si="118"/>
        <v>GL2085;winter;192;75;0.200979686456258;TRUE;0.200979686456258</v>
      </c>
    </row>
    <row r="1547" spans="1:9" x14ac:dyDescent="0.25">
      <c r="A1547">
        <f t="shared" si="116"/>
        <v>22.828125</v>
      </c>
      <c r="B1547" t="s">
        <v>23</v>
      </c>
      <c r="C1547" t="s">
        <v>7</v>
      </c>
      <c r="D1547">
        <v>192</v>
      </c>
      <c r="E1547">
        <f t="shared" si="117"/>
        <v>80</v>
      </c>
      <c r="F1547" s="22">
        <f>'2085GL_W'!$R17</f>
        <v>0.14702953832436239</v>
      </c>
      <c r="G1547" s="22" t="s">
        <v>33</v>
      </c>
      <c r="H1547" s="22">
        <f>'2085GL_W'!$R17</f>
        <v>0.14702953832436239</v>
      </c>
      <c r="I1547" t="str">
        <f t="shared" si="118"/>
        <v>GL2085;winter;192;80;0.147029538324362;TRUE;0.147029538324362</v>
      </c>
    </row>
    <row r="1548" spans="1:9" x14ac:dyDescent="0.25">
      <c r="A1548">
        <f t="shared" si="116"/>
        <v>22.828125</v>
      </c>
      <c r="B1548" t="s">
        <v>23</v>
      </c>
      <c r="C1548" t="s">
        <v>7</v>
      </c>
      <c r="D1548">
        <v>192</v>
      </c>
      <c r="E1548">
        <f t="shared" si="117"/>
        <v>85</v>
      </c>
      <c r="F1548" s="22">
        <f>'2085GL_W'!$R18</f>
        <v>0.10704849085186641</v>
      </c>
      <c r="G1548" s="22" t="s">
        <v>33</v>
      </c>
      <c r="H1548" s="22">
        <f>'2085GL_W'!$R18</f>
        <v>0.10704849085186641</v>
      </c>
      <c r="I1548" t="str">
        <f t="shared" si="118"/>
        <v>GL2085;winter;192;85;0.107048490851866;TRUE;0.107048490851866</v>
      </c>
    </row>
    <row r="1549" spans="1:9" x14ac:dyDescent="0.25">
      <c r="A1549">
        <f t="shared" si="116"/>
        <v>22.828125</v>
      </c>
      <c r="B1549" t="s">
        <v>23</v>
      </c>
      <c r="C1549" t="s">
        <v>7</v>
      </c>
      <c r="D1549">
        <v>192</v>
      </c>
      <c r="E1549">
        <f t="shared" si="117"/>
        <v>90</v>
      </c>
      <c r="F1549" s="22">
        <f>'2085GL_W'!$R19</f>
        <v>7.7556025073713036E-2</v>
      </c>
      <c r="G1549" s="22" t="s">
        <v>33</v>
      </c>
      <c r="H1549" s="22">
        <f>'2085GL_W'!$R19</f>
        <v>7.7556025073713036E-2</v>
      </c>
      <c r="I1549" t="str">
        <f t="shared" si="118"/>
        <v>GL2085;winter;192;90;0.077556025073713;TRUE;0.077556025073713</v>
      </c>
    </row>
    <row r="1550" spans="1:9" x14ac:dyDescent="0.25">
      <c r="A1550">
        <f t="shared" si="116"/>
        <v>22.828125</v>
      </c>
      <c r="B1550" t="s">
        <v>23</v>
      </c>
      <c r="C1550" t="s">
        <v>7</v>
      </c>
      <c r="D1550">
        <v>192</v>
      </c>
      <c r="E1550">
        <f t="shared" si="117"/>
        <v>95</v>
      </c>
      <c r="F1550" s="22">
        <f>'2085GL_W'!$R20</f>
        <v>5.5903890729480238E-2</v>
      </c>
      <c r="G1550" s="22" t="s">
        <v>33</v>
      </c>
      <c r="H1550" s="22">
        <f>'2085GL_W'!$R20</f>
        <v>5.5903890729480238E-2</v>
      </c>
      <c r="I1550" t="str">
        <f t="shared" si="118"/>
        <v>GL2085;winter;192;95;5.59038907294802E-02;TRUE;5.59038907294802E-02</v>
      </c>
    </row>
    <row r="1551" spans="1:9" x14ac:dyDescent="0.25">
      <c r="A1551">
        <f t="shared" si="116"/>
        <v>22.828125</v>
      </c>
      <c r="B1551" t="s">
        <v>23</v>
      </c>
      <c r="C1551" t="s">
        <v>7</v>
      </c>
      <c r="D1551">
        <v>192</v>
      </c>
      <c r="E1551">
        <f t="shared" si="117"/>
        <v>100</v>
      </c>
      <c r="F1551" s="22">
        <f>'2085GL_W'!$R21</f>
        <v>4.0085678630996699E-2</v>
      </c>
      <c r="G1551" s="22" t="s">
        <v>33</v>
      </c>
      <c r="H1551" s="22">
        <f>'2085GL_W'!$R21</f>
        <v>4.0085678630996699E-2</v>
      </c>
      <c r="I1551" t="str">
        <f t="shared" si="118"/>
        <v>GL2085;winter;192;100;4.00856786309967E-02;TRUE;4.00856786309967E-02</v>
      </c>
    </row>
    <row r="1552" spans="1:9" x14ac:dyDescent="0.25">
      <c r="A1552">
        <f t="shared" si="116"/>
        <v>22.828125</v>
      </c>
      <c r="B1552" t="s">
        <v>23</v>
      </c>
      <c r="C1552" t="s">
        <v>7</v>
      </c>
      <c r="D1552">
        <v>192</v>
      </c>
      <c r="E1552">
        <f t="shared" si="117"/>
        <v>105</v>
      </c>
      <c r="F1552" s="22">
        <f>'2085GL_W'!$R22</f>
        <v>2.8587943712014077E-2</v>
      </c>
      <c r="G1552" s="22" t="s">
        <v>33</v>
      </c>
      <c r="H1552" s="22">
        <f>'2085GL_W'!$R22</f>
        <v>2.8587943712014077E-2</v>
      </c>
      <c r="I1552" t="str">
        <f t="shared" si="118"/>
        <v>GL2085;winter;192;105;2.85879437120141E-02;TRUE;2.85879437120141E-02</v>
      </c>
    </row>
    <row r="1553" spans="1:9" x14ac:dyDescent="0.25">
      <c r="A1553">
        <f t="shared" si="116"/>
        <v>22.828125</v>
      </c>
      <c r="B1553" t="s">
        <v>23</v>
      </c>
      <c r="C1553" t="s">
        <v>7</v>
      </c>
      <c r="D1553">
        <v>192</v>
      </c>
      <c r="E1553">
        <f t="shared" si="117"/>
        <v>110</v>
      </c>
      <c r="F1553" s="22">
        <f>'2085GL_W'!$R23</f>
        <v>2.027426601276016E-2</v>
      </c>
      <c r="G1553" s="22" t="s">
        <v>33</v>
      </c>
      <c r="H1553" s="22">
        <f>'2085GL_W'!$R23</f>
        <v>2.027426601276016E-2</v>
      </c>
      <c r="I1553" t="str">
        <f t="shared" si="118"/>
        <v>GL2085;winter;192;110;2.02742660127602E-02;TRUE;2.02742660127602E-02</v>
      </c>
    </row>
    <row r="1554" spans="1:9" x14ac:dyDescent="0.25">
      <c r="A1554">
        <f t="shared" si="116"/>
        <v>22.828125</v>
      </c>
      <c r="B1554" t="s">
        <v>23</v>
      </c>
      <c r="C1554" t="s">
        <v>7</v>
      </c>
      <c r="D1554">
        <v>192</v>
      </c>
      <c r="E1554">
        <f t="shared" si="117"/>
        <v>115</v>
      </c>
      <c r="F1554" s="22">
        <f>'2085GL_W'!$R24</f>
        <v>1.4295325386375422E-2</v>
      </c>
      <c r="G1554" s="22" t="s">
        <v>33</v>
      </c>
      <c r="H1554" s="22">
        <f>'2085GL_W'!$R24</f>
        <v>1.4295325386375422E-2</v>
      </c>
      <c r="I1554" t="str">
        <f t="shared" si="118"/>
        <v>GL2085;winter;192;115;1.42953253863754E-02;TRUE;1.42953253863754E-02</v>
      </c>
    </row>
    <row r="1555" spans="1:9" x14ac:dyDescent="0.25">
      <c r="A1555">
        <f t="shared" si="116"/>
        <v>22.828125</v>
      </c>
      <c r="B1555" t="s">
        <v>23</v>
      </c>
      <c r="C1555" t="s">
        <v>7</v>
      </c>
      <c r="D1555">
        <v>192</v>
      </c>
      <c r="E1555">
        <f t="shared" si="117"/>
        <v>120</v>
      </c>
      <c r="F1555" s="22">
        <f>'2085GL_W'!$R25</f>
        <v>1.0019442738698533E-2</v>
      </c>
      <c r="G1555" s="22" t="s">
        <v>33</v>
      </c>
      <c r="H1555" s="22">
        <f>'2085GL_W'!$R25</f>
        <v>1.0019442738698533E-2</v>
      </c>
      <c r="I1555" t="str">
        <f t="shared" si="118"/>
        <v>GL2085;winter;192;120;1.00194427386985E-02;TRUE;1.00194427386985E-02</v>
      </c>
    </row>
    <row r="1556" spans="1:9" x14ac:dyDescent="0.25">
      <c r="A1556">
        <f t="shared" si="116"/>
        <v>22.828125</v>
      </c>
      <c r="B1556" t="s">
        <v>23</v>
      </c>
      <c r="C1556" t="s">
        <v>7</v>
      </c>
      <c r="D1556">
        <v>192</v>
      </c>
      <c r="E1556">
        <f t="shared" si="117"/>
        <v>125</v>
      </c>
      <c r="F1556" s="22">
        <f>'2085GL_W'!$R26</f>
        <v>6.9791598853449436E-3</v>
      </c>
      <c r="G1556" s="22" t="s">
        <v>33</v>
      </c>
      <c r="H1556" s="22">
        <f>'2085GL_W'!$R26</f>
        <v>6.9791598853449436E-3</v>
      </c>
      <c r="I1556" t="str">
        <f t="shared" si="118"/>
        <v>GL2085;winter;192;125;6.97915988534494E-03;TRUE;6.97915988534494E-03</v>
      </c>
    </row>
    <row r="1557" spans="1:9" x14ac:dyDescent="0.25">
      <c r="A1557">
        <f t="shared" si="116"/>
        <v>22.828125</v>
      </c>
      <c r="B1557" t="s">
        <v>23</v>
      </c>
      <c r="C1557" t="s">
        <v>7</v>
      </c>
      <c r="D1557">
        <v>192</v>
      </c>
      <c r="E1557">
        <f t="shared" si="117"/>
        <v>130</v>
      </c>
      <c r="F1557" s="22">
        <f>'2085GL_W'!$R27</f>
        <v>4.8303367712914796E-3</v>
      </c>
      <c r="G1557" s="22" t="s">
        <v>33</v>
      </c>
      <c r="H1557" s="22">
        <f>'2085GL_W'!$R27</f>
        <v>4.8303367712914796E-3</v>
      </c>
      <c r="I1557" t="str">
        <f t="shared" si="118"/>
        <v>GL2085;winter;192;130;4.83033677129148E-03;TRUE;4.83033677129148E-03</v>
      </c>
    </row>
    <row r="1558" spans="1:9" x14ac:dyDescent="0.25">
      <c r="A1558">
        <f t="shared" si="116"/>
        <v>22.828125</v>
      </c>
      <c r="B1558" t="s">
        <v>23</v>
      </c>
      <c r="C1558" t="s">
        <v>7</v>
      </c>
      <c r="D1558">
        <v>192</v>
      </c>
      <c r="E1558">
        <f t="shared" si="117"/>
        <v>135</v>
      </c>
      <c r="F1558" s="22">
        <f>'2085GL_W'!$R28</f>
        <v>3.3209766441742068E-3</v>
      </c>
      <c r="G1558" s="22" t="s">
        <v>33</v>
      </c>
      <c r="H1558" s="22">
        <f>'2085GL_W'!$R28</f>
        <v>3.3209766441742068E-3</v>
      </c>
      <c r="I1558" t="str">
        <f t="shared" si="118"/>
        <v>GL2085;winter;192;135;3.32097664417421E-03;TRUE;3.32097664417421E-03</v>
      </c>
    </row>
    <row r="1559" spans="1:9" x14ac:dyDescent="0.25">
      <c r="A1559">
        <f t="shared" si="116"/>
        <v>22.828125</v>
      </c>
      <c r="B1559" t="s">
        <v>23</v>
      </c>
      <c r="C1559" t="s">
        <v>7</v>
      </c>
      <c r="D1559">
        <v>192</v>
      </c>
      <c r="E1559">
        <f t="shared" si="117"/>
        <v>140</v>
      </c>
      <c r="F1559" s="22">
        <f>'2085GL_W'!$R29</f>
        <v>2.2675783551351835E-3</v>
      </c>
      <c r="G1559" s="22" t="s">
        <v>33</v>
      </c>
      <c r="H1559" s="22">
        <f>'2085GL_W'!$R29</f>
        <v>2.2675783551351835E-3</v>
      </c>
      <c r="I1559" t="str">
        <f t="shared" si="118"/>
        <v>GL2085;winter;192;140;2.26757835513518E-03;TRUE;2.26757835513518E-03</v>
      </c>
    </row>
    <row r="1560" spans="1:9" x14ac:dyDescent="0.25">
      <c r="A1560">
        <f t="shared" si="116"/>
        <v>22.828125</v>
      </c>
      <c r="B1560" t="s">
        <v>23</v>
      </c>
      <c r="C1560" t="s">
        <v>7</v>
      </c>
      <c r="D1560">
        <v>192</v>
      </c>
      <c r="E1560">
        <f t="shared" si="117"/>
        <v>145</v>
      </c>
      <c r="F1560" s="22">
        <f>'2085GL_W'!$R30</f>
        <v>1.5372865389258789E-3</v>
      </c>
      <c r="G1560" s="22" t="s">
        <v>33</v>
      </c>
      <c r="H1560" s="22">
        <f>'2085GL_W'!$R30</f>
        <v>1.5372865389258789E-3</v>
      </c>
      <c r="I1560" t="str">
        <f t="shared" si="118"/>
        <v>GL2085;winter;192;145;1.53728653892588E-03;TRUE;1.53728653892588E-03</v>
      </c>
    </row>
    <row r="1561" spans="1:9" x14ac:dyDescent="0.25">
      <c r="A1561">
        <f t="shared" si="116"/>
        <v>22.828125</v>
      </c>
      <c r="B1561" t="s">
        <v>23</v>
      </c>
      <c r="C1561" t="s">
        <v>7</v>
      </c>
      <c r="D1561">
        <v>192</v>
      </c>
      <c r="E1561">
        <f t="shared" si="117"/>
        <v>150</v>
      </c>
      <c r="F1561" s="22">
        <f>'2085GL_W'!$R31</f>
        <v>1.0344867817822043E-3</v>
      </c>
      <c r="G1561" s="22" t="s">
        <v>33</v>
      </c>
      <c r="H1561" s="22">
        <f>'2085GL_W'!$R31</f>
        <v>1.0344867817822043E-3</v>
      </c>
      <c r="I1561" t="str">
        <f t="shared" si="118"/>
        <v>GL2085;winter;192;150;1.0344867817822E-03;TRUE;1.0344867817822E-03</v>
      </c>
    </row>
    <row r="1562" spans="1:9" x14ac:dyDescent="0.25">
      <c r="A1562">
        <f t="shared" si="116"/>
        <v>22.828125</v>
      </c>
      <c r="B1562" t="s">
        <v>23</v>
      </c>
      <c r="C1562" t="s">
        <v>7</v>
      </c>
      <c r="D1562">
        <v>192</v>
      </c>
      <c r="E1562">
        <f t="shared" si="117"/>
        <v>155</v>
      </c>
      <c r="F1562" s="22">
        <f>'2085GL_W'!$R32</f>
        <v>1.984985268942072E-3</v>
      </c>
      <c r="G1562" s="22" t="s">
        <v>33</v>
      </c>
      <c r="H1562" s="22">
        <f>'2085GL_W'!$R32</f>
        <v>1.984985268942072E-3</v>
      </c>
      <c r="I1562" t="str">
        <f t="shared" si="118"/>
        <v>GL2085;winter;192;155;1.98498526894207E-03;TRUE;1.98498526894207E-03</v>
      </c>
    </row>
    <row r="1563" spans="1:9" x14ac:dyDescent="0.25">
      <c r="A1563">
        <f t="shared" si="116"/>
        <v>20.291666666666664</v>
      </c>
      <c r="B1563" t="s">
        <v>23</v>
      </c>
      <c r="C1563" t="s">
        <v>7</v>
      </c>
      <c r="D1563">
        <v>216</v>
      </c>
      <c r="E1563">
        <v>25</v>
      </c>
      <c r="F1563" s="22">
        <f>'2085GL_W'!$V6</f>
        <v>29.069929342928219</v>
      </c>
      <c r="G1563" s="22" t="s">
        <v>33</v>
      </c>
      <c r="H1563" s="22">
        <f>'2085GL_W'!$V6</f>
        <v>29.069929342928219</v>
      </c>
      <c r="I1563" t="str">
        <f t="shared" si="118"/>
        <v>GL2085;winter;216;25;29.0699293429282;TRUE;29.0699293429282</v>
      </c>
    </row>
    <row r="1564" spans="1:9" x14ac:dyDescent="0.25">
      <c r="A1564">
        <f t="shared" si="116"/>
        <v>20.291666666666664</v>
      </c>
      <c r="B1564" t="s">
        <v>23</v>
      </c>
      <c r="C1564" t="s">
        <v>7</v>
      </c>
      <c r="D1564">
        <v>216</v>
      </c>
      <c r="E1564">
        <f>E1563+5</f>
        <v>30</v>
      </c>
      <c r="F1564" s="22">
        <f>'2085GL_W'!$V7</f>
        <v>2.6300986376957276</v>
      </c>
      <c r="G1564" s="22" t="s">
        <v>33</v>
      </c>
      <c r="H1564" s="22">
        <f>'2085GL_W'!$V7</f>
        <v>2.6300986376957276</v>
      </c>
      <c r="I1564" t="str">
        <f t="shared" si="118"/>
        <v>GL2085;winter;216;30;2.63009863769573;TRUE;2.63009863769573</v>
      </c>
    </row>
    <row r="1565" spans="1:9" x14ac:dyDescent="0.25">
      <c r="A1565">
        <f t="shared" si="116"/>
        <v>20.291666666666664</v>
      </c>
      <c r="B1565" t="s">
        <v>23</v>
      </c>
      <c r="C1565" t="s">
        <v>7</v>
      </c>
      <c r="D1565">
        <v>216</v>
      </c>
      <c r="E1565">
        <f t="shared" ref="E1565:E1590" si="119">E1564+5</f>
        <v>35</v>
      </c>
      <c r="F1565" s="22">
        <f>'2085GL_W'!$V8</f>
        <v>2.0587452902657812</v>
      </c>
      <c r="G1565" s="22" t="s">
        <v>33</v>
      </c>
      <c r="H1565" s="22">
        <f>'2085GL_W'!$V8</f>
        <v>2.0587452902657812</v>
      </c>
      <c r="I1565" t="str">
        <f t="shared" si="118"/>
        <v>GL2085;winter;216;35;2.05874529026578;TRUE;2.05874529026578</v>
      </c>
    </row>
    <row r="1566" spans="1:9" x14ac:dyDescent="0.25">
      <c r="A1566">
        <f t="shared" si="116"/>
        <v>20.291666666666664</v>
      </c>
      <c r="B1566" t="s">
        <v>23</v>
      </c>
      <c r="C1566" t="s">
        <v>7</v>
      </c>
      <c r="D1566">
        <v>216</v>
      </c>
      <c r="E1566">
        <f t="shared" si="119"/>
        <v>40</v>
      </c>
      <c r="F1566" s="22">
        <f>'2085GL_W'!$V9</f>
        <v>1.6049176192415748</v>
      </c>
      <c r="G1566" s="22" t="s">
        <v>33</v>
      </c>
      <c r="H1566" s="22">
        <f>'2085GL_W'!$V9</f>
        <v>1.6049176192415748</v>
      </c>
      <c r="I1566" t="str">
        <f t="shared" si="118"/>
        <v>GL2085;winter;216;40;1.60491761924157;TRUE;1.60491761924157</v>
      </c>
    </row>
    <row r="1567" spans="1:9" x14ac:dyDescent="0.25">
      <c r="A1567">
        <f t="shared" si="116"/>
        <v>20.291666666666664</v>
      </c>
      <c r="B1567" t="s">
        <v>23</v>
      </c>
      <c r="C1567" t="s">
        <v>7</v>
      </c>
      <c r="D1567">
        <v>216</v>
      </c>
      <c r="E1567">
        <f t="shared" si="119"/>
        <v>45</v>
      </c>
      <c r="F1567" s="22">
        <f>'2085GL_W'!$V10</f>
        <v>1.2458386932954109</v>
      </c>
      <c r="G1567" s="22" t="s">
        <v>33</v>
      </c>
      <c r="H1567" s="22">
        <f>'2085GL_W'!$V10</f>
        <v>1.2458386932954109</v>
      </c>
      <c r="I1567" t="str">
        <f t="shared" si="118"/>
        <v>GL2085;winter;216;45;1.24583869329541;TRUE;1.24583869329541</v>
      </c>
    </row>
    <row r="1568" spans="1:9" x14ac:dyDescent="0.25">
      <c r="A1568">
        <f t="shared" si="116"/>
        <v>20.291666666666664</v>
      </c>
      <c r="B1568" t="s">
        <v>23</v>
      </c>
      <c r="C1568" t="s">
        <v>7</v>
      </c>
      <c r="D1568">
        <v>216</v>
      </c>
      <c r="E1568">
        <f t="shared" si="119"/>
        <v>50</v>
      </c>
      <c r="F1568" s="22">
        <f>'2085GL_W'!$V11</f>
        <v>0.96286651293429948</v>
      </c>
      <c r="G1568" s="22" t="s">
        <v>33</v>
      </c>
      <c r="H1568" s="22">
        <f>'2085GL_W'!$V11</f>
        <v>0.96286651293429948</v>
      </c>
      <c r="I1568" t="str">
        <f t="shared" si="118"/>
        <v>GL2085;winter;216;50;0.962866512934299;TRUE;0.962866512934299</v>
      </c>
    </row>
    <row r="1569" spans="1:9" x14ac:dyDescent="0.25">
      <c r="A1569">
        <f t="shared" si="116"/>
        <v>20.291666666666664</v>
      </c>
      <c r="B1569" t="s">
        <v>23</v>
      </c>
      <c r="C1569" t="s">
        <v>7</v>
      </c>
      <c r="D1569">
        <v>216</v>
      </c>
      <c r="E1569">
        <f t="shared" si="119"/>
        <v>55</v>
      </c>
      <c r="F1569" s="22">
        <f>'2085GL_W'!$V12</f>
        <v>0.74079566759979576</v>
      </c>
      <c r="G1569" s="22" t="s">
        <v>33</v>
      </c>
      <c r="H1569" s="22">
        <f>'2085GL_W'!$V12</f>
        <v>0.74079566759979576</v>
      </c>
      <c r="I1569" t="str">
        <f t="shared" si="118"/>
        <v>GL2085;winter;216;55;0.740795667599796;TRUE;0.740795667599796</v>
      </c>
    </row>
    <row r="1570" spans="1:9" x14ac:dyDescent="0.25">
      <c r="A1570">
        <f t="shared" si="116"/>
        <v>20.291666666666664</v>
      </c>
      <c r="B1570" t="s">
        <v>23</v>
      </c>
      <c r="C1570" t="s">
        <v>7</v>
      </c>
      <c r="D1570">
        <v>216</v>
      </c>
      <c r="E1570">
        <f t="shared" si="119"/>
        <v>60</v>
      </c>
      <c r="F1570" s="22">
        <f>'2085GL_W'!$V13</f>
        <v>0.56726781535176385</v>
      </c>
      <c r="G1570" s="22" t="s">
        <v>33</v>
      </c>
      <c r="H1570" s="22">
        <f>'2085GL_W'!$V13</f>
        <v>0.56726781535176385</v>
      </c>
      <c r="I1570" t="str">
        <f t="shared" si="118"/>
        <v>GL2085;winter;216;60;0.567267815351764;TRUE;0.567267815351764</v>
      </c>
    </row>
    <row r="1571" spans="1:9" x14ac:dyDescent="0.25">
      <c r="A1571">
        <f t="shared" si="116"/>
        <v>20.291666666666664</v>
      </c>
      <c r="B1571" t="s">
        <v>23</v>
      </c>
      <c r="C1571" t="s">
        <v>7</v>
      </c>
      <c r="D1571">
        <v>216</v>
      </c>
      <c r="E1571">
        <f t="shared" si="119"/>
        <v>65</v>
      </c>
      <c r="F1571" s="22">
        <f>'2085GL_W'!$V14</f>
        <v>0.43227549495556405</v>
      </c>
      <c r="G1571" s="22" t="s">
        <v>33</v>
      </c>
      <c r="H1571" s="22">
        <f>'2085GL_W'!$V14</f>
        <v>0.43227549495556405</v>
      </c>
      <c r="I1571" t="str">
        <f t="shared" si="118"/>
        <v>GL2085;winter;216;65;0.432275494955564;TRUE;0.432275494955564</v>
      </c>
    </row>
    <row r="1572" spans="1:9" x14ac:dyDescent="0.25">
      <c r="A1572">
        <f t="shared" si="116"/>
        <v>20.291666666666664</v>
      </c>
      <c r="B1572" t="s">
        <v>23</v>
      </c>
      <c r="C1572" t="s">
        <v>7</v>
      </c>
      <c r="D1572">
        <v>216</v>
      </c>
      <c r="E1572">
        <f t="shared" si="119"/>
        <v>70</v>
      </c>
      <c r="F1572" s="22">
        <f>'2085GL_W'!$V15</f>
        <v>0.32774576925512877</v>
      </c>
      <c r="G1572" s="22" t="s">
        <v>33</v>
      </c>
      <c r="H1572" s="22">
        <f>'2085GL_W'!$V15</f>
        <v>0.32774576925512877</v>
      </c>
      <c r="I1572" t="str">
        <f t="shared" si="118"/>
        <v>GL2085;winter;216;70;0.327745769255129;TRUE;0.327745769255129</v>
      </c>
    </row>
    <row r="1573" spans="1:9" x14ac:dyDescent="0.25">
      <c r="A1573">
        <f t="shared" si="116"/>
        <v>20.291666666666664</v>
      </c>
      <c r="B1573" t="s">
        <v>23</v>
      </c>
      <c r="C1573" t="s">
        <v>7</v>
      </c>
      <c r="D1573">
        <v>216</v>
      </c>
      <c r="E1573">
        <f t="shared" si="119"/>
        <v>75</v>
      </c>
      <c r="F1573" s="22">
        <f>'2085GL_W'!$V16</f>
        <v>0.2471919610258102</v>
      </c>
      <c r="G1573" s="22" t="s">
        <v>33</v>
      </c>
      <c r="H1573" s="22">
        <f>'2085GL_W'!$V16</f>
        <v>0.2471919610258102</v>
      </c>
      <c r="I1573" t="str">
        <f t="shared" si="118"/>
        <v>GL2085;winter;216;75;0.24719196102581;TRUE;0.24719196102581</v>
      </c>
    </row>
    <row r="1574" spans="1:9" x14ac:dyDescent="0.25">
      <c r="A1574">
        <f t="shared" si="116"/>
        <v>20.291666666666664</v>
      </c>
      <c r="B1574" t="s">
        <v>23</v>
      </c>
      <c r="C1574" t="s">
        <v>7</v>
      </c>
      <c r="D1574">
        <v>216</v>
      </c>
      <c r="E1574">
        <f t="shared" si="119"/>
        <v>80</v>
      </c>
      <c r="F1574" s="22">
        <f>'2085GL_W'!$V17</f>
        <v>0.18542330052806955</v>
      </c>
      <c r="G1574" s="22" t="s">
        <v>33</v>
      </c>
      <c r="H1574" s="22">
        <f>'2085GL_W'!$V17</f>
        <v>0.18542330052806955</v>
      </c>
      <c r="I1574" t="str">
        <f t="shared" si="118"/>
        <v>GL2085;winter;216;80;0.18542330052807;TRUE;0.18542330052807</v>
      </c>
    </row>
    <row r="1575" spans="1:9" x14ac:dyDescent="0.25">
      <c r="A1575">
        <f t="shared" si="116"/>
        <v>20.291666666666664</v>
      </c>
      <c r="B1575" t="s">
        <v>23</v>
      </c>
      <c r="C1575" t="s">
        <v>7</v>
      </c>
      <c r="D1575">
        <v>216</v>
      </c>
      <c r="E1575">
        <f t="shared" si="119"/>
        <v>85</v>
      </c>
      <c r="F1575" s="22">
        <f>'2085GL_W'!$V18</f>
        <v>0.13830367831566859</v>
      </c>
      <c r="G1575" s="22" t="s">
        <v>33</v>
      </c>
      <c r="H1575" s="22">
        <f>'2085GL_W'!$V18</f>
        <v>0.13830367831566859</v>
      </c>
      <c r="I1575" t="str">
        <f t="shared" si="118"/>
        <v>GL2085;winter;216;85;0.138303678315669;TRUE;0.138303678315669</v>
      </c>
    </row>
    <row r="1576" spans="1:9" x14ac:dyDescent="0.25">
      <c r="A1576">
        <f t="shared" si="116"/>
        <v>20.291666666666664</v>
      </c>
      <c r="B1576" t="s">
        <v>23</v>
      </c>
      <c r="C1576" t="s">
        <v>7</v>
      </c>
      <c r="D1576">
        <v>216</v>
      </c>
      <c r="E1576">
        <f t="shared" si="119"/>
        <v>90</v>
      </c>
      <c r="F1576" s="22">
        <f>'2085GL_W'!$V19</f>
        <v>0.102551906328682</v>
      </c>
      <c r="G1576" s="22" t="s">
        <v>33</v>
      </c>
      <c r="H1576" s="22">
        <f>'2085GL_W'!$V19</f>
        <v>0.102551906328682</v>
      </c>
      <c r="I1576" t="str">
        <f t="shared" si="118"/>
        <v>GL2085;winter;216;90;0.102551906328682;TRUE;0.102551906328682</v>
      </c>
    </row>
    <row r="1577" spans="1:9" x14ac:dyDescent="0.25">
      <c r="A1577">
        <f t="shared" si="116"/>
        <v>20.291666666666664</v>
      </c>
      <c r="B1577" t="s">
        <v>23</v>
      </c>
      <c r="C1577" t="s">
        <v>7</v>
      </c>
      <c r="D1577">
        <v>216</v>
      </c>
      <c r="E1577">
        <f t="shared" si="119"/>
        <v>95</v>
      </c>
      <c r="F1577" s="22">
        <f>'2085GL_W'!$V20</f>
        <v>7.5576952127636265E-2</v>
      </c>
      <c r="G1577" s="22" t="s">
        <v>33</v>
      </c>
      <c r="H1577" s="22">
        <f>'2085GL_W'!$V20</f>
        <v>7.5576952127636265E-2</v>
      </c>
      <c r="I1577" t="str">
        <f t="shared" si="118"/>
        <v>GL2085;winter;216;95;7.55769521276363E-02;TRUE;7.55769521276363E-02</v>
      </c>
    </row>
    <row r="1578" spans="1:9" x14ac:dyDescent="0.25">
      <c r="A1578">
        <f t="shared" si="116"/>
        <v>20.291666666666664</v>
      </c>
      <c r="B1578" t="s">
        <v>23</v>
      </c>
      <c r="C1578" t="s">
        <v>7</v>
      </c>
      <c r="D1578">
        <v>216</v>
      </c>
      <c r="E1578">
        <f t="shared" si="119"/>
        <v>100</v>
      </c>
      <c r="F1578" s="22">
        <f>'2085GL_W'!$V21</f>
        <v>5.5342540988443073E-2</v>
      </c>
      <c r="G1578" s="22" t="s">
        <v>33</v>
      </c>
      <c r="H1578" s="22">
        <f>'2085GL_W'!$V21</f>
        <v>5.5342540988443073E-2</v>
      </c>
      <c r="I1578" t="str">
        <f t="shared" si="118"/>
        <v>GL2085;winter;216;100;5.53425409884431E-02;TRUE;5.53425409884431E-02</v>
      </c>
    </row>
    <row r="1579" spans="1:9" x14ac:dyDescent="0.25">
      <c r="A1579">
        <f t="shared" si="116"/>
        <v>20.291666666666664</v>
      </c>
      <c r="B1579" t="s">
        <v>23</v>
      </c>
      <c r="C1579" t="s">
        <v>7</v>
      </c>
      <c r="D1579">
        <v>216</v>
      </c>
      <c r="E1579">
        <f t="shared" si="119"/>
        <v>105</v>
      </c>
      <c r="F1579" s="22">
        <f>'2085GL_W'!$V22</f>
        <v>4.0256332757504662E-2</v>
      </c>
      <c r="G1579" s="22" t="s">
        <v>33</v>
      </c>
      <c r="H1579" s="22">
        <f>'2085GL_W'!$V22</f>
        <v>4.0256332757504662E-2</v>
      </c>
      <c r="I1579" t="str">
        <f t="shared" si="118"/>
        <v>GL2085;winter;216;105;4.02563327575047E-02;TRUE;4.02563327575047E-02</v>
      </c>
    </row>
    <row r="1580" spans="1:9" x14ac:dyDescent="0.25">
      <c r="A1580">
        <f t="shared" si="116"/>
        <v>20.291666666666664</v>
      </c>
      <c r="B1580" t="s">
        <v>23</v>
      </c>
      <c r="C1580" t="s">
        <v>7</v>
      </c>
      <c r="D1580">
        <v>216</v>
      </c>
      <c r="E1580">
        <f t="shared" si="119"/>
        <v>110</v>
      </c>
      <c r="F1580" s="22">
        <f>'2085GL_W'!$V23</f>
        <v>2.9079587834629689E-2</v>
      </c>
      <c r="G1580" s="22" t="s">
        <v>33</v>
      </c>
      <c r="H1580" s="22">
        <f>'2085GL_W'!$V23</f>
        <v>2.9079587834629689E-2</v>
      </c>
      <c r="I1580" t="str">
        <f t="shared" si="118"/>
        <v>GL2085;winter;216;110;2.90795878346297E-02;TRUE;2.90795878346297E-02</v>
      </c>
    </row>
    <row r="1581" spans="1:9" x14ac:dyDescent="0.25">
      <c r="A1581">
        <f t="shared" si="116"/>
        <v>20.291666666666664</v>
      </c>
      <c r="B1581" t="s">
        <v>23</v>
      </c>
      <c r="C1581" t="s">
        <v>7</v>
      </c>
      <c r="D1581">
        <v>216</v>
      </c>
      <c r="E1581">
        <f t="shared" si="119"/>
        <v>115</v>
      </c>
      <c r="F1581" s="22">
        <f>'2085GL_W'!$V24</f>
        <v>2.0853851170474759E-2</v>
      </c>
      <c r="G1581" s="22" t="s">
        <v>33</v>
      </c>
      <c r="H1581" s="22">
        <f>'2085GL_W'!$V24</f>
        <v>2.0853851170474759E-2</v>
      </c>
      <c r="I1581" t="str">
        <f t="shared" si="118"/>
        <v>GL2085;winter;216;115;2.08538511704748E-02;TRUE;2.08538511704748E-02</v>
      </c>
    </row>
    <row r="1582" spans="1:9" x14ac:dyDescent="0.25">
      <c r="A1582">
        <f t="shared" si="116"/>
        <v>20.291666666666664</v>
      </c>
      <c r="B1582" t="s">
        <v>23</v>
      </c>
      <c r="C1582" t="s">
        <v>7</v>
      </c>
      <c r="D1582">
        <v>216</v>
      </c>
      <c r="E1582">
        <f t="shared" si="119"/>
        <v>120</v>
      </c>
      <c r="F1582" s="22">
        <f>'2085GL_W'!$V25</f>
        <v>1.4841715379498764E-2</v>
      </c>
      <c r="G1582" s="22" t="s">
        <v>33</v>
      </c>
      <c r="H1582" s="22">
        <f>'2085GL_W'!$V25</f>
        <v>1.4841715379498764E-2</v>
      </c>
      <c r="I1582" t="str">
        <f t="shared" si="118"/>
        <v>GL2085;winter;216;120;1.48417153794988E-02;TRUE;1.48417153794988E-02</v>
      </c>
    </row>
    <row r="1583" spans="1:9" x14ac:dyDescent="0.25">
      <c r="A1583">
        <f t="shared" si="116"/>
        <v>20.291666666666664</v>
      </c>
      <c r="B1583" t="s">
        <v>23</v>
      </c>
      <c r="C1583" t="s">
        <v>7</v>
      </c>
      <c r="D1583">
        <v>216</v>
      </c>
      <c r="E1583">
        <f t="shared" si="119"/>
        <v>125</v>
      </c>
      <c r="F1583" s="22">
        <f>'2085GL_W'!$V26</f>
        <v>1.0479183590729579E-2</v>
      </c>
      <c r="G1583" s="22" t="s">
        <v>33</v>
      </c>
      <c r="H1583" s="22">
        <f>'2085GL_W'!$V26</f>
        <v>1.0479183590729579E-2</v>
      </c>
      <c r="I1583" t="str">
        <f t="shared" si="118"/>
        <v>GL2085;winter;216;125;1.04791835907296E-02;TRUE;1.04791835907296E-02</v>
      </c>
    </row>
    <row r="1584" spans="1:9" x14ac:dyDescent="0.25">
      <c r="A1584">
        <f t="shared" si="116"/>
        <v>20.291666666666664</v>
      </c>
      <c r="B1584" t="s">
        <v>23</v>
      </c>
      <c r="C1584" t="s">
        <v>7</v>
      </c>
      <c r="D1584">
        <v>216</v>
      </c>
      <c r="E1584">
        <f t="shared" si="119"/>
        <v>130</v>
      </c>
      <c r="F1584" s="22">
        <f>'2085GL_W'!$V27</f>
        <v>7.3375481483873815E-3</v>
      </c>
      <c r="G1584" s="22" t="s">
        <v>33</v>
      </c>
      <c r="H1584" s="22">
        <f>'2085GL_W'!$V27</f>
        <v>7.3375481483873815E-3</v>
      </c>
      <c r="I1584" t="str">
        <f t="shared" si="118"/>
        <v>GL2085;winter;216;130;7.33754814838738E-03;TRUE;7.33754814838738E-03</v>
      </c>
    </row>
    <row r="1585" spans="1:9" x14ac:dyDescent="0.25">
      <c r="A1585">
        <f t="shared" si="116"/>
        <v>20.291666666666664</v>
      </c>
      <c r="B1585" t="s">
        <v>23</v>
      </c>
      <c r="C1585" t="s">
        <v>7</v>
      </c>
      <c r="D1585">
        <v>216</v>
      </c>
      <c r="E1585">
        <f t="shared" si="119"/>
        <v>135</v>
      </c>
      <c r="F1585" s="22">
        <f>'2085GL_W'!$V28</f>
        <v>5.0930405191732548E-3</v>
      </c>
      <c r="G1585" s="22" t="s">
        <v>33</v>
      </c>
      <c r="H1585" s="22">
        <f>'2085GL_W'!$V28</f>
        <v>5.0930405191732548E-3</v>
      </c>
      <c r="I1585" t="str">
        <f t="shared" si="118"/>
        <v>GL2085;winter;216;135;5.09304051917325E-03;TRUE;5.09304051917325E-03</v>
      </c>
    </row>
    <row r="1586" spans="1:9" x14ac:dyDescent="0.25">
      <c r="A1586">
        <f t="shared" si="116"/>
        <v>20.291666666666664</v>
      </c>
      <c r="B1586" t="s">
        <v>23</v>
      </c>
      <c r="C1586" t="s">
        <v>7</v>
      </c>
      <c r="D1586">
        <v>216</v>
      </c>
      <c r="E1586">
        <f t="shared" si="119"/>
        <v>140</v>
      </c>
      <c r="F1586" s="22">
        <f>'2085GL_W'!$V29</f>
        <v>3.5027977467798144E-3</v>
      </c>
      <c r="G1586" s="22" t="s">
        <v>33</v>
      </c>
      <c r="H1586" s="22">
        <f>'2085GL_W'!$V29</f>
        <v>3.5027977467798144E-3</v>
      </c>
      <c r="I1586" t="str">
        <f t="shared" si="118"/>
        <v>GL2085;winter;216;140;3.50279774677981E-03;TRUE;3.50279774677981E-03</v>
      </c>
    </row>
    <row r="1587" spans="1:9" x14ac:dyDescent="0.25">
      <c r="A1587">
        <f t="shared" si="116"/>
        <v>20.291666666666664</v>
      </c>
      <c r="B1587" t="s">
        <v>23</v>
      </c>
      <c r="C1587" t="s">
        <v>7</v>
      </c>
      <c r="D1587">
        <v>216</v>
      </c>
      <c r="E1587">
        <f t="shared" si="119"/>
        <v>145</v>
      </c>
      <c r="F1587" s="22">
        <f>'2085GL_W'!$V30</f>
        <v>2.3859377652159595E-3</v>
      </c>
      <c r="G1587" s="22" t="s">
        <v>33</v>
      </c>
      <c r="H1587" s="22">
        <f>'2085GL_W'!$V30</f>
        <v>2.3859377652159595E-3</v>
      </c>
      <c r="I1587" t="str">
        <f t="shared" si="118"/>
        <v>GL2085;winter;216;145;2.38593776521596E-03;TRUE;2.38593776521596E-03</v>
      </c>
    </row>
    <row r="1588" spans="1:9" x14ac:dyDescent="0.25">
      <c r="A1588">
        <f t="shared" si="116"/>
        <v>20.291666666666664</v>
      </c>
      <c r="B1588" t="s">
        <v>23</v>
      </c>
      <c r="C1588" t="s">
        <v>7</v>
      </c>
      <c r="D1588">
        <v>216</v>
      </c>
      <c r="E1588">
        <f t="shared" si="119"/>
        <v>150</v>
      </c>
      <c r="F1588" s="22">
        <f>'2085GL_W'!$V31</f>
        <v>1.6087454166736773E-3</v>
      </c>
      <c r="G1588" s="22" t="s">
        <v>33</v>
      </c>
      <c r="H1588" s="22">
        <f>'2085GL_W'!$V31</f>
        <v>1.6087454166736773E-3</v>
      </c>
      <c r="I1588" t="str">
        <f t="shared" si="118"/>
        <v>GL2085;winter;216;150;1.60874541667368E-03;TRUE;1.60874541667368E-03</v>
      </c>
    </row>
    <row r="1589" spans="1:9" x14ac:dyDescent="0.25">
      <c r="A1589">
        <f t="shared" si="116"/>
        <v>20.291666666666664</v>
      </c>
      <c r="B1589" t="s">
        <v>23</v>
      </c>
      <c r="C1589" t="s">
        <v>7</v>
      </c>
      <c r="D1589">
        <v>216</v>
      </c>
      <c r="E1589">
        <f t="shared" si="119"/>
        <v>155</v>
      </c>
      <c r="F1589" s="22">
        <f>'2085GL_W'!$V32</f>
        <v>1.0731480789219284E-3</v>
      </c>
      <c r="G1589" s="22" t="s">
        <v>33</v>
      </c>
      <c r="H1589" s="22">
        <f>'2085GL_W'!$V32</f>
        <v>1.0731480789219284E-3</v>
      </c>
      <c r="I1589" t="str">
        <f t="shared" si="118"/>
        <v>GL2085;winter;216;155;1.07314807892193E-03;TRUE;1.07314807892193E-03</v>
      </c>
    </row>
    <row r="1590" spans="1:9" x14ac:dyDescent="0.25">
      <c r="A1590">
        <f t="shared" si="116"/>
        <v>20.291666666666664</v>
      </c>
      <c r="B1590" t="s">
        <v>23</v>
      </c>
      <c r="C1590" t="s">
        <v>7</v>
      </c>
      <c r="D1590">
        <v>216</v>
      </c>
      <c r="E1590">
        <f t="shared" si="119"/>
        <v>160</v>
      </c>
      <c r="F1590" s="22">
        <f>'2085GL_W'!$V33</f>
        <v>1.9502620877655018E-3</v>
      </c>
      <c r="G1590" s="22" t="s">
        <v>33</v>
      </c>
      <c r="H1590" s="22">
        <f>'2085GL_W'!$V33</f>
        <v>1.9502620877655018E-3</v>
      </c>
      <c r="I1590" t="str">
        <f t="shared" si="118"/>
        <v>GL2085;winter;216;160;1.9502620877655E-03;TRUE;1.9502620877655E-03</v>
      </c>
    </row>
    <row r="1591" spans="1:9" x14ac:dyDescent="0.25">
      <c r="A1591">
        <f t="shared" si="116"/>
        <v>182.625</v>
      </c>
      <c r="B1591" t="s">
        <v>24</v>
      </c>
      <c r="C1591" t="s">
        <v>11</v>
      </c>
      <c r="D1591">
        <v>24</v>
      </c>
      <c r="E1591">
        <v>15</v>
      </c>
      <c r="F1591" s="22">
        <f>'2085GH_Z'!$F4</f>
        <v>357.70412516940041</v>
      </c>
      <c r="G1591" s="22" t="s">
        <v>33</v>
      </c>
      <c r="H1591" s="22">
        <f>'2085GH_Z'!$F4</f>
        <v>357.70412516940041</v>
      </c>
      <c r="I1591" t="str">
        <f t="shared" si="118"/>
        <v>GH2085;zomer;24;15;357.7041251694;TRUE;357.7041251694</v>
      </c>
    </row>
    <row r="1592" spans="1:9" x14ac:dyDescent="0.25">
      <c r="A1592">
        <f t="shared" si="116"/>
        <v>182.625</v>
      </c>
      <c r="B1592" t="s">
        <v>24</v>
      </c>
      <c r="C1592" t="s">
        <v>11</v>
      </c>
      <c r="D1592">
        <v>24</v>
      </c>
      <c r="E1592">
        <f>E1591+5</f>
        <v>20</v>
      </c>
      <c r="F1592" s="22">
        <f>'2085GH_Z'!$F5</f>
        <v>3.2195414289861732</v>
      </c>
      <c r="G1592" s="22" t="s">
        <v>33</v>
      </c>
      <c r="H1592" s="22">
        <f>'2085GH_Z'!$F5</f>
        <v>3.2195414289861732</v>
      </c>
      <c r="I1592" t="str">
        <f t="shared" si="118"/>
        <v>GH2085;zomer;24;20;3.21954142898617;TRUE;3.21954142898617</v>
      </c>
    </row>
    <row r="1593" spans="1:9" x14ac:dyDescent="0.25">
      <c r="A1593">
        <f t="shared" si="116"/>
        <v>182.625</v>
      </c>
      <c r="B1593" t="s">
        <v>24</v>
      </c>
      <c r="C1593" t="s">
        <v>11</v>
      </c>
      <c r="D1593">
        <v>24</v>
      </c>
      <c r="E1593">
        <f t="shared" ref="E1593:E1609" si="120">E1592+5</f>
        <v>25</v>
      </c>
      <c r="F1593" s="22">
        <f>'2085GH_Z'!$F6</f>
        <v>1.7914422765208173</v>
      </c>
      <c r="G1593" s="22" t="s">
        <v>33</v>
      </c>
      <c r="H1593" s="22">
        <f>'2085GH_Z'!$F6</f>
        <v>1.7914422765208173</v>
      </c>
      <c r="I1593" t="str">
        <f t="shared" si="118"/>
        <v>GH2085;zomer;24;25;1.79144227652082;TRUE;1.79144227652082</v>
      </c>
    </row>
    <row r="1594" spans="1:9" x14ac:dyDescent="0.25">
      <c r="A1594">
        <f t="shared" si="116"/>
        <v>182.625</v>
      </c>
      <c r="B1594" t="s">
        <v>24</v>
      </c>
      <c r="C1594" t="s">
        <v>11</v>
      </c>
      <c r="D1594">
        <v>24</v>
      </c>
      <c r="E1594">
        <f t="shared" si="120"/>
        <v>30</v>
      </c>
      <c r="F1594" s="22">
        <f>'2085GH_Z'!$F7</f>
        <v>1.0195195397705406</v>
      </c>
      <c r="G1594" s="22" t="s">
        <v>33</v>
      </c>
      <c r="H1594" s="22">
        <f>'2085GH_Z'!$F7</f>
        <v>1.0195195397705406</v>
      </c>
      <c r="I1594" t="str">
        <f t="shared" si="118"/>
        <v>GH2085;zomer;24;30;1.01951953977054;TRUE;1.01951953977054</v>
      </c>
    </row>
    <row r="1595" spans="1:9" x14ac:dyDescent="0.25">
      <c r="A1595">
        <f t="shared" si="116"/>
        <v>182.625</v>
      </c>
      <c r="B1595" t="s">
        <v>24</v>
      </c>
      <c r="C1595" t="s">
        <v>11</v>
      </c>
      <c r="D1595">
        <v>24</v>
      </c>
      <c r="E1595">
        <f t="shared" si="120"/>
        <v>35</v>
      </c>
      <c r="F1595" s="22">
        <f>'2085GH_Z'!$F8</f>
        <v>0.59244322065640698</v>
      </c>
      <c r="G1595" s="22" t="s">
        <v>33</v>
      </c>
      <c r="H1595" s="22">
        <f>'2085GH_Z'!$F8</f>
        <v>0.59244322065640698</v>
      </c>
      <c r="I1595" t="str">
        <f t="shared" si="118"/>
        <v>GH2085;zomer;24;35;0.592443220656407;TRUE;0.592443220656407</v>
      </c>
    </row>
    <row r="1596" spans="1:9" x14ac:dyDescent="0.25">
      <c r="A1596">
        <f t="shared" si="116"/>
        <v>182.625</v>
      </c>
      <c r="B1596" t="s">
        <v>24</v>
      </c>
      <c r="C1596" t="s">
        <v>11</v>
      </c>
      <c r="D1596">
        <v>24</v>
      </c>
      <c r="E1596">
        <f t="shared" si="120"/>
        <v>40</v>
      </c>
      <c r="F1596" s="22">
        <f>'2085GH_Z'!$F9</f>
        <v>0.35100136873919918</v>
      </c>
      <c r="G1596" s="22" t="s">
        <v>33</v>
      </c>
      <c r="H1596" s="22">
        <f>'2085GH_Z'!$F9</f>
        <v>0.35100136873919918</v>
      </c>
      <c r="I1596" t="str">
        <f t="shared" si="118"/>
        <v>GH2085;zomer;24;40;0.351001368739199;TRUE;0.351001368739199</v>
      </c>
    </row>
    <row r="1597" spans="1:9" x14ac:dyDescent="0.25">
      <c r="A1597">
        <f t="shared" si="116"/>
        <v>182.625</v>
      </c>
      <c r="B1597" t="s">
        <v>24</v>
      </c>
      <c r="C1597" t="s">
        <v>11</v>
      </c>
      <c r="D1597">
        <v>24</v>
      </c>
      <c r="E1597">
        <f t="shared" si="120"/>
        <v>45</v>
      </c>
      <c r="F1597" s="22">
        <f>'2085GH_Z'!$F10</f>
        <v>0.21173925209238187</v>
      </c>
      <c r="G1597" s="22" t="s">
        <v>33</v>
      </c>
      <c r="H1597" s="22">
        <f>'2085GH_Z'!$F10</f>
        <v>0.21173925209238187</v>
      </c>
      <c r="I1597" t="str">
        <f t="shared" si="118"/>
        <v>GH2085;zomer;24;45;0.211739252092382;TRUE;0.211739252092382</v>
      </c>
    </row>
    <row r="1598" spans="1:9" x14ac:dyDescent="0.25">
      <c r="A1598">
        <f t="shared" si="116"/>
        <v>182.625</v>
      </c>
      <c r="B1598" t="s">
        <v>24</v>
      </c>
      <c r="C1598" t="s">
        <v>11</v>
      </c>
      <c r="D1598">
        <v>24</v>
      </c>
      <c r="E1598">
        <f t="shared" si="120"/>
        <v>50</v>
      </c>
      <c r="F1598" s="22">
        <f>'2085GH_Z'!$F11</f>
        <v>0.12989791507288284</v>
      </c>
      <c r="G1598" s="22" t="s">
        <v>33</v>
      </c>
      <c r="H1598" s="22">
        <f>'2085GH_Z'!$F11</f>
        <v>0.12989791507288284</v>
      </c>
      <c r="I1598" t="str">
        <f t="shared" si="118"/>
        <v>GH2085;zomer;24;50;0.129897915072883;TRUE;0.129897915072883</v>
      </c>
    </row>
    <row r="1599" spans="1:9" x14ac:dyDescent="0.25">
      <c r="A1599">
        <f t="shared" si="116"/>
        <v>182.625</v>
      </c>
      <c r="B1599" t="s">
        <v>24</v>
      </c>
      <c r="C1599" t="s">
        <v>11</v>
      </c>
      <c r="D1599">
        <v>24</v>
      </c>
      <c r="E1599">
        <f t="shared" si="120"/>
        <v>55</v>
      </c>
      <c r="F1599" s="22">
        <f>'2085GH_Z'!$F12</f>
        <v>8.0954241672478777E-2</v>
      </c>
      <c r="G1599" s="22" t="s">
        <v>33</v>
      </c>
      <c r="H1599" s="22">
        <f>'2085GH_Z'!$F12</f>
        <v>8.0954241672478777E-2</v>
      </c>
      <c r="I1599" t="str">
        <f t="shared" si="118"/>
        <v>GH2085;zomer;24;55;8.09542416724788E-02;TRUE;8.09542416724788E-02</v>
      </c>
    </row>
    <row r="1600" spans="1:9" x14ac:dyDescent="0.25">
      <c r="A1600">
        <f t="shared" si="116"/>
        <v>182.625</v>
      </c>
      <c r="B1600" t="s">
        <v>24</v>
      </c>
      <c r="C1600" t="s">
        <v>11</v>
      </c>
      <c r="D1600">
        <v>24</v>
      </c>
      <c r="E1600">
        <f t="shared" si="120"/>
        <v>60</v>
      </c>
      <c r="F1600" s="22">
        <f>'2085GH_Z'!$F13</f>
        <v>5.1201929092149656E-2</v>
      </c>
      <c r="G1600" s="22" t="s">
        <v>33</v>
      </c>
      <c r="H1600" s="22">
        <f>'2085GH_Z'!$F13</f>
        <v>5.1201929092149656E-2</v>
      </c>
      <c r="I1600" t="str">
        <f t="shared" si="118"/>
        <v>GH2085;zomer;24;60;5.12019290921497E-02;TRUE;5.12019290921497E-02</v>
      </c>
    </row>
    <row r="1601" spans="1:9" x14ac:dyDescent="0.25">
      <c r="A1601">
        <f t="shared" si="116"/>
        <v>182.625</v>
      </c>
      <c r="B1601" t="s">
        <v>24</v>
      </c>
      <c r="C1601" t="s">
        <v>11</v>
      </c>
      <c r="D1601">
        <v>24</v>
      </c>
      <c r="E1601">
        <f t="shared" si="120"/>
        <v>65</v>
      </c>
      <c r="F1601" s="22">
        <f>'2085GH_Z'!$F14</f>
        <v>3.2836275367624429E-2</v>
      </c>
      <c r="G1601" s="22" t="s">
        <v>33</v>
      </c>
      <c r="H1601" s="22">
        <f>'2085GH_Z'!$F14</f>
        <v>3.2836275367624429E-2</v>
      </c>
      <c r="I1601" t="str">
        <f t="shared" si="118"/>
        <v>GH2085;zomer;24;65;3.28362753676244E-02;TRUE;3.28362753676244E-02</v>
      </c>
    </row>
    <row r="1602" spans="1:9" x14ac:dyDescent="0.25">
      <c r="A1602">
        <f t="shared" ref="A1602:A1665" si="121">IF(C1602="zomer",24/D1602*365.25 * 6/12,24/D1602*365.25 * 6/12)</f>
        <v>182.625</v>
      </c>
      <c r="B1602" t="s">
        <v>24</v>
      </c>
      <c r="C1602" t="s">
        <v>11</v>
      </c>
      <c r="D1602">
        <v>24</v>
      </c>
      <c r="E1602">
        <f t="shared" si="120"/>
        <v>70</v>
      </c>
      <c r="F1602" s="22">
        <f>'2085GH_Z'!$F15</f>
        <v>2.1334780602982176E-2</v>
      </c>
      <c r="G1602" s="22" t="s">
        <v>33</v>
      </c>
      <c r="H1602" s="22">
        <f>'2085GH_Z'!$F15</f>
        <v>2.1334780602982176E-2</v>
      </c>
      <c r="I1602" t="str">
        <f t="shared" ref="I1602:I1665" si="122">CONCATENATEWITHDELIMITER(B1602:H1602,";")</f>
        <v>GH2085;zomer;24;70;2.13347806029822E-02;TRUE;2.13347806029822E-02</v>
      </c>
    </row>
    <row r="1603" spans="1:9" x14ac:dyDescent="0.25">
      <c r="A1603">
        <f t="shared" si="121"/>
        <v>182.625</v>
      </c>
      <c r="B1603" t="s">
        <v>24</v>
      </c>
      <c r="C1603" t="s">
        <v>11</v>
      </c>
      <c r="D1603">
        <v>24</v>
      </c>
      <c r="E1603">
        <f t="shared" si="120"/>
        <v>75</v>
      </c>
      <c r="F1603" s="22">
        <f>'2085GH_Z'!$F16</f>
        <v>1.4033482565764373E-2</v>
      </c>
      <c r="G1603" s="22" t="s">
        <v>33</v>
      </c>
      <c r="H1603" s="22">
        <f>'2085GH_Z'!$F16</f>
        <v>1.4033482565764373E-2</v>
      </c>
      <c r="I1603" t="str">
        <f t="shared" si="122"/>
        <v>GH2085;zomer;24;75;1.40334825657644E-02;TRUE;1.40334825657644E-02</v>
      </c>
    </row>
    <row r="1604" spans="1:9" x14ac:dyDescent="0.25">
      <c r="A1604">
        <f t="shared" si="121"/>
        <v>182.625</v>
      </c>
      <c r="B1604" t="s">
        <v>24</v>
      </c>
      <c r="C1604" t="s">
        <v>11</v>
      </c>
      <c r="D1604">
        <v>24</v>
      </c>
      <c r="E1604">
        <f t="shared" si="120"/>
        <v>80</v>
      </c>
      <c r="F1604" s="22">
        <f>'2085GH_Z'!$F17</f>
        <v>9.3387550352035838E-3</v>
      </c>
      <c r="G1604" s="22" t="s">
        <v>33</v>
      </c>
      <c r="H1604" s="22">
        <f>'2085GH_Z'!$F17</f>
        <v>9.3387550352035838E-3</v>
      </c>
      <c r="I1604" t="str">
        <f t="shared" si="122"/>
        <v>GH2085;zomer;24;80;9.33875503520358E-03;TRUE;9.33875503520358E-03</v>
      </c>
    </row>
    <row r="1605" spans="1:9" x14ac:dyDescent="0.25">
      <c r="A1605">
        <f t="shared" si="121"/>
        <v>182.625</v>
      </c>
      <c r="B1605" t="s">
        <v>24</v>
      </c>
      <c r="C1605" t="s">
        <v>11</v>
      </c>
      <c r="D1605">
        <v>24</v>
      </c>
      <c r="E1605">
        <f t="shared" si="120"/>
        <v>85</v>
      </c>
      <c r="F1605" s="22">
        <f>'2085GH_Z'!$F18</f>
        <v>6.2832753115720976E-3</v>
      </c>
      <c r="G1605" s="22" t="s">
        <v>33</v>
      </c>
      <c r="H1605" s="22">
        <f>'2085GH_Z'!$F18</f>
        <v>6.2832753115720976E-3</v>
      </c>
      <c r="I1605" t="str">
        <f t="shared" si="122"/>
        <v>GH2085;zomer;24;85;6.2832753115721E-03;TRUE;6.2832753115721E-03</v>
      </c>
    </row>
    <row r="1606" spans="1:9" x14ac:dyDescent="0.25">
      <c r="A1606">
        <f t="shared" si="121"/>
        <v>182.625</v>
      </c>
      <c r="B1606" t="s">
        <v>24</v>
      </c>
      <c r="C1606" t="s">
        <v>11</v>
      </c>
      <c r="D1606">
        <v>24</v>
      </c>
      <c r="E1606">
        <f t="shared" si="120"/>
        <v>90</v>
      </c>
      <c r="F1606" s="22">
        <f>'2085GH_Z'!$F19</f>
        <v>4.2717482561738882E-3</v>
      </c>
      <c r="G1606" s="22" t="s">
        <v>33</v>
      </c>
      <c r="H1606" s="22">
        <f>'2085GH_Z'!$F19</f>
        <v>4.2717482561738882E-3</v>
      </c>
      <c r="I1606" t="str">
        <f t="shared" si="122"/>
        <v>GH2085;zomer;24;90;4.27174825617389E-03;TRUE;4.27174825617389E-03</v>
      </c>
    </row>
    <row r="1607" spans="1:9" x14ac:dyDescent="0.25">
      <c r="A1607">
        <f t="shared" si="121"/>
        <v>182.625</v>
      </c>
      <c r="B1607" t="s">
        <v>24</v>
      </c>
      <c r="C1607" t="s">
        <v>11</v>
      </c>
      <c r="D1607">
        <v>24</v>
      </c>
      <c r="E1607">
        <f t="shared" si="120"/>
        <v>95</v>
      </c>
      <c r="F1607" s="22">
        <f>'2085GH_Z'!$F20</f>
        <v>2.9330256931150989E-3</v>
      </c>
      <c r="G1607" s="22" t="s">
        <v>33</v>
      </c>
      <c r="H1607" s="22">
        <f>'2085GH_Z'!$F20</f>
        <v>2.9330256931150989E-3</v>
      </c>
      <c r="I1607" t="str">
        <f t="shared" si="122"/>
        <v>GH2085;zomer;24;95;2.9330256931151E-03;TRUE;2.9330256931151E-03</v>
      </c>
    </row>
    <row r="1608" spans="1:9" x14ac:dyDescent="0.25">
      <c r="A1608">
        <f t="shared" si="121"/>
        <v>182.625</v>
      </c>
      <c r="B1608" t="s">
        <v>24</v>
      </c>
      <c r="C1608" t="s">
        <v>11</v>
      </c>
      <c r="D1608">
        <v>24</v>
      </c>
      <c r="E1608">
        <f t="shared" si="120"/>
        <v>100</v>
      </c>
      <c r="F1608" s="22">
        <f>'2085GH_Z'!$F21</f>
        <v>2.0328359367469372E-3</v>
      </c>
      <c r="G1608" s="22" t="s">
        <v>33</v>
      </c>
      <c r="H1608" s="22">
        <f>'2085GH_Z'!$F21</f>
        <v>2.0328359367469372E-3</v>
      </c>
      <c r="I1608" t="str">
        <f t="shared" si="122"/>
        <v>GH2085;zomer;24;100;2.03283593674694E-03;TRUE;2.03283593674694E-03</v>
      </c>
    </row>
    <row r="1609" spans="1:9" x14ac:dyDescent="0.25">
      <c r="A1609">
        <f t="shared" si="121"/>
        <v>182.625</v>
      </c>
      <c r="B1609" t="s">
        <v>24</v>
      </c>
      <c r="C1609" t="s">
        <v>11</v>
      </c>
      <c r="D1609">
        <v>24</v>
      </c>
      <c r="E1609">
        <f t="shared" si="120"/>
        <v>105</v>
      </c>
      <c r="F1609" s="22">
        <f>'2085GH_Z'!$F22</f>
        <v>5.0694792273871733E-3</v>
      </c>
      <c r="G1609" s="22" t="s">
        <v>33</v>
      </c>
      <c r="H1609" s="22">
        <f>'2085GH_Z'!$F22</f>
        <v>5.0694792273871733E-3</v>
      </c>
      <c r="I1609" t="str">
        <f t="shared" si="122"/>
        <v>GH2085;zomer;24;105;5.06947922738717E-03;TRUE;5.06947922738717E-03</v>
      </c>
    </row>
    <row r="1610" spans="1:9" x14ac:dyDescent="0.25">
      <c r="A1610">
        <f t="shared" si="121"/>
        <v>91.3125</v>
      </c>
      <c r="B1610" t="s">
        <v>24</v>
      </c>
      <c r="C1610" t="s">
        <v>11</v>
      </c>
      <c r="D1610">
        <v>48</v>
      </c>
      <c r="E1610">
        <v>15</v>
      </c>
      <c r="F1610" s="22">
        <f>'2085GH_Z'!$J4</f>
        <v>170.65900905303735</v>
      </c>
      <c r="G1610" s="22" t="s">
        <v>33</v>
      </c>
      <c r="H1610" s="22">
        <f>'2085GH_Z'!$J4</f>
        <v>170.65900905303735</v>
      </c>
      <c r="I1610" t="str">
        <f t="shared" si="122"/>
        <v>GH2085;zomer;48;15;170.659009053037;TRUE;170.659009053037</v>
      </c>
    </row>
    <row r="1611" spans="1:9" x14ac:dyDescent="0.25">
      <c r="A1611">
        <f t="shared" si="121"/>
        <v>91.3125</v>
      </c>
      <c r="B1611" t="s">
        <v>24</v>
      </c>
      <c r="C1611" t="s">
        <v>11</v>
      </c>
      <c r="D1611">
        <v>48</v>
      </c>
      <c r="E1611">
        <f>E1610+5</f>
        <v>20</v>
      </c>
      <c r="F1611" s="22">
        <f>'2085GH_Z'!$J5</f>
        <v>4.4714070759211655</v>
      </c>
      <c r="G1611" s="22" t="s">
        <v>33</v>
      </c>
      <c r="H1611" s="22">
        <f>'2085GH_Z'!$J5</f>
        <v>4.4714070759211655</v>
      </c>
      <c r="I1611" t="str">
        <f t="shared" si="122"/>
        <v>GH2085;zomer;48;20;4.47140707592117;TRUE;4.47140707592117</v>
      </c>
    </row>
    <row r="1612" spans="1:9" x14ac:dyDescent="0.25">
      <c r="A1612">
        <f t="shared" si="121"/>
        <v>91.3125</v>
      </c>
      <c r="B1612" t="s">
        <v>24</v>
      </c>
      <c r="C1612" t="s">
        <v>11</v>
      </c>
      <c r="D1612">
        <v>48</v>
      </c>
      <c r="E1612">
        <f t="shared" ref="E1612:E1629" si="123">E1611+5</f>
        <v>25</v>
      </c>
      <c r="F1612" s="22">
        <f>'2085GH_Z'!$J6</f>
        <v>2.7441318224566622</v>
      </c>
      <c r="G1612" s="22" t="s">
        <v>33</v>
      </c>
      <c r="H1612" s="22">
        <f>'2085GH_Z'!$J6</f>
        <v>2.7441318224566622</v>
      </c>
      <c r="I1612" t="str">
        <f t="shared" si="122"/>
        <v>GH2085;zomer;48;25;2.74413182245666;TRUE;2.74413182245666</v>
      </c>
    </row>
    <row r="1613" spans="1:9" x14ac:dyDescent="0.25">
      <c r="A1613">
        <f t="shared" si="121"/>
        <v>91.3125</v>
      </c>
      <c r="B1613" t="s">
        <v>24</v>
      </c>
      <c r="C1613" t="s">
        <v>11</v>
      </c>
      <c r="D1613">
        <v>48</v>
      </c>
      <c r="E1613">
        <f t="shared" si="123"/>
        <v>30</v>
      </c>
      <c r="F1613" s="22">
        <f>'2085GH_Z'!$J7</f>
        <v>1.7049946621851442</v>
      </c>
      <c r="G1613" s="22" t="s">
        <v>33</v>
      </c>
      <c r="H1613" s="22">
        <f>'2085GH_Z'!$J7</f>
        <v>1.7049946621851442</v>
      </c>
      <c r="I1613" t="str">
        <f t="shared" si="122"/>
        <v>GH2085;zomer;48;30;1.70499466218514;TRUE;1.70499466218514</v>
      </c>
    </row>
    <row r="1614" spans="1:9" x14ac:dyDescent="0.25">
      <c r="A1614">
        <f t="shared" si="121"/>
        <v>91.3125</v>
      </c>
      <c r="B1614" t="s">
        <v>24</v>
      </c>
      <c r="C1614" t="s">
        <v>11</v>
      </c>
      <c r="D1614">
        <v>48</v>
      </c>
      <c r="E1614">
        <f t="shared" si="123"/>
        <v>35</v>
      </c>
      <c r="F1614" s="22">
        <f>'2085GH_Z'!$J8</f>
        <v>1.0718501183224953</v>
      </c>
      <c r="G1614" s="22" t="s">
        <v>33</v>
      </c>
      <c r="H1614" s="22">
        <f>'2085GH_Z'!$J8</f>
        <v>1.0718501183224953</v>
      </c>
      <c r="I1614" t="str">
        <f t="shared" si="122"/>
        <v>GH2085;zomer;48;35;1.0718501183225;TRUE;1.0718501183225</v>
      </c>
    </row>
    <row r="1615" spans="1:9" x14ac:dyDescent="0.25">
      <c r="A1615">
        <f t="shared" si="121"/>
        <v>91.3125</v>
      </c>
      <c r="B1615" t="s">
        <v>24</v>
      </c>
      <c r="C1615" t="s">
        <v>11</v>
      </c>
      <c r="D1615">
        <v>48</v>
      </c>
      <c r="E1615">
        <f t="shared" si="123"/>
        <v>40</v>
      </c>
      <c r="F1615" s="22">
        <f>'2085GH_Z'!$J9</f>
        <v>0.68138548403274934</v>
      </c>
      <c r="G1615" s="22" t="s">
        <v>33</v>
      </c>
      <c r="H1615" s="22">
        <f>'2085GH_Z'!$J9</f>
        <v>0.68138548403274934</v>
      </c>
      <c r="I1615" t="str">
        <f t="shared" si="122"/>
        <v>GH2085;zomer;48;40;0.681385484032749;TRUE;0.681385484032749</v>
      </c>
    </row>
    <row r="1616" spans="1:9" x14ac:dyDescent="0.25">
      <c r="A1616">
        <f t="shared" si="121"/>
        <v>91.3125</v>
      </c>
      <c r="B1616" t="s">
        <v>24</v>
      </c>
      <c r="C1616" t="s">
        <v>11</v>
      </c>
      <c r="D1616">
        <v>48</v>
      </c>
      <c r="E1616">
        <f t="shared" si="123"/>
        <v>45</v>
      </c>
      <c r="F1616" s="22">
        <f>'2085GH_Z'!$J10</f>
        <v>0.43779578904641736</v>
      </c>
      <c r="G1616" s="22" t="s">
        <v>33</v>
      </c>
      <c r="H1616" s="22">
        <f>'2085GH_Z'!$J10</f>
        <v>0.43779578904641736</v>
      </c>
      <c r="I1616" t="str">
        <f t="shared" si="122"/>
        <v>GH2085;zomer;48;45;0.437795789046417;TRUE;0.437795789046417</v>
      </c>
    </row>
    <row r="1617" spans="1:9" x14ac:dyDescent="0.25">
      <c r="A1617">
        <f t="shared" si="121"/>
        <v>91.3125</v>
      </c>
      <c r="B1617" t="s">
        <v>24</v>
      </c>
      <c r="C1617" t="s">
        <v>11</v>
      </c>
      <c r="D1617">
        <v>48</v>
      </c>
      <c r="E1617">
        <f t="shared" si="123"/>
        <v>50</v>
      </c>
      <c r="F1617" s="22">
        <f>'2085GH_Z'!$J11</f>
        <v>0.28415675734201307</v>
      </c>
      <c r="G1617" s="22" t="s">
        <v>33</v>
      </c>
      <c r="H1617" s="22">
        <f>'2085GH_Z'!$J11</f>
        <v>0.28415675734201307</v>
      </c>
      <c r="I1617" t="str">
        <f t="shared" si="122"/>
        <v>GH2085;zomer;48;50;0.284156757342013;TRUE;0.284156757342013</v>
      </c>
    </row>
    <row r="1618" spans="1:9" x14ac:dyDescent="0.25">
      <c r="A1618">
        <f t="shared" si="121"/>
        <v>91.3125</v>
      </c>
      <c r="B1618" t="s">
        <v>24</v>
      </c>
      <c r="C1618" t="s">
        <v>11</v>
      </c>
      <c r="D1618">
        <v>48</v>
      </c>
      <c r="E1618">
        <f t="shared" si="123"/>
        <v>55</v>
      </c>
      <c r="F1618" s="22">
        <f>'2085GH_Z'!$J12</f>
        <v>0.18623196385392943</v>
      </c>
      <c r="G1618" s="22" t="s">
        <v>33</v>
      </c>
      <c r="H1618" s="22">
        <f>'2085GH_Z'!$J12</f>
        <v>0.18623196385392943</v>
      </c>
      <c r="I1618" t="str">
        <f t="shared" si="122"/>
        <v>GH2085;zomer;48;55;0.186231963853929;TRUE;0.186231963853929</v>
      </c>
    </row>
    <row r="1619" spans="1:9" x14ac:dyDescent="0.25">
      <c r="A1619">
        <f t="shared" si="121"/>
        <v>91.3125</v>
      </c>
      <c r="B1619" t="s">
        <v>24</v>
      </c>
      <c r="C1619" t="s">
        <v>11</v>
      </c>
      <c r="D1619">
        <v>48</v>
      </c>
      <c r="E1619">
        <f t="shared" si="123"/>
        <v>60</v>
      </c>
      <c r="F1619" s="22">
        <f>'2085GH_Z'!$J13</f>
        <v>0.12318999821041576</v>
      </c>
      <c r="G1619" s="22" t="s">
        <v>33</v>
      </c>
      <c r="H1619" s="22">
        <f>'2085GH_Z'!$J13</f>
        <v>0.12318999821041576</v>
      </c>
      <c r="I1619" t="str">
        <f t="shared" si="122"/>
        <v>GH2085;zomer;48;60;0.123189998210416;TRUE;0.123189998210416</v>
      </c>
    </row>
    <row r="1620" spans="1:9" x14ac:dyDescent="0.25">
      <c r="A1620">
        <f t="shared" si="121"/>
        <v>91.3125</v>
      </c>
      <c r="B1620" t="s">
        <v>24</v>
      </c>
      <c r="C1620" t="s">
        <v>11</v>
      </c>
      <c r="D1620">
        <v>48</v>
      </c>
      <c r="E1620">
        <f t="shared" si="123"/>
        <v>65</v>
      </c>
      <c r="F1620" s="22">
        <f>'2085GH_Z'!$J14</f>
        <v>8.2214562676737379E-2</v>
      </c>
      <c r="G1620" s="22" t="s">
        <v>33</v>
      </c>
      <c r="H1620" s="22">
        <f>'2085GH_Z'!$J14</f>
        <v>8.2214562676737379E-2</v>
      </c>
      <c r="I1620" t="str">
        <f t="shared" si="122"/>
        <v>GH2085;zomer;48;65;8.22145626767374E-02;TRUE;8.22145626767374E-02</v>
      </c>
    </row>
    <row r="1621" spans="1:9" x14ac:dyDescent="0.25">
      <c r="A1621">
        <f t="shared" si="121"/>
        <v>91.3125</v>
      </c>
      <c r="B1621" t="s">
        <v>24</v>
      </c>
      <c r="C1621" t="s">
        <v>11</v>
      </c>
      <c r="D1621">
        <v>48</v>
      </c>
      <c r="E1621">
        <f t="shared" si="123"/>
        <v>70</v>
      </c>
      <c r="F1621" s="22">
        <f>'2085GH_Z'!$J15</f>
        <v>5.5336556581536092E-2</v>
      </c>
      <c r="G1621" s="22" t="s">
        <v>33</v>
      </c>
      <c r="H1621" s="22">
        <f>'2085GH_Z'!$J15</f>
        <v>5.5336556581536092E-2</v>
      </c>
      <c r="I1621" t="str">
        <f t="shared" si="122"/>
        <v>GH2085;zomer;48;70;5.53365565815361E-02;TRUE;5.53365565815361E-02</v>
      </c>
    </row>
    <row r="1622" spans="1:9" x14ac:dyDescent="0.25">
      <c r="A1622">
        <f t="shared" si="121"/>
        <v>91.3125</v>
      </c>
      <c r="B1622" t="s">
        <v>24</v>
      </c>
      <c r="C1622" t="s">
        <v>11</v>
      </c>
      <c r="D1622">
        <v>48</v>
      </c>
      <c r="E1622">
        <f t="shared" si="123"/>
        <v>75</v>
      </c>
      <c r="F1622" s="22">
        <f>'2085GH_Z'!$J16</f>
        <v>3.755031686111085E-2</v>
      </c>
      <c r="G1622" s="22" t="s">
        <v>33</v>
      </c>
      <c r="H1622" s="22">
        <f>'2085GH_Z'!$J16</f>
        <v>3.755031686111085E-2</v>
      </c>
      <c r="I1622" t="str">
        <f t="shared" si="122"/>
        <v>GH2085;zomer;48;75;3.75503168611108E-02;TRUE;3.75503168611108E-02</v>
      </c>
    </row>
    <row r="1623" spans="1:9" x14ac:dyDescent="0.25">
      <c r="A1623">
        <f t="shared" si="121"/>
        <v>91.3125</v>
      </c>
      <c r="B1623" t="s">
        <v>24</v>
      </c>
      <c r="C1623" t="s">
        <v>11</v>
      </c>
      <c r="D1623">
        <v>48</v>
      </c>
      <c r="E1623">
        <f t="shared" si="123"/>
        <v>80</v>
      </c>
      <c r="F1623" s="22">
        <f>'2085GH_Z'!$J17</f>
        <v>2.568090950156493E-2</v>
      </c>
      <c r="G1623" s="22" t="s">
        <v>33</v>
      </c>
      <c r="H1623" s="22">
        <f>'2085GH_Z'!$J17</f>
        <v>2.568090950156493E-2</v>
      </c>
      <c r="I1623" t="str">
        <f t="shared" si="122"/>
        <v>GH2085;zomer;48;80;2.56809095015649E-02;TRUE;2.56809095015649E-02</v>
      </c>
    </row>
    <row r="1624" spans="1:9" x14ac:dyDescent="0.25">
      <c r="A1624">
        <f t="shared" si="121"/>
        <v>91.3125</v>
      </c>
      <c r="B1624" t="s">
        <v>24</v>
      </c>
      <c r="C1624" t="s">
        <v>11</v>
      </c>
      <c r="D1624">
        <v>48</v>
      </c>
      <c r="E1624">
        <f t="shared" si="123"/>
        <v>85</v>
      </c>
      <c r="F1624" s="22">
        <f>'2085GH_Z'!$J18</f>
        <v>1.769571906186284E-2</v>
      </c>
      <c r="G1624" s="22" t="s">
        <v>33</v>
      </c>
      <c r="H1624" s="22">
        <f>'2085GH_Z'!$J18</f>
        <v>1.769571906186284E-2</v>
      </c>
      <c r="I1624" t="str">
        <f t="shared" si="122"/>
        <v>GH2085;zomer;48;85;1.76957190618628E-02;TRUE;1.76957190618628E-02</v>
      </c>
    </row>
    <row r="1625" spans="1:9" x14ac:dyDescent="0.25">
      <c r="A1625">
        <f t="shared" si="121"/>
        <v>91.3125</v>
      </c>
      <c r="B1625" t="s">
        <v>24</v>
      </c>
      <c r="C1625" t="s">
        <v>11</v>
      </c>
      <c r="D1625">
        <v>48</v>
      </c>
      <c r="E1625">
        <f t="shared" si="123"/>
        <v>90</v>
      </c>
      <c r="F1625" s="22">
        <f>'2085GH_Z'!$J19</f>
        <v>1.2281758929745125E-2</v>
      </c>
      <c r="G1625" s="22" t="s">
        <v>33</v>
      </c>
      <c r="H1625" s="22">
        <f>'2085GH_Z'!$J19</f>
        <v>1.2281758929745125E-2</v>
      </c>
      <c r="I1625" t="str">
        <f t="shared" si="122"/>
        <v>GH2085;zomer;48;90;1.22817589297451E-02;TRUE;1.22817589297451E-02</v>
      </c>
    </row>
    <row r="1626" spans="1:9" x14ac:dyDescent="0.25">
      <c r="A1626">
        <f t="shared" si="121"/>
        <v>91.3125</v>
      </c>
      <c r="B1626" t="s">
        <v>24</v>
      </c>
      <c r="C1626" t="s">
        <v>11</v>
      </c>
      <c r="D1626">
        <v>48</v>
      </c>
      <c r="E1626">
        <f t="shared" si="123"/>
        <v>95</v>
      </c>
      <c r="F1626" s="22">
        <f>'2085GH_Z'!$J20</f>
        <v>8.5835749625243103E-3</v>
      </c>
      <c r="G1626" s="22" t="s">
        <v>33</v>
      </c>
      <c r="H1626" s="22">
        <f>'2085GH_Z'!$J20</f>
        <v>8.5835749625243103E-3</v>
      </c>
      <c r="I1626" t="str">
        <f t="shared" si="122"/>
        <v>GH2085;zomer;48;95;8.58357496252431E-03;TRUE;8.58357496252431E-03</v>
      </c>
    </row>
    <row r="1627" spans="1:9" x14ac:dyDescent="0.25">
      <c r="A1627">
        <f t="shared" si="121"/>
        <v>91.3125</v>
      </c>
      <c r="B1627" t="s">
        <v>24</v>
      </c>
      <c r="C1627" t="s">
        <v>11</v>
      </c>
      <c r="D1627">
        <v>48</v>
      </c>
      <c r="E1627">
        <f t="shared" si="123"/>
        <v>100</v>
      </c>
      <c r="F1627" s="22">
        <f>'2085GH_Z'!$J21</f>
        <v>6.0391879645677708E-3</v>
      </c>
      <c r="G1627" s="22" t="s">
        <v>33</v>
      </c>
      <c r="H1627" s="22">
        <f>'2085GH_Z'!$J21</f>
        <v>6.0391879645677708E-3</v>
      </c>
      <c r="I1627" t="str">
        <f t="shared" si="122"/>
        <v>GH2085;zomer;48;100;6.03918796456777E-03;TRUE;6.03918796456777E-03</v>
      </c>
    </row>
    <row r="1628" spans="1:9" x14ac:dyDescent="0.25">
      <c r="A1628">
        <f t="shared" si="121"/>
        <v>91.3125</v>
      </c>
      <c r="B1628" t="s">
        <v>24</v>
      </c>
      <c r="C1628" t="s">
        <v>11</v>
      </c>
      <c r="D1628">
        <v>48</v>
      </c>
      <c r="E1628">
        <f t="shared" si="123"/>
        <v>105</v>
      </c>
      <c r="F1628" s="22">
        <f>'2085GH_Z'!$J22</f>
        <v>4.2764678748773693E-3</v>
      </c>
      <c r="G1628" s="22" t="s">
        <v>33</v>
      </c>
      <c r="H1628" s="22">
        <f>'2085GH_Z'!$J22</f>
        <v>4.2764678748773693E-3</v>
      </c>
      <c r="I1628" t="str">
        <f t="shared" si="122"/>
        <v>GH2085;zomer;48;105;4.27646787487737E-03;TRUE;4.27646787487737E-03</v>
      </c>
    </row>
    <row r="1629" spans="1:9" x14ac:dyDescent="0.25">
      <c r="A1629">
        <f t="shared" si="121"/>
        <v>91.3125</v>
      </c>
      <c r="B1629" t="s">
        <v>24</v>
      </c>
      <c r="C1629" t="s">
        <v>11</v>
      </c>
      <c r="D1629">
        <v>48</v>
      </c>
      <c r="E1629">
        <f t="shared" si="123"/>
        <v>110</v>
      </c>
      <c r="F1629" s="22">
        <f>'2085GH_Z'!$J23</f>
        <v>1.1188221177117168E-2</v>
      </c>
      <c r="G1629" s="22" t="s">
        <v>33</v>
      </c>
      <c r="H1629" s="22">
        <f>'2085GH_Z'!$J23</f>
        <v>1.1188221177117168E-2</v>
      </c>
      <c r="I1629" t="str">
        <f t="shared" si="122"/>
        <v>GH2085;zomer;48;110;1.11882211771172E-02;TRUE;1.11882211771172E-02</v>
      </c>
    </row>
    <row r="1630" spans="1:9" x14ac:dyDescent="0.25">
      <c r="A1630">
        <f t="shared" si="121"/>
        <v>45.65625</v>
      </c>
      <c r="B1630" t="s">
        <v>24</v>
      </c>
      <c r="C1630" t="s">
        <v>11</v>
      </c>
      <c r="D1630">
        <v>96</v>
      </c>
      <c r="E1630">
        <v>20</v>
      </c>
      <c r="F1630" s="22">
        <f>'2085GH_Z'!$N5</f>
        <v>79.976593729023577</v>
      </c>
      <c r="G1630" s="22" t="s">
        <v>33</v>
      </c>
      <c r="H1630" s="22">
        <f>'2085GH_Z'!$N5</f>
        <v>79.976593729023577</v>
      </c>
      <c r="I1630" t="str">
        <f t="shared" si="122"/>
        <v>GH2085;zomer;96;20;79.9765937290236;TRUE;79.9765937290236</v>
      </c>
    </row>
    <row r="1631" spans="1:9" x14ac:dyDescent="0.25">
      <c r="A1631">
        <f t="shared" si="121"/>
        <v>45.65625</v>
      </c>
      <c r="B1631" t="s">
        <v>24</v>
      </c>
      <c r="C1631" t="s">
        <v>11</v>
      </c>
      <c r="D1631">
        <v>96</v>
      </c>
      <c r="E1631">
        <f>E1630+5</f>
        <v>25</v>
      </c>
      <c r="F1631" s="22">
        <f>'2085GH_Z'!$N6</f>
        <v>3.3374559289931476</v>
      </c>
      <c r="G1631" s="22" t="s">
        <v>33</v>
      </c>
      <c r="H1631" s="22">
        <f>'2085GH_Z'!$N6</f>
        <v>3.3374559289931476</v>
      </c>
      <c r="I1631" t="str">
        <f t="shared" si="122"/>
        <v>GH2085;zomer;96;25;3.33745592899315;TRUE;3.33745592899315</v>
      </c>
    </row>
    <row r="1632" spans="1:9" x14ac:dyDescent="0.25">
      <c r="A1632">
        <f t="shared" si="121"/>
        <v>45.65625</v>
      </c>
      <c r="B1632" t="s">
        <v>24</v>
      </c>
      <c r="C1632" t="s">
        <v>11</v>
      </c>
      <c r="D1632">
        <v>96</v>
      </c>
      <c r="E1632">
        <f t="shared" ref="E1632:E1650" si="124">E1631+5</f>
        <v>30</v>
      </c>
      <c r="F1632" s="22">
        <f>'2085GH_Z'!$N7</f>
        <v>2.3398561904442676</v>
      </c>
      <c r="G1632" s="22" t="s">
        <v>33</v>
      </c>
      <c r="H1632" s="22">
        <f>'2085GH_Z'!$N7</f>
        <v>2.3398561904442676</v>
      </c>
      <c r="I1632" t="str">
        <f t="shared" si="122"/>
        <v>GH2085;zomer;96;30;2.33985619044427;TRUE;2.33985619044427</v>
      </c>
    </row>
    <row r="1633" spans="1:9" x14ac:dyDescent="0.25">
      <c r="A1633">
        <f t="shared" si="121"/>
        <v>45.65625</v>
      </c>
      <c r="B1633" t="s">
        <v>24</v>
      </c>
      <c r="C1633" t="s">
        <v>11</v>
      </c>
      <c r="D1633">
        <v>96</v>
      </c>
      <c r="E1633">
        <f t="shared" si="124"/>
        <v>35</v>
      </c>
      <c r="F1633" s="22">
        <f>'2085GH_Z'!$N8</f>
        <v>1.644875735196706</v>
      </c>
      <c r="G1633" s="22" t="s">
        <v>33</v>
      </c>
      <c r="H1633" s="22">
        <f>'2085GH_Z'!$N8</f>
        <v>1.644875735196706</v>
      </c>
      <c r="I1633" t="str">
        <f t="shared" si="122"/>
        <v>GH2085;zomer;96;35;1.64487573519671;TRUE;1.64487573519671</v>
      </c>
    </row>
    <row r="1634" spans="1:9" x14ac:dyDescent="0.25">
      <c r="A1634">
        <f t="shared" si="121"/>
        <v>45.65625</v>
      </c>
      <c r="B1634" t="s">
        <v>24</v>
      </c>
      <c r="C1634" t="s">
        <v>11</v>
      </c>
      <c r="D1634">
        <v>96</v>
      </c>
      <c r="E1634">
        <f t="shared" si="124"/>
        <v>40</v>
      </c>
      <c r="F1634" s="22">
        <f>'2085GH_Z'!$N9</f>
        <v>1.1593903790138591</v>
      </c>
      <c r="G1634" s="22" t="s">
        <v>33</v>
      </c>
      <c r="H1634" s="22">
        <f>'2085GH_Z'!$N9</f>
        <v>1.1593903790138591</v>
      </c>
      <c r="I1634" t="str">
        <f t="shared" si="122"/>
        <v>GH2085;zomer;96;40;1.15939037901386;TRUE;1.15939037901386</v>
      </c>
    </row>
    <row r="1635" spans="1:9" x14ac:dyDescent="0.25">
      <c r="A1635">
        <f t="shared" si="121"/>
        <v>45.65625</v>
      </c>
      <c r="B1635" t="s">
        <v>24</v>
      </c>
      <c r="C1635" t="s">
        <v>11</v>
      </c>
      <c r="D1635">
        <v>96</v>
      </c>
      <c r="E1635">
        <f t="shared" si="124"/>
        <v>45</v>
      </c>
      <c r="F1635" s="22">
        <f>'2085GH_Z'!$N10</f>
        <v>0.81933541030463264</v>
      </c>
      <c r="G1635" s="22" t="s">
        <v>33</v>
      </c>
      <c r="H1635" s="22">
        <f>'2085GH_Z'!$N10</f>
        <v>0.81933541030463264</v>
      </c>
      <c r="I1635" t="str">
        <f t="shared" si="122"/>
        <v>GH2085;zomer;96;45;0.819335410304633;TRUE;0.819335410304633</v>
      </c>
    </row>
    <row r="1636" spans="1:9" x14ac:dyDescent="0.25">
      <c r="A1636">
        <f t="shared" si="121"/>
        <v>45.65625</v>
      </c>
      <c r="B1636" t="s">
        <v>24</v>
      </c>
      <c r="C1636" t="s">
        <v>11</v>
      </c>
      <c r="D1636">
        <v>96</v>
      </c>
      <c r="E1636">
        <f t="shared" si="124"/>
        <v>50</v>
      </c>
      <c r="F1636" s="22">
        <f>'2085GH_Z'!$N11</f>
        <v>0.5805135216306283</v>
      </c>
      <c r="G1636" s="22" t="s">
        <v>33</v>
      </c>
      <c r="H1636" s="22">
        <f>'2085GH_Z'!$N11</f>
        <v>0.5805135216306283</v>
      </c>
      <c r="I1636" t="str">
        <f t="shared" si="122"/>
        <v>GH2085;zomer;96;50;0.580513521630628;TRUE;0.580513521630628</v>
      </c>
    </row>
    <row r="1637" spans="1:9" x14ac:dyDescent="0.25">
      <c r="A1637">
        <f t="shared" si="121"/>
        <v>45.65625</v>
      </c>
      <c r="B1637" t="s">
        <v>24</v>
      </c>
      <c r="C1637" t="s">
        <v>11</v>
      </c>
      <c r="D1637">
        <v>96</v>
      </c>
      <c r="E1637">
        <f t="shared" si="124"/>
        <v>55</v>
      </c>
      <c r="F1637" s="22">
        <f>'2085GH_Z'!$N12</f>
        <v>0.41234910717694984</v>
      </c>
      <c r="G1637" s="22" t="s">
        <v>33</v>
      </c>
      <c r="H1637" s="22">
        <f>'2085GH_Z'!$N12</f>
        <v>0.41234910717694984</v>
      </c>
      <c r="I1637" t="str">
        <f t="shared" si="122"/>
        <v>GH2085;zomer;96;55;0.41234910717695;TRUE;0.41234910717695</v>
      </c>
    </row>
    <row r="1638" spans="1:9" x14ac:dyDescent="0.25">
      <c r="A1638">
        <f t="shared" si="121"/>
        <v>45.65625</v>
      </c>
      <c r="B1638" t="s">
        <v>24</v>
      </c>
      <c r="C1638" t="s">
        <v>11</v>
      </c>
      <c r="D1638">
        <v>96</v>
      </c>
      <c r="E1638">
        <f t="shared" si="124"/>
        <v>60</v>
      </c>
      <c r="F1638" s="22">
        <f>'2085GH_Z'!$N13</f>
        <v>0.29363225651098201</v>
      </c>
      <c r="G1638" s="22" t="s">
        <v>33</v>
      </c>
      <c r="H1638" s="22">
        <f>'2085GH_Z'!$N13</f>
        <v>0.29363225651098201</v>
      </c>
      <c r="I1638" t="str">
        <f t="shared" si="122"/>
        <v>GH2085;zomer;96;60;0.293632256510982;TRUE;0.293632256510982</v>
      </c>
    </row>
    <row r="1639" spans="1:9" x14ac:dyDescent="0.25">
      <c r="A1639">
        <f t="shared" si="121"/>
        <v>45.65625</v>
      </c>
      <c r="B1639" t="s">
        <v>24</v>
      </c>
      <c r="C1639" t="s">
        <v>11</v>
      </c>
      <c r="D1639">
        <v>96</v>
      </c>
      <c r="E1639">
        <f t="shared" si="124"/>
        <v>65</v>
      </c>
      <c r="F1639" s="22">
        <f>'2085GH_Z'!$N14</f>
        <v>0.20961033179750277</v>
      </c>
      <c r="G1639" s="22" t="s">
        <v>33</v>
      </c>
      <c r="H1639" s="22">
        <f>'2085GH_Z'!$N14</f>
        <v>0.20961033179750277</v>
      </c>
      <c r="I1639" t="str">
        <f t="shared" si="122"/>
        <v>GH2085;zomer;96;65;0.209610331797503;TRUE;0.209610331797503</v>
      </c>
    </row>
    <row r="1640" spans="1:9" x14ac:dyDescent="0.25">
      <c r="A1640">
        <f t="shared" si="121"/>
        <v>45.65625</v>
      </c>
      <c r="B1640" t="s">
        <v>24</v>
      </c>
      <c r="C1640" t="s">
        <v>11</v>
      </c>
      <c r="D1640">
        <v>96</v>
      </c>
      <c r="E1640">
        <f t="shared" si="124"/>
        <v>70</v>
      </c>
      <c r="F1640" s="22">
        <f>'2085GH_Z'!$N15</f>
        <v>0.14999486839563708</v>
      </c>
      <c r="G1640" s="22" t="s">
        <v>33</v>
      </c>
      <c r="H1640" s="22">
        <f>'2085GH_Z'!$N15</f>
        <v>0.14999486839563708</v>
      </c>
      <c r="I1640" t="str">
        <f t="shared" si="122"/>
        <v>GH2085;zomer;96;70;0.149994868395637;TRUE;0.149994868395637</v>
      </c>
    </row>
    <row r="1641" spans="1:9" x14ac:dyDescent="0.25">
      <c r="A1641">
        <f t="shared" si="121"/>
        <v>45.65625</v>
      </c>
      <c r="B1641" t="s">
        <v>24</v>
      </c>
      <c r="C1641" t="s">
        <v>11</v>
      </c>
      <c r="D1641">
        <v>96</v>
      </c>
      <c r="E1641">
        <f t="shared" si="124"/>
        <v>75</v>
      </c>
      <c r="F1641" s="22">
        <f>'2085GH_Z'!$N16</f>
        <v>0.1075919591300688</v>
      </c>
      <c r="G1641" s="22" t="s">
        <v>33</v>
      </c>
      <c r="H1641" s="22">
        <f>'2085GH_Z'!$N16</f>
        <v>0.1075919591300688</v>
      </c>
      <c r="I1641" t="str">
        <f t="shared" si="122"/>
        <v>GH2085;zomer;96;75;0.107591959130069;TRUE;0.107591959130069</v>
      </c>
    </row>
    <row r="1642" spans="1:9" x14ac:dyDescent="0.25">
      <c r="A1642">
        <f t="shared" si="121"/>
        <v>45.65625</v>
      </c>
      <c r="B1642" t="s">
        <v>24</v>
      </c>
      <c r="C1642" t="s">
        <v>11</v>
      </c>
      <c r="D1642">
        <v>96</v>
      </c>
      <c r="E1642">
        <f t="shared" si="124"/>
        <v>80</v>
      </c>
      <c r="F1642" s="22">
        <f>'2085GH_Z'!$N17</f>
        <v>7.7358520578123063E-2</v>
      </c>
      <c r="G1642" s="22" t="s">
        <v>33</v>
      </c>
      <c r="H1642" s="22">
        <f>'2085GH_Z'!$N17</f>
        <v>7.7358520578123063E-2</v>
      </c>
      <c r="I1642" t="str">
        <f t="shared" si="122"/>
        <v>GH2085;zomer;96;80;7.73585205781231E-02;TRUE;7.73585205781231E-02</v>
      </c>
    </row>
    <row r="1643" spans="1:9" x14ac:dyDescent="0.25">
      <c r="A1643">
        <f t="shared" si="121"/>
        <v>45.65625</v>
      </c>
      <c r="B1643" t="s">
        <v>24</v>
      </c>
      <c r="C1643" t="s">
        <v>11</v>
      </c>
      <c r="D1643">
        <v>96</v>
      </c>
      <c r="E1643">
        <f t="shared" si="124"/>
        <v>85</v>
      </c>
      <c r="F1643" s="22">
        <f>'2085GH_Z'!$N18</f>
        <v>5.5750268225402161E-2</v>
      </c>
      <c r="G1643" s="22" t="s">
        <v>33</v>
      </c>
      <c r="H1643" s="22">
        <f>'2085GH_Z'!$N18</f>
        <v>5.5750268225402161E-2</v>
      </c>
      <c r="I1643" t="str">
        <f t="shared" si="122"/>
        <v>GH2085;zomer;96;85;5.57502682254022E-02;TRUE;5.57502682254022E-02</v>
      </c>
    </row>
    <row r="1644" spans="1:9" x14ac:dyDescent="0.25">
      <c r="A1644">
        <f t="shared" si="121"/>
        <v>45.65625</v>
      </c>
      <c r="B1644" t="s">
        <v>24</v>
      </c>
      <c r="C1644" t="s">
        <v>11</v>
      </c>
      <c r="D1644">
        <v>96</v>
      </c>
      <c r="E1644">
        <f t="shared" si="124"/>
        <v>90</v>
      </c>
      <c r="F1644" s="22">
        <f>'2085GH_Z'!$N19</f>
        <v>4.0270041412340793E-2</v>
      </c>
      <c r="G1644" s="22" t="s">
        <v>33</v>
      </c>
      <c r="H1644" s="22">
        <f>'2085GH_Z'!$N19</f>
        <v>4.0270041412340793E-2</v>
      </c>
      <c r="I1644" t="str">
        <f t="shared" si="122"/>
        <v>GH2085;zomer;96;90;4.02700414123408E-02;TRUE;4.02700414123408E-02</v>
      </c>
    </row>
    <row r="1645" spans="1:9" x14ac:dyDescent="0.25">
      <c r="A1645">
        <f t="shared" si="121"/>
        <v>45.65625</v>
      </c>
      <c r="B1645" t="s">
        <v>24</v>
      </c>
      <c r="C1645" t="s">
        <v>11</v>
      </c>
      <c r="D1645">
        <v>96</v>
      </c>
      <c r="E1645">
        <f t="shared" si="124"/>
        <v>95</v>
      </c>
      <c r="F1645" s="22">
        <f>'2085GH_Z'!$N20</f>
        <v>2.9154100058894197E-2</v>
      </c>
      <c r="G1645" s="22" t="s">
        <v>33</v>
      </c>
      <c r="H1645" s="22">
        <f>'2085GH_Z'!$N20</f>
        <v>2.9154100058894197E-2</v>
      </c>
      <c r="I1645" t="str">
        <f t="shared" si="122"/>
        <v>GH2085;zomer;96;95;2.91541000588942E-02;TRUE;2.91541000588942E-02</v>
      </c>
    </row>
    <row r="1646" spans="1:9" x14ac:dyDescent="0.25">
      <c r="A1646">
        <f t="shared" si="121"/>
        <v>45.65625</v>
      </c>
      <c r="B1646" t="s">
        <v>24</v>
      </c>
      <c r="C1646" t="s">
        <v>11</v>
      </c>
      <c r="D1646">
        <v>96</v>
      </c>
      <c r="E1646">
        <f t="shared" si="124"/>
        <v>100</v>
      </c>
      <c r="F1646" s="22">
        <f>'2085GH_Z'!$N21</f>
        <v>2.1153687245618218E-2</v>
      </c>
      <c r="G1646" s="22" t="s">
        <v>33</v>
      </c>
      <c r="H1646" s="22">
        <f>'2085GH_Z'!$N21</f>
        <v>2.1153687245618218E-2</v>
      </c>
      <c r="I1646" t="str">
        <f t="shared" si="122"/>
        <v>GH2085;zomer;96;100;2.11536872456182E-02;TRUE;2.11536872456182E-02</v>
      </c>
    </row>
    <row r="1647" spans="1:9" x14ac:dyDescent="0.25">
      <c r="A1647">
        <f t="shared" si="121"/>
        <v>45.65625</v>
      </c>
      <c r="B1647" t="s">
        <v>24</v>
      </c>
      <c r="C1647" t="s">
        <v>11</v>
      </c>
      <c r="D1647">
        <v>96</v>
      </c>
      <c r="E1647">
        <f t="shared" si="124"/>
        <v>105</v>
      </c>
      <c r="F1647" s="22">
        <f>'2085GH_Z'!$N22</f>
        <v>1.5382541646018509E-2</v>
      </c>
      <c r="G1647" s="22" t="s">
        <v>33</v>
      </c>
      <c r="H1647" s="22">
        <f>'2085GH_Z'!$N22</f>
        <v>1.5382541646018509E-2</v>
      </c>
      <c r="I1647" t="str">
        <f t="shared" si="122"/>
        <v>GH2085;zomer;96;105;1.53825416460185E-02;TRUE;1.53825416460185E-02</v>
      </c>
    </row>
    <row r="1648" spans="1:9" x14ac:dyDescent="0.25">
      <c r="A1648">
        <f t="shared" si="121"/>
        <v>45.65625</v>
      </c>
      <c r="B1648" t="s">
        <v>24</v>
      </c>
      <c r="C1648" t="s">
        <v>11</v>
      </c>
      <c r="D1648">
        <v>96</v>
      </c>
      <c r="E1648">
        <f t="shared" si="124"/>
        <v>110</v>
      </c>
      <c r="F1648" s="22">
        <f>'2085GH_Z'!$N23</f>
        <v>1.1210182404874529E-2</v>
      </c>
      <c r="G1648" s="22" t="s">
        <v>33</v>
      </c>
      <c r="H1648" s="22">
        <f>'2085GH_Z'!$N23</f>
        <v>1.1210182404874529E-2</v>
      </c>
      <c r="I1648" t="str">
        <f t="shared" si="122"/>
        <v>GH2085;zomer;96;110;1.12101824048745E-02;TRUE;1.12101824048745E-02</v>
      </c>
    </row>
    <row r="1649" spans="1:9" x14ac:dyDescent="0.25">
      <c r="A1649">
        <f t="shared" si="121"/>
        <v>45.65625</v>
      </c>
      <c r="B1649" t="s">
        <v>24</v>
      </c>
      <c r="C1649" t="s">
        <v>11</v>
      </c>
      <c r="D1649">
        <v>96</v>
      </c>
      <c r="E1649">
        <f t="shared" si="124"/>
        <v>115</v>
      </c>
      <c r="F1649" s="22">
        <f>'2085GH_Z'!$N24</f>
        <v>8.1870427911806022E-3</v>
      </c>
      <c r="G1649" s="22" t="s">
        <v>33</v>
      </c>
      <c r="H1649" s="22">
        <f>'2085GH_Z'!$N24</f>
        <v>8.1870427911806022E-3</v>
      </c>
      <c r="I1649" t="str">
        <f t="shared" si="122"/>
        <v>GH2085;zomer;96;115;8.1870427911806E-03;TRUE;8.1870427911806E-03</v>
      </c>
    </row>
    <row r="1650" spans="1:9" x14ac:dyDescent="0.25">
      <c r="A1650">
        <f t="shared" si="121"/>
        <v>45.65625</v>
      </c>
      <c r="B1650" t="s">
        <v>24</v>
      </c>
      <c r="C1650" t="s">
        <v>11</v>
      </c>
      <c r="D1650">
        <v>96</v>
      </c>
      <c r="E1650">
        <f t="shared" si="124"/>
        <v>120</v>
      </c>
      <c r="F1650" s="22">
        <f>'2085GH_Z'!$N25</f>
        <v>2.2834198019591013E-2</v>
      </c>
      <c r="G1650" s="22" t="s">
        <v>33</v>
      </c>
      <c r="H1650" s="22">
        <f>'2085GH_Z'!$N25</f>
        <v>2.2834198019591013E-2</v>
      </c>
      <c r="I1650" t="str">
        <f t="shared" si="122"/>
        <v>GH2085;zomer;96;120;0.022834198019591;TRUE;0.022834198019591</v>
      </c>
    </row>
    <row r="1651" spans="1:9" x14ac:dyDescent="0.25">
      <c r="A1651">
        <f t="shared" si="121"/>
        <v>22.828125</v>
      </c>
      <c r="B1651" t="s">
        <v>24</v>
      </c>
      <c r="C1651" t="s">
        <v>11</v>
      </c>
      <c r="D1651">
        <v>192</v>
      </c>
      <c r="E1651">
        <v>20</v>
      </c>
      <c r="F1651" s="22">
        <f>'2085GH_Z'!$R5</f>
        <v>32.532877138140734</v>
      </c>
      <c r="G1651" s="22" t="s">
        <v>33</v>
      </c>
      <c r="H1651" s="22">
        <f>'2085GH_Z'!$R5</f>
        <v>32.532877138140734</v>
      </c>
      <c r="I1651" t="str">
        <f t="shared" si="122"/>
        <v>GH2085;zomer;192;20;32.5328771381407;TRUE;32.5328771381407</v>
      </c>
    </row>
    <row r="1652" spans="1:9" x14ac:dyDescent="0.25">
      <c r="A1652">
        <f t="shared" si="121"/>
        <v>22.828125</v>
      </c>
      <c r="B1652" t="s">
        <v>24</v>
      </c>
      <c r="C1652" t="s">
        <v>11</v>
      </c>
      <c r="D1652">
        <v>192</v>
      </c>
      <c r="E1652">
        <f>E1651+5</f>
        <v>25</v>
      </c>
      <c r="F1652" s="22">
        <f>'2085GH_Z'!$R6</f>
        <v>2.6521562481539505</v>
      </c>
      <c r="G1652" s="22" t="s">
        <v>33</v>
      </c>
      <c r="H1652" s="22">
        <f>'2085GH_Z'!$R6</f>
        <v>2.6521562481539505</v>
      </c>
      <c r="I1652" t="str">
        <f t="shared" si="122"/>
        <v>GH2085;zomer;192;25;2.65215624815395;TRUE;2.65215624815395</v>
      </c>
    </row>
    <row r="1653" spans="1:9" x14ac:dyDescent="0.25">
      <c r="A1653">
        <f t="shared" si="121"/>
        <v>22.828125</v>
      </c>
      <c r="B1653" t="s">
        <v>24</v>
      </c>
      <c r="C1653" t="s">
        <v>11</v>
      </c>
      <c r="D1653">
        <v>192</v>
      </c>
      <c r="E1653">
        <f t="shared" ref="E1653:E1677" si="125">E1652+5</f>
        <v>30</v>
      </c>
      <c r="F1653" s="22">
        <f>'2085GH_Z'!$R7</f>
        <v>2.1359427133348525</v>
      </c>
      <c r="G1653" s="22" t="s">
        <v>33</v>
      </c>
      <c r="H1653" s="22">
        <f>'2085GH_Z'!$R7</f>
        <v>2.1359427133348525</v>
      </c>
      <c r="I1653" t="str">
        <f t="shared" si="122"/>
        <v>GH2085;zomer;192;30;2.13594271333485;TRUE;2.13594271333485</v>
      </c>
    </row>
    <row r="1654" spans="1:9" x14ac:dyDescent="0.25">
      <c r="A1654">
        <f t="shared" si="121"/>
        <v>22.828125</v>
      </c>
      <c r="B1654" t="s">
        <v>24</v>
      </c>
      <c r="C1654" t="s">
        <v>11</v>
      </c>
      <c r="D1654">
        <v>192</v>
      </c>
      <c r="E1654">
        <f t="shared" si="125"/>
        <v>35</v>
      </c>
      <c r="F1654" s="22">
        <f>'2085GH_Z'!$R8</f>
        <v>1.7162821750336414</v>
      </c>
      <c r="G1654" s="22" t="s">
        <v>33</v>
      </c>
      <c r="H1654" s="22">
        <f>'2085GH_Z'!$R8</f>
        <v>1.7162821750336414</v>
      </c>
      <c r="I1654" t="str">
        <f t="shared" si="122"/>
        <v>GH2085;zomer;192;35;1.71628217503364;TRUE;1.71628217503364</v>
      </c>
    </row>
    <row r="1655" spans="1:9" x14ac:dyDescent="0.25">
      <c r="A1655">
        <f t="shared" si="121"/>
        <v>22.828125</v>
      </c>
      <c r="B1655" t="s">
        <v>24</v>
      </c>
      <c r="C1655" t="s">
        <v>11</v>
      </c>
      <c r="D1655">
        <v>192</v>
      </c>
      <c r="E1655">
        <f t="shared" si="125"/>
        <v>40</v>
      </c>
      <c r="F1655" s="22">
        <f>'2085GH_Z'!$R9</f>
        <v>1.375863188749797</v>
      </c>
      <c r="G1655" s="22" t="s">
        <v>33</v>
      </c>
      <c r="H1655" s="22">
        <f>'2085GH_Z'!$R9</f>
        <v>1.375863188749797</v>
      </c>
      <c r="I1655" t="str">
        <f t="shared" si="122"/>
        <v>GH2085;zomer;192;40;1.3758631887498;TRUE;1.3758631887498</v>
      </c>
    </row>
    <row r="1656" spans="1:9" x14ac:dyDescent="0.25">
      <c r="A1656">
        <f t="shared" si="121"/>
        <v>22.828125</v>
      </c>
      <c r="B1656" t="s">
        <v>24</v>
      </c>
      <c r="C1656" t="s">
        <v>11</v>
      </c>
      <c r="D1656">
        <v>192</v>
      </c>
      <c r="E1656">
        <f t="shared" si="125"/>
        <v>45</v>
      </c>
      <c r="F1656" s="22">
        <f>'2085GH_Z'!$R10</f>
        <v>1.1003414326090004</v>
      </c>
      <c r="G1656" s="22" t="s">
        <v>33</v>
      </c>
      <c r="H1656" s="22">
        <f>'2085GH_Z'!$R10</f>
        <v>1.1003414326090004</v>
      </c>
      <c r="I1656" t="str">
        <f t="shared" si="122"/>
        <v>GH2085;zomer;192;45;1.100341432609;TRUE;1.100341432609</v>
      </c>
    </row>
    <row r="1657" spans="1:9" x14ac:dyDescent="0.25">
      <c r="A1657">
        <f t="shared" si="121"/>
        <v>22.828125</v>
      </c>
      <c r="B1657" t="s">
        <v>24</v>
      </c>
      <c r="C1657" t="s">
        <v>11</v>
      </c>
      <c r="D1657">
        <v>192</v>
      </c>
      <c r="E1657">
        <f t="shared" si="125"/>
        <v>50</v>
      </c>
      <c r="F1657" s="22">
        <f>'2085GH_Z'!$R11</f>
        <v>0.87785505221024662</v>
      </c>
      <c r="G1657" s="22" t="s">
        <v>33</v>
      </c>
      <c r="H1657" s="22">
        <f>'2085GH_Z'!$R11</f>
        <v>0.87785505221024662</v>
      </c>
      <c r="I1657" t="str">
        <f t="shared" si="122"/>
        <v>GH2085;zomer;192;50;0.877855052210247;TRUE;0.877855052210247</v>
      </c>
    </row>
    <row r="1658" spans="1:9" x14ac:dyDescent="0.25">
      <c r="A1658">
        <f t="shared" si="121"/>
        <v>22.828125</v>
      </c>
      <c r="B1658" t="s">
        <v>24</v>
      </c>
      <c r="C1658" t="s">
        <v>11</v>
      </c>
      <c r="D1658">
        <v>192</v>
      </c>
      <c r="E1658">
        <f t="shared" si="125"/>
        <v>55</v>
      </c>
      <c r="F1658" s="22">
        <f>'2085GH_Z'!$R12</f>
        <v>0.6986151879077438</v>
      </c>
      <c r="G1658" s="22" t="s">
        <v>33</v>
      </c>
      <c r="H1658" s="22">
        <f>'2085GH_Z'!$R12</f>
        <v>0.6986151879077438</v>
      </c>
      <c r="I1658" t="str">
        <f t="shared" si="122"/>
        <v>GH2085;zomer;192;55;0.698615187907744;TRUE;0.698615187907744</v>
      </c>
    </row>
    <row r="1659" spans="1:9" x14ac:dyDescent="0.25">
      <c r="A1659">
        <f t="shared" si="121"/>
        <v>22.828125</v>
      </c>
      <c r="B1659" t="s">
        <v>24</v>
      </c>
      <c r="C1659" t="s">
        <v>11</v>
      </c>
      <c r="D1659">
        <v>192</v>
      </c>
      <c r="E1659">
        <f t="shared" si="125"/>
        <v>60</v>
      </c>
      <c r="F1659" s="22">
        <f>'2085GH_Z'!$R13</f>
        <v>0.55456065201085547</v>
      </c>
      <c r="G1659" s="22" t="s">
        <v>33</v>
      </c>
      <c r="H1659" s="22">
        <f>'2085GH_Z'!$R13</f>
        <v>0.55456065201085547</v>
      </c>
      <c r="I1659" t="str">
        <f t="shared" si="122"/>
        <v>GH2085;zomer;192;60;0.554560652010855;TRUE;0.554560652010855</v>
      </c>
    </row>
    <row r="1660" spans="1:9" x14ac:dyDescent="0.25">
      <c r="A1660">
        <f t="shared" si="121"/>
        <v>22.828125</v>
      </c>
      <c r="B1660" t="s">
        <v>24</v>
      </c>
      <c r="C1660" t="s">
        <v>11</v>
      </c>
      <c r="D1660">
        <v>192</v>
      </c>
      <c r="E1660">
        <f t="shared" si="125"/>
        <v>65</v>
      </c>
      <c r="F1660" s="22">
        <f>'2085GH_Z'!$R14</f>
        <v>0.43906724797632068</v>
      </c>
      <c r="G1660" s="22" t="s">
        <v>33</v>
      </c>
      <c r="H1660" s="22">
        <f>'2085GH_Z'!$R14</f>
        <v>0.43906724797632068</v>
      </c>
      <c r="I1660" t="str">
        <f t="shared" si="122"/>
        <v>GH2085;zomer;192;65;0.439067247976321;TRUE;0.439067247976321</v>
      </c>
    </row>
    <row r="1661" spans="1:9" x14ac:dyDescent="0.25">
      <c r="A1661">
        <f t="shared" si="121"/>
        <v>22.828125</v>
      </c>
      <c r="B1661" t="s">
        <v>24</v>
      </c>
      <c r="C1661" t="s">
        <v>11</v>
      </c>
      <c r="D1661">
        <v>192</v>
      </c>
      <c r="E1661">
        <f t="shared" si="125"/>
        <v>70</v>
      </c>
      <c r="F1661" s="22">
        <f>'2085GH_Z'!$R15</f>
        <v>0.34670355086779137</v>
      </c>
      <c r="G1661" s="22" t="s">
        <v>33</v>
      </c>
      <c r="H1661" s="22">
        <f>'2085GH_Z'!$R15</f>
        <v>0.34670355086779137</v>
      </c>
      <c r="I1661" t="str">
        <f t="shared" si="122"/>
        <v>GH2085;zomer;192;70;0.346703550867791;TRUE;0.346703550867791</v>
      </c>
    </row>
    <row r="1662" spans="1:9" x14ac:dyDescent="0.25">
      <c r="A1662">
        <f t="shared" si="121"/>
        <v>22.828125</v>
      </c>
      <c r="B1662" t="s">
        <v>24</v>
      </c>
      <c r="C1662" t="s">
        <v>11</v>
      </c>
      <c r="D1662">
        <v>192</v>
      </c>
      <c r="E1662">
        <f t="shared" si="125"/>
        <v>75</v>
      </c>
      <c r="F1662" s="22">
        <f>'2085GH_Z'!$R16</f>
        <v>0.27302612198354981</v>
      </c>
      <c r="G1662" s="22" t="s">
        <v>33</v>
      </c>
      <c r="H1662" s="22">
        <f>'2085GH_Z'!$R16</f>
        <v>0.27302612198354981</v>
      </c>
      <c r="I1662" t="str">
        <f t="shared" si="122"/>
        <v>GH2085;zomer;192;75;0.27302612198355;TRUE;0.27302612198355</v>
      </c>
    </row>
    <row r="1663" spans="1:9" x14ac:dyDescent="0.25">
      <c r="A1663">
        <f t="shared" si="121"/>
        <v>22.828125</v>
      </c>
      <c r="B1663" t="s">
        <v>24</v>
      </c>
      <c r="C1663" t="s">
        <v>11</v>
      </c>
      <c r="D1663">
        <v>192</v>
      </c>
      <c r="E1663">
        <f t="shared" si="125"/>
        <v>80</v>
      </c>
      <c r="F1663" s="22">
        <f>'2085GH_Z'!$R17</f>
        <v>0.21440813174215323</v>
      </c>
      <c r="G1663" s="22" t="s">
        <v>33</v>
      </c>
      <c r="H1663" s="22">
        <f>'2085GH_Z'!$R17</f>
        <v>0.21440813174215323</v>
      </c>
      <c r="I1663" t="str">
        <f t="shared" si="122"/>
        <v>GH2085;zomer;192;80;0.214408131742153;TRUE;0.214408131742153</v>
      </c>
    </row>
    <row r="1664" spans="1:9" x14ac:dyDescent="0.25">
      <c r="A1664">
        <f t="shared" si="121"/>
        <v>22.828125</v>
      </c>
      <c r="B1664" t="s">
        <v>24</v>
      </c>
      <c r="C1664" t="s">
        <v>11</v>
      </c>
      <c r="D1664">
        <v>192</v>
      </c>
      <c r="E1664">
        <f t="shared" si="125"/>
        <v>85</v>
      </c>
      <c r="F1664" s="22">
        <f>'2085GH_Z'!$R18</f>
        <v>0.16789623242892771</v>
      </c>
      <c r="G1664" s="22" t="s">
        <v>33</v>
      </c>
      <c r="H1664" s="22">
        <f>'2085GH_Z'!$R18</f>
        <v>0.16789623242892771</v>
      </c>
      <c r="I1664" t="str">
        <f t="shared" si="122"/>
        <v>GH2085;zomer;192;85;0.167896232428928;TRUE;0.167896232428928</v>
      </c>
    </row>
    <row r="1665" spans="1:9" x14ac:dyDescent="0.25">
      <c r="A1665">
        <f t="shared" si="121"/>
        <v>22.828125</v>
      </c>
      <c r="B1665" t="s">
        <v>24</v>
      </c>
      <c r="C1665" t="s">
        <v>11</v>
      </c>
      <c r="D1665">
        <v>192</v>
      </c>
      <c r="E1665">
        <f t="shared" si="125"/>
        <v>90</v>
      </c>
      <c r="F1665" s="22">
        <f>'2085GH_Z'!$R19</f>
        <v>0.13109127286832195</v>
      </c>
      <c r="G1665" s="22" t="s">
        <v>33</v>
      </c>
      <c r="H1665" s="22">
        <f>'2085GH_Z'!$R19</f>
        <v>0.13109127286832195</v>
      </c>
      <c r="I1665" t="str">
        <f t="shared" si="122"/>
        <v>GH2085;zomer;192;90;0.131091272868322;TRUE;0.131091272868322</v>
      </c>
    </row>
    <row r="1666" spans="1:9" x14ac:dyDescent="0.25">
      <c r="A1666">
        <f t="shared" ref="A1666:A1729" si="126">IF(C1666="zomer",24/D1666*365.25 * 6/12,24/D1666*365.25 * 6/12)</f>
        <v>22.828125</v>
      </c>
      <c r="B1666" t="s">
        <v>24</v>
      </c>
      <c r="C1666" t="s">
        <v>11</v>
      </c>
      <c r="D1666">
        <v>192</v>
      </c>
      <c r="E1666">
        <f t="shared" si="125"/>
        <v>95</v>
      </c>
      <c r="F1666" s="22">
        <f>'2085GH_Z'!$R20</f>
        <v>0.10204909520978989</v>
      </c>
      <c r="G1666" s="22" t="s">
        <v>33</v>
      </c>
      <c r="H1666" s="22">
        <f>'2085GH_Z'!$R20</f>
        <v>0.10204909520978989</v>
      </c>
      <c r="I1666" t="str">
        <f t="shared" ref="I1666:I1729" si="127">CONCATENATEWITHDELIMITER(B1666:H1666,";")</f>
        <v>GH2085;zomer;192;95;0.10204909520979;TRUE;0.10204909520979</v>
      </c>
    </row>
    <row r="1667" spans="1:9" x14ac:dyDescent="0.25">
      <c r="A1667">
        <f t="shared" si="126"/>
        <v>22.828125</v>
      </c>
      <c r="B1667" t="s">
        <v>24</v>
      </c>
      <c r="C1667" t="s">
        <v>11</v>
      </c>
      <c r="D1667">
        <v>192</v>
      </c>
      <c r="E1667">
        <f t="shared" si="125"/>
        <v>100</v>
      </c>
      <c r="F1667" s="22">
        <f>'2085GH_Z'!$R21</f>
        <v>7.9198212801488532E-2</v>
      </c>
      <c r="G1667" s="22" t="s">
        <v>33</v>
      </c>
      <c r="H1667" s="22">
        <f>'2085GH_Z'!$R21</f>
        <v>7.9198212801488532E-2</v>
      </c>
      <c r="I1667" t="str">
        <f t="shared" si="127"/>
        <v>GH2085;zomer;192;100;7.91982128014885E-02;TRUE;7.91982128014885E-02</v>
      </c>
    </row>
    <row r="1668" spans="1:9" x14ac:dyDescent="0.25">
      <c r="A1668">
        <f t="shared" si="126"/>
        <v>22.828125</v>
      </c>
      <c r="B1668" t="s">
        <v>24</v>
      </c>
      <c r="C1668" t="s">
        <v>11</v>
      </c>
      <c r="D1668">
        <v>192</v>
      </c>
      <c r="E1668">
        <f t="shared" si="125"/>
        <v>105</v>
      </c>
      <c r="F1668" s="22">
        <f>'2085GH_Z'!$R22</f>
        <v>6.1271649050162302E-2</v>
      </c>
      <c r="G1668" s="22" t="s">
        <v>33</v>
      </c>
      <c r="H1668" s="22">
        <f>'2085GH_Z'!$R22</f>
        <v>6.1271649050162302E-2</v>
      </c>
      <c r="I1668" t="str">
        <f t="shared" si="127"/>
        <v>GH2085;zomer;192;105;6.12716490501623E-02;TRUE;6.12716490501623E-02</v>
      </c>
    </row>
    <row r="1669" spans="1:9" x14ac:dyDescent="0.25">
      <c r="A1669">
        <f t="shared" si="126"/>
        <v>22.828125</v>
      </c>
      <c r="B1669" t="s">
        <v>24</v>
      </c>
      <c r="C1669" t="s">
        <v>11</v>
      </c>
      <c r="D1669">
        <v>192</v>
      </c>
      <c r="E1669">
        <f t="shared" si="125"/>
        <v>110</v>
      </c>
      <c r="F1669" s="22">
        <f>'2085GH_Z'!$R23</f>
        <v>4.7250630338014299E-2</v>
      </c>
      <c r="G1669" s="22" t="s">
        <v>33</v>
      </c>
      <c r="H1669" s="22">
        <f>'2085GH_Z'!$R23</f>
        <v>4.7250630338014299E-2</v>
      </c>
      <c r="I1669" t="str">
        <f t="shared" si="127"/>
        <v>GH2085;zomer;192;110;4.72506303380143E-02;TRUE;4.72506303380143E-02</v>
      </c>
    </row>
    <row r="1670" spans="1:9" x14ac:dyDescent="0.25">
      <c r="A1670">
        <f t="shared" si="126"/>
        <v>22.828125</v>
      </c>
      <c r="B1670" t="s">
        <v>24</v>
      </c>
      <c r="C1670" t="s">
        <v>11</v>
      </c>
      <c r="D1670">
        <v>192</v>
      </c>
      <c r="E1670">
        <f t="shared" si="125"/>
        <v>115</v>
      </c>
      <c r="F1670" s="22">
        <f>'2085GH_Z'!$R24</f>
        <v>3.6318180384044343E-2</v>
      </c>
      <c r="G1670" s="22" t="s">
        <v>33</v>
      </c>
      <c r="H1670" s="22">
        <f>'2085GH_Z'!$R24</f>
        <v>3.6318180384044343E-2</v>
      </c>
      <c r="I1670" t="str">
        <f t="shared" si="127"/>
        <v>GH2085;zomer;192;115;3.63181803840443E-02;TRUE;3.63181803840443E-02</v>
      </c>
    </row>
    <row r="1671" spans="1:9" x14ac:dyDescent="0.25">
      <c r="A1671">
        <f t="shared" si="126"/>
        <v>22.828125</v>
      </c>
      <c r="B1671" t="s">
        <v>24</v>
      </c>
      <c r="C1671" t="s">
        <v>11</v>
      </c>
      <c r="D1671">
        <v>192</v>
      </c>
      <c r="E1671">
        <f t="shared" si="125"/>
        <v>120</v>
      </c>
      <c r="F1671" s="22">
        <f>'2085GH_Z'!$R25</f>
        <v>2.7820966713371781E-2</v>
      </c>
      <c r="G1671" s="22" t="s">
        <v>33</v>
      </c>
      <c r="H1671" s="22">
        <f>'2085GH_Z'!$R25</f>
        <v>2.7820966713371781E-2</v>
      </c>
      <c r="I1671" t="str">
        <f t="shared" si="127"/>
        <v>GH2085;zomer;192;120;2.78209667133718E-02;TRUE;2.78209667133718E-02</v>
      </c>
    </row>
    <row r="1672" spans="1:9" x14ac:dyDescent="0.25">
      <c r="A1672">
        <f t="shared" si="126"/>
        <v>22.828125</v>
      </c>
      <c r="B1672" t="s">
        <v>24</v>
      </c>
      <c r="C1672" t="s">
        <v>11</v>
      </c>
      <c r="D1672">
        <v>192</v>
      </c>
      <c r="E1672">
        <f t="shared" si="125"/>
        <v>125</v>
      </c>
      <c r="F1672" s="22">
        <f>'2085GH_Z'!$R26</f>
        <v>2.1238008988010024E-2</v>
      </c>
      <c r="G1672" s="22" t="s">
        <v>33</v>
      </c>
      <c r="H1672" s="22">
        <f>'2085GH_Z'!$R26</f>
        <v>2.1238008988010024E-2</v>
      </c>
      <c r="I1672" t="str">
        <f t="shared" si="127"/>
        <v>GH2085;zomer;192;125;0.02123800898801;TRUE;0.02123800898801</v>
      </c>
    </row>
    <row r="1673" spans="1:9" x14ac:dyDescent="0.25">
      <c r="A1673">
        <f t="shared" si="126"/>
        <v>22.828125</v>
      </c>
      <c r="B1673" t="s">
        <v>24</v>
      </c>
      <c r="C1673" t="s">
        <v>11</v>
      </c>
      <c r="D1673">
        <v>192</v>
      </c>
      <c r="E1673">
        <f t="shared" si="125"/>
        <v>130</v>
      </c>
      <c r="F1673" s="22">
        <f>'2085GH_Z'!$R27</f>
        <v>1.6155079858946909E-2</v>
      </c>
      <c r="G1673" s="22" t="s">
        <v>33</v>
      </c>
      <c r="H1673" s="22">
        <f>'2085GH_Z'!$R27</f>
        <v>1.6155079858946909E-2</v>
      </c>
      <c r="I1673" t="str">
        <f t="shared" si="127"/>
        <v>GH2085;zomer;192;130;1.61550798589469E-02;TRUE;1.61550798589469E-02</v>
      </c>
    </row>
    <row r="1674" spans="1:9" x14ac:dyDescent="0.25">
      <c r="A1674">
        <f t="shared" si="126"/>
        <v>22.828125</v>
      </c>
      <c r="B1674" t="s">
        <v>24</v>
      </c>
      <c r="C1674" t="s">
        <v>11</v>
      </c>
      <c r="D1674">
        <v>192</v>
      </c>
      <c r="E1674">
        <f t="shared" si="125"/>
        <v>135</v>
      </c>
      <c r="F1674" s="22">
        <f>'2085GH_Z'!$R28</f>
        <v>1.2243816969913099E-2</v>
      </c>
      <c r="G1674" s="22" t="s">
        <v>33</v>
      </c>
      <c r="H1674" s="22">
        <f>'2085GH_Z'!$R28</f>
        <v>1.2243816969913099E-2</v>
      </c>
      <c r="I1674" t="str">
        <f t="shared" si="127"/>
        <v>GH2085;zomer;192;135;1.22438169699131E-02;TRUE;1.22438169699131E-02</v>
      </c>
    </row>
    <row r="1675" spans="1:9" x14ac:dyDescent="0.25">
      <c r="A1675">
        <f t="shared" si="126"/>
        <v>22.828125</v>
      </c>
      <c r="B1675" t="s">
        <v>24</v>
      </c>
      <c r="C1675" t="s">
        <v>11</v>
      </c>
      <c r="D1675">
        <v>192</v>
      </c>
      <c r="E1675">
        <f t="shared" si="125"/>
        <v>140</v>
      </c>
      <c r="F1675" s="22">
        <f>'2085GH_Z'!$R29</f>
        <v>9.2447243577033315E-3</v>
      </c>
      <c r="G1675" s="22" t="s">
        <v>33</v>
      </c>
      <c r="H1675" s="22">
        <f>'2085GH_Z'!$R29</f>
        <v>9.2447243577033315E-3</v>
      </c>
      <c r="I1675" t="str">
        <f t="shared" si="127"/>
        <v>GH2085;zomer;192;140;9.24472435770333E-03;TRUE;9.24472435770333E-03</v>
      </c>
    </row>
    <row r="1676" spans="1:9" x14ac:dyDescent="0.25">
      <c r="A1676">
        <f t="shared" si="126"/>
        <v>22.828125</v>
      </c>
      <c r="B1676" t="s">
        <v>24</v>
      </c>
      <c r="C1676" t="s">
        <v>11</v>
      </c>
      <c r="D1676">
        <v>192</v>
      </c>
      <c r="E1676">
        <f t="shared" si="125"/>
        <v>145</v>
      </c>
      <c r="F1676" s="22">
        <f>'2085GH_Z'!$R30</f>
        <v>6.9533767425283555E-3</v>
      </c>
      <c r="G1676" s="22" t="s">
        <v>33</v>
      </c>
      <c r="H1676" s="22">
        <f>'2085GH_Z'!$R30</f>
        <v>6.9533767425283555E-3</v>
      </c>
      <c r="I1676" t="str">
        <f t="shared" si="127"/>
        <v>GH2085;zomer;192;145;6.95337674252836E-03;TRUE;6.95337674252836E-03</v>
      </c>
    </row>
    <row r="1677" spans="1:9" x14ac:dyDescent="0.25">
      <c r="A1677">
        <f t="shared" si="126"/>
        <v>22.828125</v>
      </c>
      <c r="B1677" t="s">
        <v>24</v>
      </c>
      <c r="C1677" t="s">
        <v>11</v>
      </c>
      <c r="D1677">
        <v>192</v>
      </c>
      <c r="E1677">
        <f t="shared" si="125"/>
        <v>150</v>
      </c>
      <c r="F1677" s="22">
        <f>'2085GH_Z'!$R31</f>
        <v>1.9819912568141137E-2</v>
      </c>
      <c r="G1677" s="22" t="s">
        <v>33</v>
      </c>
      <c r="H1677" s="22">
        <f>'2085GH_Z'!$R31</f>
        <v>1.9819912568141137E-2</v>
      </c>
      <c r="I1677" t="str">
        <f t="shared" si="127"/>
        <v>GH2085;zomer;192;150;1.98199125681411E-02;TRUE;1.98199125681411E-02</v>
      </c>
    </row>
    <row r="1678" spans="1:9" x14ac:dyDescent="0.25">
      <c r="A1678">
        <f t="shared" si="126"/>
        <v>20.291666666666664</v>
      </c>
      <c r="B1678" t="s">
        <v>24</v>
      </c>
      <c r="C1678" t="s">
        <v>11</v>
      </c>
      <c r="D1678">
        <v>216</v>
      </c>
      <c r="E1678">
        <v>20</v>
      </c>
      <c r="F1678" s="22">
        <f>'2085GH_Z'!$V5</f>
        <v>27.573792282057269</v>
      </c>
      <c r="G1678" s="22" t="s">
        <v>33</v>
      </c>
      <c r="H1678" s="22">
        <f>'2085GH_Z'!$V5</f>
        <v>27.573792282057269</v>
      </c>
      <c r="I1678" t="str">
        <f t="shared" si="127"/>
        <v>GH2085;zomer;216;20;27.5737922820573;TRUE;27.5737922820573</v>
      </c>
    </row>
    <row r="1679" spans="1:9" x14ac:dyDescent="0.25">
      <c r="A1679">
        <f t="shared" si="126"/>
        <v>20.291666666666664</v>
      </c>
      <c r="B1679" t="s">
        <v>24</v>
      </c>
      <c r="C1679" t="s">
        <v>11</v>
      </c>
      <c r="D1679">
        <v>216</v>
      </c>
      <c r="E1679">
        <f>E1678+5</f>
        <v>25</v>
      </c>
      <c r="F1679" s="22">
        <f>'2085GH_Z'!$V6</f>
        <v>2.4162079154266696</v>
      </c>
      <c r="G1679" s="22" t="s">
        <v>33</v>
      </c>
      <c r="H1679" s="22">
        <f>'2085GH_Z'!$V6</f>
        <v>2.4162079154266696</v>
      </c>
      <c r="I1679" t="str">
        <f t="shared" si="127"/>
        <v>GH2085;zomer;216;25;2.41620791542667;TRUE;2.41620791542667</v>
      </c>
    </row>
    <row r="1680" spans="1:9" x14ac:dyDescent="0.25">
      <c r="A1680">
        <f t="shared" si="126"/>
        <v>20.291666666666664</v>
      </c>
      <c r="B1680" t="s">
        <v>24</v>
      </c>
      <c r="C1680" t="s">
        <v>11</v>
      </c>
      <c r="D1680">
        <v>216</v>
      </c>
      <c r="E1680">
        <f t="shared" ref="E1680:E1705" si="128">E1679+5</f>
        <v>30</v>
      </c>
      <c r="F1680" s="22">
        <f>'2085GH_Z'!$V7</f>
        <v>1.9906654039439857</v>
      </c>
      <c r="G1680" s="22" t="s">
        <v>33</v>
      </c>
      <c r="H1680" s="22">
        <f>'2085GH_Z'!$V7</f>
        <v>1.9906654039439857</v>
      </c>
      <c r="I1680" t="str">
        <f t="shared" si="127"/>
        <v>GH2085;zomer;216;30;1.99066540394399;TRUE;1.99066540394399</v>
      </c>
    </row>
    <row r="1681" spans="1:9" x14ac:dyDescent="0.25">
      <c r="A1681">
        <f t="shared" si="126"/>
        <v>20.291666666666664</v>
      </c>
      <c r="B1681" t="s">
        <v>24</v>
      </c>
      <c r="C1681" t="s">
        <v>11</v>
      </c>
      <c r="D1681">
        <v>216</v>
      </c>
      <c r="E1681">
        <f t="shared" si="128"/>
        <v>35</v>
      </c>
      <c r="F1681" s="22">
        <f>'2085GH_Z'!$V8</f>
        <v>1.635882301853063</v>
      </c>
      <c r="G1681" s="22" t="s">
        <v>33</v>
      </c>
      <c r="H1681" s="22">
        <f>'2085GH_Z'!$V8</f>
        <v>1.635882301853063</v>
      </c>
      <c r="I1681" t="str">
        <f t="shared" si="127"/>
        <v>GH2085;zomer;216;35;1.63588230185306;TRUE;1.63588230185306</v>
      </c>
    </row>
    <row r="1682" spans="1:9" x14ac:dyDescent="0.25">
      <c r="A1682">
        <f t="shared" si="126"/>
        <v>20.291666666666664</v>
      </c>
      <c r="B1682" t="s">
        <v>24</v>
      </c>
      <c r="C1682" t="s">
        <v>11</v>
      </c>
      <c r="D1682">
        <v>216</v>
      </c>
      <c r="E1682">
        <f t="shared" si="128"/>
        <v>40</v>
      </c>
      <c r="F1682" s="22">
        <f>'2085GH_Z'!$V9</f>
        <v>1.340806090495624</v>
      </c>
      <c r="G1682" s="22" t="s">
        <v>33</v>
      </c>
      <c r="H1682" s="22">
        <f>'2085GH_Z'!$V9</f>
        <v>1.340806090495624</v>
      </c>
      <c r="I1682" t="str">
        <f t="shared" si="127"/>
        <v>GH2085;zomer;216;40;1.34080609049562;TRUE;1.34080609049562</v>
      </c>
    </row>
    <row r="1683" spans="1:9" x14ac:dyDescent="0.25">
      <c r="A1683">
        <f t="shared" si="126"/>
        <v>20.291666666666664</v>
      </c>
      <c r="B1683" t="s">
        <v>24</v>
      </c>
      <c r="C1683" t="s">
        <v>11</v>
      </c>
      <c r="D1683">
        <v>216</v>
      </c>
      <c r="E1683">
        <f t="shared" si="128"/>
        <v>45</v>
      </c>
      <c r="F1683" s="22">
        <f>'2085GH_Z'!$V10</f>
        <v>1.0959964283183075</v>
      </c>
      <c r="G1683" s="22" t="s">
        <v>33</v>
      </c>
      <c r="H1683" s="22">
        <f>'2085GH_Z'!$V10</f>
        <v>1.0959964283183075</v>
      </c>
      <c r="I1683" t="str">
        <f t="shared" si="127"/>
        <v>GH2085;zomer;216;45;1.09599642831831;TRUE;1.09599642831831</v>
      </c>
    </row>
    <row r="1684" spans="1:9" x14ac:dyDescent="0.25">
      <c r="A1684">
        <f t="shared" si="126"/>
        <v>20.291666666666664</v>
      </c>
      <c r="B1684" t="s">
        <v>24</v>
      </c>
      <c r="C1684" t="s">
        <v>11</v>
      </c>
      <c r="D1684">
        <v>216</v>
      </c>
      <c r="E1684">
        <f t="shared" si="128"/>
        <v>50</v>
      </c>
      <c r="F1684" s="22">
        <f>'2085GH_Z'!$V11</f>
        <v>0.89340707082791715</v>
      </c>
      <c r="G1684" s="22" t="s">
        <v>33</v>
      </c>
      <c r="H1684" s="22">
        <f>'2085GH_Z'!$V11</f>
        <v>0.89340707082791715</v>
      </c>
      <c r="I1684" t="str">
        <f t="shared" si="127"/>
        <v>GH2085;zomer;216;50;0.893407070827917;TRUE;0.893407070827917</v>
      </c>
    </row>
    <row r="1685" spans="1:9" x14ac:dyDescent="0.25">
      <c r="A1685">
        <f t="shared" si="126"/>
        <v>20.291666666666664</v>
      </c>
      <c r="B1685" t="s">
        <v>24</v>
      </c>
      <c r="C1685" t="s">
        <v>11</v>
      </c>
      <c r="D1685">
        <v>216</v>
      </c>
      <c r="E1685">
        <f t="shared" si="128"/>
        <v>55</v>
      </c>
      <c r="F1685" s="22">
        <f>'2085GH_Z'!$V12</f>
        <v>0.72619492070438429</v>
      </c>
      <c r="G1685" s="22" t="s">
        <v>33</v>
      </c>
      <c r="H1685" s="22">
        <f>'2085GH_Z'!$V12</f>
        <v>0.72619492070438429</v>
      </c>
      <c r="I1685" t="str">
        <f t="shared" si="127"/>
        <v>GH2085;zomer;216;55;0.726194920704384;TRUE;0.726194920704384</v>
      </c>
    </row>
    <row r="1686" spans="1:9" x14ac:dyDescent="0.25">
      <c r="A1686">
        <f t="shared" si="126"/>
        <v>20.291666666666664</v>
      </c>
      <c r="B1686" t="s">
        <v>24</v>
      </c>
      <c r="C1686" t="s">
        <v>11</v>
      </c>
      <c r="D1686">
        <v>216</v>
      </c>
      <c r="E1686">
        <f t="shared" si="128"/>
        <v>60</v>
      </c>
      <c r="F1686" s="22">
        <f>'2085GH_Z'!$V13</f>
        <v>0.58855313540771359</v>
      </c>
      <c r="G1686" s="22" t="s">
        <v>33</v>
      </c>
      <c r="H1686" s="22">
        <f>'2085GH_Z'!$V13</f>
        <v>0.58855313540771359</v>
      </c>
      <c r="I1686" t="str">
        <f t="shared" si="127"/>
        <v>GH2085;zomer;216;60;0.588553135407714;TRUE;0.588553135407714</v>
      </c>
    </row>
    <row r="1687" spans="1:9" x14ac:dyDescent="0.25">
      <c r="A1687">
        <f t="shared" si="126"/>
        <v>20.291666666666664</v>
      </c>
      <c r="B1687" t="s">
        <v>24</v>
      </c>
      <c r="C1687" t="s">
        <v>11</v>
      </c>
      <c r="D1687">
        <v>216</v>
      </c>
      <c r="E1687">
        <f t="shared" si="128"/>
        <v>65</v>
      </c>
      <c r="F1687" s="22">
        <f>'2085GH_Z'!$V14</f>
        <v>0.4755655324518131</v>
      </c>
      <c r="G1687" s="22" t="s">
        <v>33</v>
      </c>
      <c r="H1687" s="22">
        <f>'2085GH_Z'!$V14</f>
        <v>0.4755655324518131</v>
      </c>
      <c r="I1687" t="str">
        <f t="shared" si="127"/>
        <v>GH2085;zomer;216;65;0.475565532451813;TRUE;0.475565532451813</v>
      </c>
    </row>
    <row r="1688" spans="1:9" x14ac:dyDescent="0.25">
      <c r="A1688">
        <f t="shared" si="126"/>
        <v>20.291666666666664</v>
      </c>
      <c r="B1688" t="s">
        <v>24</v>
      </c>
      <c r="C1688" t="s">
        <v>11</v>
      </c>
      <c r="D1688">
        <v>216</v>
      </c>
      <c r="E1688">
        <f t="shared" si="128"/>
        <v>70</v>
      </c>
      <c r="F1688" s="22">
        <f>'2085GH_Z'!$V15</f>
        <v>0.38307981718406392</v>
      </c>
      <c r="G1688" s="22" t="s">
        <v>33</v>
      </c>
      <c r="H1688" s="22">
        <f>'2085GH_Z'!$V15</f>
        <v>0.38307981718406392</v>
      </c>
      <c r="I1688" t="str">
        <f t="shared" si="127"/>
        <v>GH2085;zomer;216;70;0.383079817184064;TRUE;0.383079817184064</v>
      </c>
    </row>
    <row r="1689" spans="1:9" x14ac:dyDescent="0.25">
      <c r="A1689">
        <f t="shared" si="126"/>
        <v>20.291666666666664</v>
      </c>
      <c r="B1689" t="s">
        <v>24</v>
      </c>
      <c r="C1689" t="s">
        <v>11</v>
      </c>
      <c r="D1689">
        <v>216</v>
      </c>
      <c r="E1689">
        <f t="shared" si="128"/>
        <v>75</v>
      </c>
      <c r="F1689" s="22">
        <f>'2085GH_Z'!$V16</f>
        <v>0.30759741659836459</v>
      </c>
      <c r="G1689" s="22" t="s">
        <v>33</v>
      </c>
      <c r="H1689" s="22">
        <f>'2085GH_Z'!$V16</f>
        <v>0.30759741659836459</v>
      </c>
      <c r="I1689" t="str">
        <f t="shared" si="127"/>
        <v>GH2085;zomer;216;75;0.307597416598365;TRUE;0.307597416598365</v>
      </c>
    </row>
    <row r="1690" spans="1:9" x14ac:dyDescent="0.25">
      <c r="A1690">
        <f t="shared" si="126"/>
        <v>20.291666666666664</v>
      </c>
      <c r="B1690" t="s">
        <v>24</v>
      </c>
      <c r="C1690" t="s">
        <v>11</v>
      </c>
      <c r="D1690">
        <v>216</v>
      </c>
      <c r="E1690">
        <f t="shared" si="128"/>
        <v>80</v>
      </c>
      <c r="F1690" s="22">
        <f>'2085GH_Z'!$V17</f>
        <v>0.24617793747303474</v>
      </c>
      <c r="G1690" s="22" t="s">
        <v>33</v>
      </c>
      <c r="H1690" s="22">
        <f>'2085GH_Z'!$V17</f>
        <v>0.24617793747303474</v>
      </c>
      <c r="I1690" t="str">
        <f t="shared" si="127"/>
        <v>GH2085;zomer;216;80;0.246177937473035;TRUE;0.246177937473035</v>
      </c>
    </row>
    <row r="1691" spans="1:9" x14ac:dyDescent="0.25">
      <c r="A1691">
        <f t="shared" si="126"/>
        <v>20.291666666666664</v>
      </c>
      <c r="B1691" t="s">
        <v>24</v>
      </c>
      <c r="C1691" t="s">
        <v>11</v>
      </c>
      <c r="D1691">
        <v>216</v>
      </c>
      <c r="E1691">
        <f t="shared" si="128"/>
        <v>85</v>
      </c>
      <c r="F1691" s="22">
        <f>'2085GH_Z'!$V18</f>
        <v>0.19635647987807303</v>
      </c>
      <c r="G1691" s="22" t="s">
        <v>33</v>
      </c>
      <c r="H1691" s="22">
        <f>'2085GH_Z'!$V18</f>
        <v>0.19635647987807303</v>
      </c>
      <c r="I1691" t="str">
        <f t="shared" si="127"/>
        <v>GH2085;zomer;216;85;0.196356479878073;TRUE;0.196356479878073</v>
      </c>
    </row>
    <row r="1692" spans="1:9" x14ac:dyDescent="0.25">
      <c r="A1692">
        <f t="shared" si="126"/>
        <v>20.291666666666664</v>
      </c>
      <c r="B1692" t="s">
        <v>24</v>
      </c>
      <c r="C1692" t="s">
        <v>11</v>
      </c>
      <c r="D1692">
        <v>216</v>
      </c>
      <c r="E1692">
        <f t="shared" si="128"/>
        <v>90</v>
      </c>
      <c r="F1692" s="22">
        <f>'2085GH_Z'!$V19</f>
        <v>0.1560722296299879</v>
      </c>
      <c r="G1692" s="22" t="s">
        <v>33</v>
      </c>
      <c r="H1692" s="22">
        <f>'2085GH_Z'!$V19</f>
        <v>0.1560722296299879</v>
      </c>
      <c r="I1692" t="str">
        <f t="shared" si="127"/>
        <v>GH2085;zomer;216;90;0.156072229629988;TRUE;0.156072229629988</v>
      </c>
    </row>
    <row r="1693" spans="1:9" x14ac:dyDescent="0.25">
      <c r="A1693">
        <f t="shared" si="126"/>
        <v>20.291666666666664</v>
      </c>
      <c r="B1693" t="s">
        <v>24</v>
      </c>
      <c r="C1693" t="s">
        <v>11</v>
      </c>
      <c r="D1693">
        <v>216</v>
      </c>
      <c r="E1693">
        <f t="shared" si="128"/>
        <v>95</v>
      </c>
      <c r="F1693" s="22">
        <f>'2085GH_Z'!$V20</f>
        <v>0.12360692724974565</v>
      </c>
      <c r="G1693" s="22" t="s">
        <v>33</v>
      </c>
      <c r="H1693" s="22">
        <f>'2085GH_Z'!$V20</f>
        <v>0.12360692724974565</v>
      </c>
      <c r="I1693" t="str">
        <f t="shared" si="127"/>
        <v>GH2085;zomer;216;95;0.123606927249746;TRUE;0.123606927249746</v>
      </c>
    </row>
    <row r="1694" spans="1:9" x14ac:dyDescent="0.25">
      <c r="A1694">
        <f t="shared" si="126"/>
        <v>20.291666666666664</v>
      </c>
      <c r="B1694" t="s">
        <v>24</v>
      </c>
      <c r="C1694" t="s">
        <v>11</v>
      </c>
      <c r="D1694">
        <v>216</v>
      </c>
      <c r="E1694">
        <f t="shared" si="128"/>
        <v>100</v>
      </c>
      <c r="F1694" s="22">
        <f>'2085GH_Z'!$V21</f>
        <v>9.7531967952595444E-2</v>
      </c>
      <c r="G1694" s="22" t="s">
        <v>33</v>
      </c>
      <c r="H1694" s="22">
        <f>'2085GH_Z'!$V21</f>
        <v>9.7531967952595444E-2</v>
      </c>
      <c r="I1694" t="str">
        <f t="shared" si="127"/>
        <v>GH2085;zomer;216;100;9.75319679525954E-02;TRUE;9.75319679525954E-02</v>
      </c>
    </row>
    <row r="1695" spans="1:9" x14ac:dyDescent="0.25">
      <c r="A1695">
        <f t="shared" si="126"/>
        <v>20.291666666666664</v>
      </c>
      <c r="B1695" t="s">
        <v>24</v>
      </c>
      <c r="C1695" t="s">
        <v>11</v>
      </c>
      <c r="D1695">
        <v>216</v>
      </c>
      <c r="E1695">
        <f t="shared" si="128"/>
        <v>105</v>
      </c>
      <c r="F1695" s="22">
        <f>'2085GH_Z'!$V22</f>
        <v>7.6663028607401318E-2</v>
      </c>
      <c r="G1695" s="22" t="s">
        <v>33</v>
      </c>
      <c r="H1695" s="22">
        <f>'2085GH_Z'!$V22</f>
        <v>7.6663028607401318E-2</v>
      </c>
      <c r="I1695" t="str">
        <f t="shared" si="127"/>
        <v>GH2085;zomer;216;105;7.66630286074013E-02;TRUE;7.66630286074013E-02</v>
      </c>
    </row>
    <row r="1696" spans="1:9" x14ac:dyDescent="0.25">
      <c r="A1696">
        <f t="shared" si="126"/>
        <v>20.291666666666664</v>
      </c>
      <c r="B1696" t="s">
        <v>24</v>
      </c>
      <c r="C1696" t="s">
        <v>11</v>
      </c>
      <c r="D1696">
        <v>216</v>
      </c>
      <c r="E1696">
        <f t="shared" si="128"/>
        <v>110</v>
      </c>
      <c r="F1696" s="22">
        <f>'2085GH_Z'!$V23</f>
        <v>6.0021244786872124E-2</v>
      </c>
      <c r="G1696" s="22" t="s">
        <v>33</v>
      </c>
      <c r="H1696" s="22">
        <f>'2085GH_Z'!$V23</f>
        <v>6.0021244786872124E-2</v>
      </c>
      <c r="I1696" t="str">
        <f t="shared" si="127"/>
        <v>GH2085;zomer;216;110;6.00212447868721E-02;TRUE;6.00212447868721E-02</v>
      </c>
    </row>
    <row r="1697" spans="1:9" x14ac:dyDescent="0.25">
      <c r="A1697">
        <f t="shared" si="126"/>
        <v>20.291666666666664</v>
      </c>
      <c r="B1697" t="s">
        <v>24</v>
      </c>
      <c r="C1697" t="s">
        <v>11</v>
      </c>
      <c r="D1697">
        <v>216</v>
      </c>
      <c r="E1697">
        <f t="shared" si="128"/>
        <v>115</v>
      </c>
      <c r="F1697" s="22">
        <f>'2085GH_Z'!$V24</f>
        <v>4.6800075229571997E-2</v>
      </c>
      <c r="G1697" s="22" t="s">
        <v>33</v>
      </c>
      <c r="H1697" s="22">
        <f>'2085GH_Z'!$V24</f>
        <v>4.6800075229571997E-2</v>
      </c>
      <c r="I1697" t="str">
        <f t="shared" si="127"/>
        <v>GH2085;zomer;216;115;0.046800075229572;TRUE;0.046800075229572</v>
      </c>
    </row>
    <row r="1698" spans="1:9" x14ac:dyDescent="0.25">
      <c r="A1698">
        <f t="shared" si="126"/>
        <v>20.291666666666664</v>
      </c>
      <c r="B1698" t="s">
        <v>24</v>
      </c>
      <c r="C1698" t="s">
        <v>11</v>
      </c>
      <c r="D1698">
        <v>216</v>
      </c>
      <c r="E1698">
        <f t="shared" si="128"/>
        <v>120</v>
      </c>
      <c r="F1698" s="22">
        <f>'2085GH_Z'!$V25</f>
        <v>3.6337093400223522E-2</v>
      </c>
      <c r="G1698" s="22" t="s">
        <v>33</v>
      </c>
      <c r="H1698" s="22">
        <f>'2085GH_Z'!$V25</f>
        <v>3.6337093400223522E-2</v>
      </c>
      <c r="I1698" t="str">
        <f t="shared" si="127"/>
        <v>GH2085;zomer;216;120;3.63370934002235E-02;TRUE;3.63370934002235E-02</v>
      </c>
    </row>
    <row r="1699" spans="1:9" x14ac:dyDescent="0.25">
      <c r="A1699">
        <f t="shared" si="126"/>
        <v>20.291666666666664</v>
      </c>
      <c r="B1699" t="s">
        <v>24</v>
      </c>
      <c r="C1699" t="s">
        <v>11</v>
      </c>
      <c r="D1699">
        <v>216</v>
      </c>
      <c r="E1699">
        <f t="shared" si="128"/>
        <v>125</v>
      </c>
      <c r="F1699" s="22">
        <f>'2085GH_Z'!$V26</f>
        <v>2.8090037430735834E-2</v>
      </c>
      <c r="G1699" s="22" t="s">
        <v>33</v>
      </c>
      <c r="H1699" s="22">
        <f>'2085GH_Z'!$V26</f>
        <v>2.8090037430735834E-2</v>
      </c>
      <c r="I1699" t="str">
        <f t="shared" si="127"/>
        <v>GH2085;zomer;216;125;2.80900374307358E-02;TRUE;2.80900374307358E-02</v>
      </c>
    </row>
    <row r="1700" spans="1:9" x14ac:dyDescent="0.25">
      <c r="A1700">
        <f t="shared" si="126"/>
        <v>20.291666666666664</v>
      </c>
      <c r="B1700" t="s">
        <v>24</v>
      </c>
      <c r="C1700" t="s">
        <v>11</v>
      </c>
      <c r="D1700">
        <v>216</v>
      </c>
      <c r="E1700">
        <f t="shared" si="128"/>
        <v>130</v>
      </c>
      <c r="F1700" s="22">
        <f>'2085GH_Z'!$V27</f>
        <v>2.161653153418179E-2</v>
      </c>
      <c r="G1700" s="22" t="s">
        <v>33</v>
      </c>
      <c r="H1700" s="22">
        <f>'2085GH_Z'!$V27</f>
        <v>2.161653153418179E-2</v>
      </c>
      <c r="I1700" t="str">
        <f t="shared" si="127"/>
        <v>GH2085;zomer;216;130;2.16165315341818E-02;TRUE;2.16165315341818E-02</v>
      </c>
    </row>
    <row r="1701" spans="1:9" x14ac:dyDescent="0.25">
      <c r="A1701">
        <f t="shared" si="126"/>
        <v>20.291666666666664</v>
      </c>
      <c r="B1701" t="s">
        <v>24</v>
      </c>
      <c r="C1701" t="s">
        <v>11</v>
      </c>
      <c r="D1701">
        <v>216</v>
      </c>
      <c r="E1701">
        <f t="shared" si="128"/>
        <v>135</v>
      </c>
      <c r="F1701" s="22">
        <f>'2085GH_Z'!$V28</f>
        <v>1.6556964915534614E-2</v>
      </c>
      <c r="G1701" s="22" t="s">
        <v>33</v>
      </c>
      <c r="H1701" s="22">
        <f>'2085GH_Z'!$V28</f>
        <v>1.6556964915534614E-2</v>
      </c>
      <c r="I1701" t="str">
        <f t="shared" si="127"/>
        <v>GH2085;zomer;216;135;1.65569649155346E-02;TRUE;1.65569649155346E-02</v>
      </c>
    </row>
    <row r="1702" spans="1:9" x14ac:dyDescent="0.25">
      <c r="A1702">
        <f t="shared" si="126"/>
        <v>20.291666666666664</v>
      </c>
      <c r="B1702" t="s">
        <v>24</v>
      </c>
      <c r="C1702" t="s">
        <v>11</v>
      </c>
      <c r="D1702">
        <v>216</v>
      </c>
      <c r="E1702">
        <f t="shared" si="128"/>
        <v>140</v>
      </c>
      <c r="F1702" s="22">
        <f>'2085GH_Z'!$V29</f>
        <v>1.2620079093078627E-2</v>
      </c>
      <c r="G1702" s="22" t="s">
        <v>33</v>
      </c>
      <c r="H1702" s="22">
        <f>'2085GH_Z'!$V29</f>
        <v>1.2620079093078627E-2</v>
      </c>
      <c r="I1702" t="str">
        <f t="shared" si="127"/>
        <v>GH2085;zomer;216;140;1.26200790930786E-02;TRUE;1.26200790930786E-02</v>
      </c>
    </row>
    <row r="1703" spans="1:9" x14ac:dyDescent="0.25">
      <c r="A1703">
        <f t="shared" si="126"/>
        <v>20.291666666666664</v>
      </c>
      <c r="B1703" t="s">
        <v>24</v>
      </c>
      <c r="C1703" t="s">
        <v>11</v>
      </c>
      <c r="D1703">
        <v>216</v>
      </c>
      <c r="E1703">
        <f t="shared" si="128"/>
        <v>145</v>
      </c>
      <c r="F1703" s="22">
        <f>'2085GH_Z'!$V30</f>
        <v>9.5708721634040692E-3</v>
      </c>
      <c r="G1703" s="22" t="s">
        <v>33</v>
      </c>
      <c r="H1703" s="22">
        <f>'2085GH_Z'!$V30</f>
        <v>9.5708721634040692E-3</v>
      </c>
      <c r="I1703" t="str">
        <f t="shared" si="127"/>
        <v>GH2085;zomer;216;145;9.57087216340407E-03;TRUE;9.57087216340407E-03</v>
      </c>
    </row>
    <row r="1704" spans="1:9" x14ac:dyDescent="0.25">
      <c r="A1704">
        <f t="shared" si="126"/>
        <v>20.291666666666664</v>
      </c>
      <c r="B1704" t="s">
        <v>24</v>
      </c>
      <c r="C1704" t="s">
        <v>11</v>
      </c>
      <c r="D1704">
        <v>216</v>
      </c>
      <c r="E1704">
        <f t="shared" si="128"/>
        <v>150</v>
      </c>
      <c r="F1704" s="22">
        <f>'2085GH_Z'!$V31</f>
        <v>7.2204795987384808E-3</v>
      </c>
      <c r="G1704" s="22" t="s">
        <v>33</v>
      </c>
      <c r="H1704" s="22">
        <f>'2085GH_Z'!$V31</f>
        <v>7.2204795987384808E-3</v>
      </c>
      <c r="I1704" t="str">
        <f t="shared" si="127"/>
        <v>GH2085;zomer;216;150;7.22047959873848E-03;TRUE;7.22047959873848E-03</v>
      </c>
    </row>
    <row r="1705" spans="1:9" x14ac:dyDescent="0.25">
      <c r="A1705">
        <f t="shared" si="126"/>
        <v>20.291666666666664</v>
      </c>
      <c r="B1705" t="s">
        <v>24</v>
      </c>
      <c r="C1705" t="s">
        <v>11</v>
      </c>
      <c r="D1705">
        <v>216</v>
      </c>
      <c r="E1705">
        <f t="shared" si="128"/>
        <v>155</v>
      </c>
      <c r="F1705" s="22">
        <f>'2085GH_Z'!$V32</f>
        <v>2.0343069120973788E-2</v>
      </c>
      <c r="G1705" s="22" t="s">
        <v>33</v>
      </c>
      <c r="H1705" s="22">
        <f>'2085GH_Z'!$V32</f>
        <v>2.0343069120973788E-2</v>
      </c>
      <c r="I1705" t="str">
        <f t="shared" si="127"/>
        <v>GH2085;zomer;216;155;2.03430691209738E-02;TRUE;2.03430691209738E-02</v>
      </c>
    </row>
    <row r="1706" spans="1:9" x14ac:dyDescent="0.25">
      <c r="A1706">
        <f t="shared" si="126"/>
        <v>182.625</v>
      </c>
      <c r="B1706" t="s">
        <v>24</v>
      </c>
      <c r="C1706" t="s">
        <v>7</v>
      </c>
      <c r="D1706">
        <v>24</v>
      </c>
      <c r="E1706">
        <v>15</v>
      </c>
      <c r="F1706" s="22">
        <f>'2085GH_W'!$F4</f>
        <v>360.32971311397682</v>
      </c>
      <c r="G1706" s="22" t="s">
        <v>33</v>
      </c>
      <c r="H1706" s="22">
        <f>'2085GH_W'!$F4</f>
        <v>360.32971311397682</v>
      </c>
      <c r="I1706" t="str">
        <f t="shared" si="127"/>
        <v>GH2085;winter;24;15;360.329713113977;TRUE;360.329713113977</v>
      </c>
    </row>
    <row r="1707" spans="1:9" x14ac:dyDescent="0.25">
      <c r="A1707">
        <f t="shared" si="126"/>
        <v>182.625</v>
      </c>
      <c r="B1707" t="s">
        <v>24</v>
      </c>
      <c r="C1707" t="s">
        <v>7</v>
      </c>
      <c r="D1707">
        <v>24</v>
      </c>
      <c r="E1707">
        <f>E1706+5</f>
        <v>20</v>
      </c>
      <c r="F1707" s="22">
        <f>'2085GH_W'!$F5</f>
        <v>2.8636289071435996</v>
      </c>
      <c r="G1707" s="22" t="s">
        <v>33</v>
      </c>
      <c r="H1707" s="22">
        <f>'2085GH_W'!$F5</f>
        <v>2.8636289071435996</v>
      </c>
      <c r="I1707" t="str">
        <f t="shared" si="127"/>
        <v>GH2085;winter;24;20;2.8636289071436;TRUE;2.8636289071436</v>
      </c>
    </row>
    <row r="1708" spans="1:9" x14ac:dyDescent="0.25">
      <c r="A1708">
        <f t="shared" si="126"/>
        <v>182.625</v>
      </c>
      <c r="B1708" t="s">
        <v>24</v>
      </c>
      <c r="C1708" t="s">
        <v>7</v>
      </c>
      <c r="D1708">
        <v>24</v>
      </c>
      <c r="E1708">
        <f t="shared" ref="E1708:E1722" si="129">E1707+5</f>
        <v>25</v>
      </c>
      <c r="F1708" s="22">
        <f>'2085GH_W'!$F6</f>
        <v>1.1508858128593698</v>
      </c>
      <c r="G1708" s="22" t="s">
        <v>33</v>
      </c>
      <c r="H1708" s="22">
        <f>'2085GH_W'!$F6</f>
        <v>1.1508858128593698</v>
      </c>
      <c r="I1708" t="str">
        <f t="shared" si="127"/>
        <v>GH2085;winter;24;25;1.15088581285937;TRUE;1.15088581285937</v>
      </c>
    </row>
    <row r="1709" spans="1:9" x14ac:dyDescent="0.25">
      <c r="A1709">
        <f t="shared" si="126"/>
        <v>182.625</v>
      </c>
      <c r="B1709" t="s">
        <v>24</v>
      </c>
      <c r="C1709" t="s">
        <v>7</v>
      </c>
      <c r="D1709">
        <v>24</v>
      </c>
      <c r="E1709">
        <f t="shared" si="129"/>
        <v>30</v>
      </c>
      <c r="F1709" s="22">
        <f>'2085GH_W'!$F7</f>
        <v>0.48794465633130141</v>
      </c>
      <c r="G1709" s="22" t="s">
        <v>33</v>
      </c>
      <c r="H1709" s="22">
        <f>'2085GH_W'!$F7</f>
        <v>0.48794465633130141</v>
      </c>
      <c r="I1709" t="str">
        <f t="shared" si="127"/>
        <v>GH2085;winter;24;30;0.487944656331301;TRUE;0.487944656331301</v>
      </c>
    </row>
    <row r="1710" spans="1:9" x14ac:dyDescent="0.25">
      <c r="A1710">
        <f t="shared" si="126"/>
        <v>182.625</v>
      </c>
      <c r="B1710" t="s">
        <v>24</v>
      </c>
      <c r="C1710" t="s">
        <v>7</v>
      </c>
      <c r="D1710">
        <v>24</v>
      </c>
      <c r="E1710">
        <f t="shared" si="129"/>
        <v>35</v>
      </c>
      <c r="F1710" s="22">
        <f>'2085GH_W'!$F8</f>
        <v>0.21694425489226329</v>
      </c>
      <c r="G1710" s="22" t="s">
        <v>33</v>
      </c>
      <c r="H1710" s="22">
        <f>'2085GH_W'!$F8</f>
        <v>0.21694425489226329</v>
      </c>
      <c r="I1710" t="str">
        <f t="shared" si="127"/>
        <v>GH2085;winter;24;35;0.216944254892263;TRUE;0.216944254892263</v>
      </c>
    </row>
    <row r="1711" spans="1:9" x14ac:dyDescent="0.25">
      <c r="A1711">
        <f t="shared" si="126"/>
        <v>182.625</v>
      </c>
      <c r="B1711" t="s">
        <v>24</v>
      </c>
      <c r="C1711" t="s">
        <v>7</v>
      </c>
      <c r="D1711">
        <v>24</v>
      </c>
      <c r="E1711">
        <f t="shared" si="129"/>
        <v>40</v>
      </c>
      <c r="F1711" s="22">
        <f>'2085GH_W'!$F9</f>
        <v>0.10064476574446238</v>
      </c>
      <c r="G1711" s="22" t="s">
        <v>33</v>
      </c>
      <c r="H1711" s="22">
        <f>'2085GH_W'!$F9</f>
        <v>0.10064476574446238</v>
      </c>
      <c r="I1711" t="str">
        <f t="shared" si="127"/>
        <v>GH2085;winter;24;40;0.100644765744462;TRUE;0.100644765744462</v>
      </c>
    </row>
    <row r="1712" spans="1:9" x14ac:dyDescent="0.25">
      <c r="A1712">
        <f t="shared" si="126"/>
        <v>182.625</v>
      </c>
      <c r="B1712" t="s">
        <v>24</v>
      </c>
      <c r="C1712" t="s">
        <v>7</v>
      </c>
      <c r="D1712">
        <v>24</v>
      </c>
      <c r="E1712">
        <f t="shared" si="129"/>
        <v>45</v>
      </c>
      <c r="F1712" s="22">
        <f>'2085GH_W'!$F10</f>
        <v>4.8512439641418083E-2</v>
      </c>
      <c r="G1712" s="22" t="s">
        <v>33</v>
      </c>
      <c r="H1712" s="22">
        <f>'2085GH_W'!$F10</f>
        <v>4.8512439641418083E-2</v>
      </c>
      <c r="I1712" t="str">
        <f t="shared" si="127"/>
        <v>GH2085;winter;24;45;4.85124396414181E-02;TRUE;4.85124396414181E-02</v>
      </c>
    </row>
    <row r="1713" spans="1:9" x14ac:dyDescent="0.25">
      <c r="A1713">
        <f t="shared" si="126"/>
        <v>182.625</v>
      </c>
      <c r="B1713" t="s">
        <v>24</v>
      </c>
      <c r="C1713" t="s">
        <v>7</v>
      </c>
      <c r="D1713">
        <v>24</v>
      </c>
      <c r="E1713">
        <f t="shared" si="129"/>
        <v>50</v>
      </c>
      <c r="F1713" s="22">
        <f>'2085GH_W'!$F11</f>
        <v>2.4207608190639787E-2</v>
      </c>
      <c r="G1713" s="22" t="s">
        <v>33</v>
      </c>
      <c r="H1713" s="22">
        <f>'2085GH_W'!$F11</f>
        <v>2.4207608190639787E-2</v>
      </c>
      <c r="I1713" t="str">
        <f t="shared" si="127"/>
        <v>GH2085;winter;24;50;2.42076081906398E-02;TRUE;2.42076081906398E-02</v>
      </c>
    </row>
    <row r="1714" spans="1:9" x14ac:dyDescent="0.25">
      <c r="A1714">
        <f t="shared" si="126"/>
        <v>182.625</v>
      </c>
      <c r="B1714" t="s">
        <v>24</v>
      </c>
      <c r="C1714" t="s">
        <v>7</v>
      </c>
      <c r="D1714">
        <v>24</v>
      </c>
      <c r="E1714">
        <f t="shared" si="129"/>
        <v>55</v>
      </c>
      <c r="F1714" s="22">
        <f>'2085GH_W'!$F12</f>
        <v>1.2465842772404489E-2</v>
      </c>
      <c r="G1714" s="22" t="s">
        <v>33</v>
      </c>
      <c r="H1714" s="22">
        <f>'2085GH_W'!$F12</f>
        <v>1.2465842772404489E-2</v>
      </c>
      <c r="I1714" t="str">
        <f t="shared" si="127"/>
        <v>GH2085;winter;24;55;1.24658427724045E-02;TRUE;1.24658427724045E-02</v>
      </c>
    </row>
    <row r="1715" spans="1:9" x14ac:dyDescent="0.25">
      <c r="A1715">
        <f t="shared" si="126"/>
        <v>182.625</v>
      </c>
      <c r="B1715" t="s">
        <v>24</v>
      </c>
      <c r="C1715" t="s">
        <v>7</v>
      </c>
      <c r="D1715">
        <v>24</v>
      </c>
      <c r="E1715">
        <f t="shared" si="129"/>
        <v>60</v>
      </c>
      <c r="F1715" s="22">
        <f>'2085GH_W'!$F13</f>
        <v>6.6065540401625475E-3</v>
      </c>
      <c r="G1715" s="22" t="s">
        <v>33</v>
      </c>
      <c r="H1715" s="22">
        <f>'2085GH_W'!$F13</f>
        <v>6.6065540401625475E-3</v>
      </c>
      <c r="I1715" t="str">
        <f t="shared" si="127"/>
        <v>GH2085;winter;24;60;6.60655404016255E-03;TRUE;6.60655404016255E-03</v>
      </c>
    </row>
    <row r="1716" spans="1:9" x14ac:dyDescent="0.25">
      <c r="A1716">
        <f t="shared" si="126"/>
        <v>182.625</v>
      </c>
      <c r="B1716" t="s">
        <v>24</v>
      </c>
      <c r="C1716" t="s">
        <v>7</v>
      </c>
      <c r="D1716">
        <v>24</v>
      </c>
      <c r="E1716">
        <f t="shared" si="129"/>
        <v>65</v>
      </c>
      <c r="F1716" s="22">
        <f>'2085GH_W'!$F14</f>
        <v>3.5947864457376265E-3</v>
      </c>
      <c r="G1716" s="22" t="s">
        <v>33</v>
      </c>
      <c r="H1716" s="22">
        <f>'2085GH_W'!$F14</f>
        <v>3.5947864457376265E-3</v>
      </c>
      <c r="I1716" t="str">
        <f t="shared" si="127"/>
        <v>GH2085;winter;24;65;3.59478644573763E-03;TRUE;3.59478644573763E-03</v>
      </c>
    </row>
    <row r="1717" spans="1:9" x14ac:dyDescent="0.25">
      <c r="A1717">
        <f t="shared" si="126"/>
        <v>182.625</v>
      </c>
      <c r="B1717" t="s">
        <v>24</v>
      </c>
      <c r="C1717" t="s">
        <v>7</v>
      </c>
      <c r="D1717">
        <v>24</v>
      </c>
      <c r="E1717">
        <f t="shared" si="129"/>
        <v>70</v>
      </c>
      <c r="F1717" s="22">
        <f>'2085GH_W'!$F15</f>
        <v>2.0040191747194131E-3</v>
      </c>
      <c r="G1717" s="22" t="s">
        <v>33</v>
      </c>
      <c r="H1717" s="22">
        <f>'2085GH_W'!$F15</f>
        <v>2.0040191747194131E-3</v>
      </c>
      <c r="I1717" t="str">
        <f t="shared" si="127"/>
        <v>GH2085;winter;24;70;2.00401917471941E-03;TRUE;2.00401917471941E-03</v>
      </c>
    </row>
    <row r="1718" spans="1:9" x14ac:dyDescent="0.25">
      <c r="A1718">
        <f t="shared" si="126"/>
        <v>182.625</v>
      </c>
      <c r="B1718" t="s">
        <v>24</v>
      </c>
      <c r="C1718" t="s">
        <v>7</v>
      </c>
      <c r="D1718">
        <v>24</v>
      </c>
      <c r="E1718">
        <f t="shared" si="129"/>
        <v>75</v>
      </c>
      <c r="F1718" s="22">
        <f>'2085GH_W'!$F16</f>
        <v>1.1424908855690822E-3</v>
      </c>
      <c r="G1718" s="22" t="s">
        <v>33</v>
      </c>
      <c r="H1718" s="22">
        <f>'2085GH_W'!$F16</f>
        <v>1.1424908855690822E-3</v>
      </c>
      <c r="I1718" t="str">
        <f t="shared" si="127"/>
        <v>GH2085;winter;24;75;1.14249088556908E-03;TRUE;1.14249088556908E-03</v>
      </c>
    </row>
    <row r="1719" spans="1:9" x14ac:dyDescent="0.25">
      <c r="A1719">
        <f t="shared" si="126"/>
        <v>182.625</v>
      </c>
      <c r="B1719" t="s">
        <v>24</v>
      </c>
      <c r="C1719" t="s">
        <v>7</v>
      </c>
      <c r="D1719">
        <v>24</v>
      </c>
      <c r="E1719">
        <f t="shared" si="129"/>
        <v>80</v>
      </c>
      <c r="F1719" s="22">
        <f>'2085GH_W'!$F17</f>
        <v>6.6497753544622769E-4</v>
      </c>
      <c r="G1719" s="22" t="s">
        <v>33</v>
      </c>
      <c r="H1719" s="22">
        <f>'2085GH_W'!$F17</f>
        <v>6.6497753544622769E-4</v>
      </c>
      <c r="I1719" t="str">
        <f t="shared" si="127"/>
        <v>GH2085;winter;24;80;6.64977535446228E-04;TRUE;6.64977535446228E-04</v>
      </c>
    </row>
    <row r="1720" spans="1:9" x14ac:dyDescent="0.25">
      <c r="A1720">
        <f t="shared" si="126"/>
        <v>182.625</v>
      </c>
      <c r="B1720" t="s">
        <v>24</v>
      </c>
      <c r="C1720" t="s">
        <v>7</v>
      </c>
      <c r="D1720">
        <v>24</v>
      </c>
      <c r="E1720">
        <f t="shared" si="129"/>
        <v>85</v>
      </c>
      <c r="F1720" s="22">
        <f>'2085GH_W'!$F18</f>
        <v>3.9456886659501925E-4</v>
      </c>
      <c r="G1720" s="22" t="s">
        <v>33</v>
      </c>
      <c r="H1720" s="22">
        <f>'2085GH_W'!$F18</f>
        <v>3.9456886659501925E-4</v>
      </c>
      <c r="I1720" t="str">
        <f t="shared" si="127"/>
        <v>GH2085;winter;24;85;3.94568866595019E-04;TRUE;3.94568866595019E-04</v>
      </c>
    </row>
    <row r="1721" spans="1:9" x14ac:dyDescent="0.25">
      <c r="A1721">
        <f t="shared" si="126"/>
        <v>182.625</v>
      </c>
      <c r="B1721" t="s">
        <v>24</v>
      </c>
      <c r="C1721" t="s">
        <v>7</v>
      </c>
      <c r="D1721">
        <v>24</v>
      </c>
      <c r="E1721">
        <f t="shared" si="129"/>
        <v>90</v>
      </c>
      <c r="F1721" s="22">
        <f>'2085GH_W'!$F19</f>
        <v>2.3835533252256476E-4</v>
      </c>
      <c r="G1721" s="22" t="s">
        <v>33</v>
      </c>
      <c r="H1721" s="22">
        <f>'2085GH_W'!$F19</f>
        <v>2.3835533252256476E-4</v>
      </c>
      <c r="I1721" t="str">
        <f t="shared" si="127"/>
        <v>GH2085;winter;24;90;2.38355332522565E-04;TRUE;2.38355332522565E-04</v>
      </c>
    </row>
    <row r="1722" spans="1:9" x14ac:dyDescent="0.25">
      <c r="A1722">
        <f t="shared" si="126"/>
        <v>182.625</v>
      </c>
      <c r="B1722" t="s">
        <v>24</v>
      </c>
      <c r="C1722" t="s">
        <v>7</v>
      </c>
      <c r="D1722">
        <v>24</v>
      </c>
      <c r="E1722">
        <f t="shared" si="129"/>
        <v>95</v>
      </c>
      <c r="F1722" s="22">
        <f>'2085GH_W'!$F20</f>
        <v>4.0684616697867366E-4</v>
      </c>
      <c r="G1722" s="22" t="s">
        <v>33</v>
      </c>
      <c r="H1722" s="22">
        <f>'2085GH_W'!$F20</f>
        <v>4.0684616697867366E-4</v>
      </c>
      <c r="I1722" t="str">
        <f t="shared" si="127"/>
        <v>GH2085;winter;24;95;4.06846166978674E-04;TRUE;4.06846166978674E-04</v>
      </c>
    </row>
    <row r="1723" spans="1:9" x14ac:dyDescent="0.25">
      <c r="A1723">
        <f t="shared" si="126"/>
        <v>91.3125</v>
      </c>
      <c r="B1723" t="s">
        <v>24</v>
      </c>
      <c r="C1723" t="s">
        <v>7</v>
      </c>
      <c r="D1723">
        <v>48</v>
      </c>
      <c r="E1723">
        <v>15</v>
      </c>
      <c r="F1723" s="22">
        <f>'2085GH_W'!$J4</f>
        <v>171.89455333484165</v>
      </c>
      <c r="G1723" s="22" t="s">
        <v>33</v>
      </c>
      <c r="H1723" s="22">
        <f>'2085GH_W'!$J4</f>
        <v>171.89455333484165</v>
      </c>
      <c r="I1723" t="str">
        <f t="shared" si="127"/>
        <v>GH2085;winter;48;15;171.894553334842;TRUE;171.894553334842</v>
      </c>
    </row>
    <row r="1724" spans="1:9" x14ac:dyDescent="0.25">
      <c r="A1724">
        <f t="shared" si="126"/>
        <v>91.3125</v>
      </c>
      <c r="B1724" t="s">
        <v>24</v>
      </c>
      <c r="C1724" t="s">
        <v>7</v>
      </c>
      <c r="D1724">
        <v>48</v>
      </c>
      <c r="E1724">
        <f>E1723+5</f>
        <v>20</v>
      </c>
      <c r="F1724" s="22">
        <f>'2085GH_W'!$J5</f>
        <v>5.2326665223396578</v>
      </c>
      <c r="G1724" s="22" t="s">
        <v>33</v>
      </c>
      <c r="H1724" s="22">
        <f>'2085GH_W'!$J5</f>
        <v>5.2326665223396578</v>
      </c>
      <c r="I1724" t="str">
        <f t="shared" si="127"/>
        <v>GH2085;winter;48;20;5.23266652233966;TRUE;5.23266652233966</v>
      </c>
    </row>
    <row r="1725" spans="1:9" x14ac:dyDescent="0.25">
      <c r="A1725">
        <f t="shared" si="126"/>
        <v>91.3125</v>
      </c>
      <c r="B1725" t="s">
        <v>24</v>
      </c>
      <c r="C1725" t="s">
        <v>7</v>
      </c>
      <c r="D1725">
        <v>48</v>
      </c>
      <c r="E1725">
        <f t="shared" ref="E1725:E1741" si="130">E1724+5</f>
        <v>25</v>
      </c>
      <c r="F1725" s="22">
        <f>'2085GH_W'!$J6</f>
        <v>2.612141602892077</v>
      </c>
      <c r="G1725" s="22" t="s">
        <v>33</v>
      </c>
      <c r="H1725" s="22">
        <f>'2085GH_W'!$J6</f>
        <v>2.612141602892077</v>
      </c>
      <c r="I1725" t="str">
        <f t="shared" si="127"/>
        <v>GH2085;winter;48;25;2.61214160289208;TRUE;2.61214160289208</v>
      </c>
    </row>
    <row r="1726" spans="1:9" x14ac:dyDescent="0.25">
      <c r="A1726">
        <f t="shared" si="126"/>
        <v>91.3125</v>
      </c>
      <c r="B1726" t="s">
        <v>24</v>
      </c>
      <c r="C1726" t="s">
        <v>7</v>
      </c>
      <c r="D1726">
        <v>48</v>
      </c>
      <c r="E1726">
        <f t="shared" si="130"/>
        <v>30</v>
      </c>
      <c r="F1726" s="22">
        <f>'2085GH_W'!$J7</f>
        <v>1.3366409593755324</v>
      </c>
      <c r="G1726" s="22" t="s">
        <v>33</v>
      </c>
      <c r="H1726" s="22">
        <f>'2085GH_W'!$J7</f>
        <v>1.3366409593755324</v>
      </c>
      <c r="I1726" t="str">
        <f t="shared" si="127"/>
        <v>GH2085;winter;48;30;1.33664095937553;TRUE;1.33664095937553</v>
      </c>
    </row>
    <row r="1727" spans="1:9" x14ac:dyDescent="0.25">
      <c r="A1727">
        <f t="shared" si="126"/>
        <v>91.3125</v>
      </c>
      <c r="B1727" t="s">
        <v>24</v>
      </c>
      <c r="C1727" t="s">
        <v>7</v>
      </c>
      <c r="D1727">
        <v>48</v>
      </c>
      <c r="E1727">
        <f t="shared" si="130"/>
        <v>35</v>
      </c>
      <c r="F1727" s="22">
        <f>'2085GH_W'!$J8</f>
        <v>0.6999014135898286</v>
      </c>
      <c r="G1727" s="22" t="s">
        <v>33</v>
      </c>
      <c r="H1727" s="22">
        <f>'2085GH_W'!$J8</f>
        <v>0.6999014135898286</v>
      </c>
      <c r="I1727" t="str">
        <f t="shared" si="127"/>
        <v>GH2085;winter;48;35;0.699901413589829;TRUE;0.699901413589829</v>
      </c>
    </row>
    <row r="1728" spans="1:9" x14ac:dyDescent="0.25">
      <c r="A1728">
        <f t="shared" si="126"/>
        <v>91.3125</v>
      </c>
      <c r="B1728" t="s">
        <v>24</v>
      </c>
      <c r="C1728" t="s">
        <v>7</v>
      </c>
      <c r="D1728">
        <v>48</v>
      </c>
      <c r="E1728">
        <f t="shared" si="130"/>
        <v>40</v>
      </c>
      <c r="F1728" s="22">
        <f>'2085GH_W'!$J9</f>
        <v>0.37445255407376576</v>
      </c>
      <c r="G1728" s="22" t="s">
        <v>33</v>
      </c>
      <c r="H1728" s="22">
        <f>'2085GH_W'!$J9</f>
        <v>0.37445255407376576</v>
      </c>
      <c r="I1728" t="str">
        <f t="shared" si="127"/>
        <v>GH2085;winter;48;40;0.374452554073766;TRUE;0.374452554073766</v>
      </c>
    </row>
    <row r="1729" spans="1:9" x14ac:dyDescent="0.25">
      <c r="A1729">
        <f t="shared" si="126"/>
        <v>91.3125</v>
      </c>
      <c r="B1729" t="s">
        <v>24</v>
      </c>
      <c r="C1729" t="s">
        <v>7</v>
      </c>
      <c r="D1729">
        <v>48</v>
      </c>
      <c r="E1729">
        <f t="shared" si="130"/>
        <v>45</v>
      </c>
      <c r="F1729" s="22">
        <f>'2085GH_W'!$J10</f>
        <v>0.20440561660686479</v>
      </c>
      <c r="G1729" s="22" t="s">
        <v>33</v>
      </c>
      <c r="H1729" s="22">
        <f>'2085GH_W'!$J10</f>
        <v>0.20440561660686479</v>
      </c>
      <c r="I1729" t="str">
        <f t="shared" si="127"/>
        <v>GH2085;winter;48;45;0.204405616606865;TRUE;0.204405616606865</v>
      </c>
    </row>
    <row r="1730" spans="1:9" x14ac:dyDescent="0.25">
      <c r="A1730">
        <f t="shared" ref="A1730:A1793" si="131">IF(C1730="zomer",24/D1730*365.25 * 6/12,24/D1730*365.25 * 6/12)</f>
        <v>91.3125</v>
      </c>
      <c r="B1730" t="s">
        <v>24</v>
      </c>
      <c r="C1730" t="s">
        <v>7</v>
      </c>
      <c r="D1730">
        <v>48</v>
      </c>
      <c r="E1730">
        <f t="shared" si="130"/>
        <v>50</v>
      </c>
      <c r="F1730" s="22">
        <f>'2085GH_W'!$J11</f>
        <v>0.11370502770615881</v>
      </c>
      <c r="G1730" s="22" t="s">
        <v>33</v>
      </c>
      <c r="H1730" s="22">
        <f>'2085GH_W'!$J11</f>
        <v>0.11370502770615881</v>
      </c>
      <c r="I1730" t="str">
        <f t="shared" ref="I1730:I1793" si="132">CONCATENATEWITHDELIMITER(B1730:H1730,";")</f>
        <v>GH2085;winter;48;50;0.113705027706159;TRUE;0.113705027706159</v>
      </c>
    </row>
    <row r="1731" spans="1:9" x14ac:dyDescent="0.25">
      <c r="A1731">
        <f t="shared" si="131"/>
        <v>91.3125</v>
      </c>
      <c r="B1731" t="s">
        <v>24</v>
      </c>
      <c r="C1731" t="s">
        <v>7</v>
      </c>
      <c r="D1731">
        <v>48</v>
      </c>
      <c r="E1731">
        <f t="shared" si="130"/>
        <v>55</v>
      </c>
      <c r="F1731" s="22">
        <f>'2085GH_W'!$J12</f>
        <v>6.4381578746757664E-2</v>
      </c>
      <c r="G1731" s="22" t="s">
        <v>33</v>
      </c>
      <c r="H1731" s="22">
        <f>'2085GH_W'!$J12</f>
        <v>6.4381578746757664E-2</v>
      </c>
      <c r="I1731" t="str">
        <f t="shared" si="132"/>
        <v>GH2085;winter;48;55;6.43815787467577E-02;TRUE;6.43815787467577E-02</v>
      </c>
    </row>
    <row r="1732" spans="1:9" x14ac:dyDescent="0.25">
      <c r="A1732">
        <f t="shared" si="131"/>
        <v>91.3125</v>
      </c>
      <c r="B1732" t="s">
        <v>24</v>
      </c>
      <c r="C1732" t="s">
        <v>7</v>
      </c>
      <c r="D1732">
        <v>48</v>
      </c>
      <c r="E1732">
        <f t="shared" si="130"/>
        <v>60</v>
      </c>
      <c r="F1732" s="22">
        <f>'2085GH_W'!$J13</f>
        <v>3.7066938759609043E-2</v>
      </c>
      <c r="G1732" s="22" t="s">
        <v>33</v>
      </c>
      <c r="H1732" s="22">
        <f>'2085GH_W'!$J13</f>
        <v>3.7066938759609043E-2</v>
      </c>
      <c r="I1732" t="str">
        <f t="shared" si="132"/>
        <v>GH2085;winter;48;60;0.037066938759609;TRUE;0.037066938759609</v>
      </c>
    </row>
    <row r="1733" spans="1:9" x14ac:dyDescent="0.25">
      <c r="A1733">
        <f t="shared" si="131"/>
        <v>91.3125</v>
      </c>
      <c r="B1733" t="s">
        <v>24</v>
      </c>
      <c r="C1733" t="s">
        <v>7</v>
      </c>
      <c r="D1733">
        <v>48</v>
      </c>
      <c r="E1733">
        <f t="shared" si="130"/>
        <v>65</v>
      </c>
      <c r="F1733" s="22">
        <f>'2085GH_W'!$J14</f>
        <v>2.1679124104368862E-2</v>
      </c>
      <c r="G1733" s="22" t="s">
        <v>33</v>
      </c>
      <c r="H1733" s="22">
        <f>'2085GH_W'!$J14</f>
        <v>2.1679124104368862E-2</v>
      </c>
      <c r="I1733" t="str">
        <f t="shared" si="132"/>
        <v>GH2085;winter;48;65;2.16791241043689E-02;TRUE;2.16791241043689E-02</v>
      </c>
    </row>
    <row r="1734" spans="1:9" x14ac:dyDescent="0.25">
      <c r="A1734">
        <f t="shared" si="131"/>
        <v>91.3125</v>
      </c>
      <c r="B1734" t="s">
        <v>24</v>
      </c>
      <c r="C1734" t="s">
        <v>7</v>
      </c>
      <c r="D1734">
        <v>48</v>
      </c>
      <c r="E1734">
        <f t="shared" si="130"/>
        <v>70</v>
      </c>
      <c r="F1734" s="22">
        <f>'2085GH_W'!$J15</f>
        <v>1.2869090316502869E-2</v>
      </c>
      <c r="G1734" s="22" t="s">
        <v>33</v>
      </c>
      <c r="H1734" s="22">
        <f>'2085GH_W'!$J15</f>
        <v>1.2869090316502869E-2</v>
      </c>
      <c r="I1734" t="str">
        <f t="shared" si="132"/>
        <v>GH2085;winter;48;70;1.28690903165029E-02;TRUE;1.28690903165029E-02</v>
      </c>
    </row>
    <row r="1735" spans="1:9" x14ac:dyDescent="0.25">
      <c r="A1735">
        <f t="shared" si="131"/>
        <v>91.3125</v>
      </c>
      <c r="B1735" t="s">
        <v>24</v>
      </c>
      <c r="C1735" t="s">
        <v>7</v>
      </c>
      <c r="D1735">
        <v>48</v>
      </c>
      <c r="E1735">
        <f t="shared" si="130"/>
        <v>75</v>
      </c>
      <c r="F1735" s="22">
        <f>'2085GH_W'!$J16</f>
        <v>7.7474176132250969E-3</v>
      </c>
      <c r="G1735" s="22" t="s">
        <v>33</v>
      </c>
      <c r="H1735" s="22">
        <f>'2085GH_W'!$J16</f>
        <v>7.7474176132250969E-3</v>
      </c>
      <c r="I1735" t="str">
        <f t="shared" si="132"/>
        <v>GH2085;winter;48;75;7.7474176132251E-03;TRUE;7.7474176132251E-03</v>
      </c>
    </row>
    <row r="1736" spans="1:9" x14ac:dyDescent="0.25">
      <c r="A1736">
        <f t="shared" si="131"/>
        <v>91.3125</v>
      </c>
      <c r="B1736" t="s">
        <v>24</v>
      </c>
      <c r="C1736" t="s">
        <v>7</v>
      </c>
      <c r="D1736">
        <v>48</v>
      </c>
      <c r="E1736">
        <f t="shared" si="130"/>
        <v>80</v>
      </c>
      <c r="F1736" s="22">
        <f>'2085GH_W'!$J17</f>
        <v>4.7265955971690643E-3</v>
      </c>
      <c r="G1736" s="22" t="s">
        <v>33</v>
      </c>
      <c r="H1736" s="22">
        <f>'2085GH_W'!$J17</f>
        <v>4.7265955971690643E-3</v>
      </c>
      <c r="I1736" t="str">
        <f t="shared" si="132"/>
        <v>GH2085;winter;48;80;4.72659559716906E-03;TRUE;4.72659559716906E-03</v>
      </c>
    </row>
    <row r="1737" spans="1:9" x14ac:dyDescent="0.25">
      <c r="A1737">
        <f t="shared" si="131"/>
        <v>91.3125</v>
      </c>
      <c r="B1737" t="s">
        <v>24</v>
      </c>
      <c r="C1737" t="s">
        <v>7</v>
      </c>
      <c r="D1737">
        <v>48</v>
      </c>
      <c r="E1737">
        <f t="shared" si="130"/>
        <v>85</v>
      </c>
      <c r="F1737" s="22">
        <f>'2085GH_W'!$J18</f>
        <v>2.920292120961579E-3</v>
      </c>
      <c r="G1737" s="22" t="s">
        <v>33</v>
      </c>
      <c r="H1737" s="22">
        <f>'2085GH_W'!$J18</f>
        <v>2.920292120961579E-3</v>
      </c>
      <c r="I1737" t="str">
        <f t="shared" si="132"/>
        <v>GH2085;winter;48;85;2.92029212096158E-03;TRUE;2.92029212096158E-03</v>
      </c>
    </row>
    <row r="1738" spans="1:9" x14ac:dyDescent="0.25">
      <c r="A1738">
        <f t="shared" si="131"/>
        <v>91.3125</v>
      </c>
      <c r="B1738" t="s">
        <v>24</v>
      </c>
      <c r="C1738" t="s">
        <v>7</v>
      </c>
      <c r="D1738">
        <v>48</v>
      </c>
      <c r="E1738">
        <f t="shared" si="130"/>
        <v>90</v>
      </c>
      <c r="F1738" s="22">
        <f>'2085GH_W'!$J19</f>
        <v>1.8260670101495186E-3</v>
      </c>
      <c r="G1738" s="22" t="s">
        <v>33</v>
      </c>
      <c r="H1738" s="22">
        <f>'2085GH_W'!$J19</f>
        <v>1.8260670101495186E-3</v>
      </c>
      <c r="I1738" t="str">
        <f t="shared" si="132"/>
        <v>GH2085;winter;48;90;1.82606701014952E-03;TRUE;1.82606701014952E-03</v>
      </c>
    </row>
    <row r="1739" spans="1:9" x14ac:dyDescent="0.25">
      <c r="A1739">
        <f t="shared" si="131"/>
        <v>91.3125</v>
      </c>
      <c r="B1739" t="s">
        <v>24</v>
      </c>
      <c r="C1739" t="s">
        <v>7</v>
      </c>
      <c r="D1739">
        <v>48</v>
      </c>
      <c r="E1739">
        <f t="shared" si="130"/>
        <v>95</v>
      </c>
      <c r="F1739" s="22">
        <f>'2085GH_W'!$J20</f>
        <v>1.1549572186865596E-3</v>
      </c>
      <c r="G1739" s="22" t="s">
        <v>33</v>
      </c>
      <c r="H1739" s="22">
        <f>'2085GH_W'!$J20</f>
        <v>1.1549572186865596E-3</v>
      </c>
      <c r="I1739" t="str">
        <f t="shared" si="132"/>
        <v>GH2085;winter;48;95;1.15495721868656E-03;TRUE;1.15495721868656E-03</v>
      </c>
    </row>
    <row r="1740" spans="1:9" x14ac:dyDescent="0.25">
      <c r="A1740">
        <f t="shared" si="131"/>
        <v>91.3125</v>
      </c>
      <c r="B1740" t="s">
        <v>24</v>
      </c>
      <c r="C1740" t="s">
        <v>7</v>
      </c>
      <c r="D1740">
        <v>48</v>
      </c>
      <c r="E1740">
        <f t="shared" si="130"/>
        <v>100</v>
      </c>
      <c r="F1740" s="22">
        <f>'2085GH_W'!$J21</f>
        <v>7.3847904997490182E-4</v>
      </c>
      <c r="G1740" s="22" t="s">
        <v>33</v>
      </c>
      <c r="H1740" s="22">
        <f>'2085GH_W'!$J21</f>
        <v>7.3847904997490182E-4</v>
      </c>
      <c r="I1740" t="str">
        <f t="shared" si="132"/>
        <v>GH2085;winter;48;100;7.38479049974902E-04;TRUE;7.38479049974902E-04</v>
      </c>
    </row>
    <row r="1741" spans="1:9" x14ac:dyDescent="0.25">
      <c r="A1741">
        <f t="shared" si="131"/>
        <v>91.3125</v>
      </c>
      <c r="B1741" t="s">
        <v>24</v>
      </c>
      <c r="C1741" t="s">
        <v>7</v>
      </c>
      <c r="D1741">
        <v>48</v>
      </c>
      <c r="E1741">
        <f t="shared" si="130"/>
        <v>105</v>
      </c>
      <c r="F1741" s="22">
        <f>'2085GH_W'!$J22</f>
        <v>1.4224280370635867E-3</v>
      </c>
      <c r="G1741" s="22" t="s">
        <v>33</v>
      </c>
      <c r="H1741" s="22">
        <f>'2085GH_W'!$J22</f>
        <v>1.4224280370635867E-3</v>
      </c>
      <c r="I1741" t="str">
        <f t="shared" si="132"/>
        <v>GH2085;winter;48;105;1.42242803706359E-03;TRUE;1.42242803706359E-03</v>
      </c>
    </row>
    <row r="1742" spans="1:9" x14ac:dyDescent="0.25">
      <c r="A1742">
        <f t="shared" si="131"/>
        <v>45.65625</v>
      </c>
      <c r="B1742" t="s">
        <v>24</v>
      </c>
      <c r="C1742" t="s">
        <v>7</v>
      </c>
      <c r="D1742">
        <v>96</v>
      </c>
      <c r="E1742">
        <v>20</v>
      </c>
      <c r="F1742" s="22">
        <f>'2085GH_W'!$N5</f>
        <v>80.150553476598759</v>
      </c>
      <c r="G1742" s="22" t="s">
        <v>33</v>
      </c>
      <c r="H1742" s="22">
        <f>'2085GH_W'!$N5</f>
        <v>80.150553476598759</v>
      </c>
      <c r="I1742" t="str">
        <f t="shared" si="132"/>
        <v>GH2085;winter;96;20;80.1505534765988;TRUE;80.1505534765988</v>
      </c>
    </row>
    <row r="1743" spans="1:9" x14ac:dyDescent="0.25">
      <c r="A1743">
        <f t="shared" si="131"/>
        <v>45.65625</v>
      </c>
      <c r="B1743" t="s">
        <v>24</v>
      </c>
      <c r="C1743" t="s">
        <v>7</v>
      </c>
      <c r="D1743">
        <v>96</v>
      </c>
      <c r="E1743">
        <f>E1742+5</f>
        <v>25</v>
      </c>
      <c r="F1743" s="22">
        <f>'2085GH_W'!$N6</f>
        <v>4.0955782060686436</v>
      </c>
      <c r="G1743" s="22" t="s">
        <v>33</v>
      </c>
      <c r="H1743" s="22">
        <f>'2085GH_W'!$N6</f>
        <v>4.0955782060686436</v>
      </c>
      <c r="I1743" t="str">
        <f t="shared" si="132"/>
        <v>GH2085;winter;96;25;4.09557820606864;TRUE;4.09557820606864</v>
      </c>
    </row>
    <row r="1744" spans="1:9" x14ac:dyDescent="0.25">
      <c r="A1744">
        <f t="shared" si="131"/>
        <v>45.65625</v>
      </c>
      <c r="B1744" t="s">
        <v>24</v>
      </c>
      <c r="C1744" t="s">
        <v>7</v>
      </c>
      <c r="D1744">
        <v>96</v>
      </c>
      <c r="E1744">
        <f t="shared" ref="E1744:E1762" si="133">E1743+5</f>
        <v>30</v>
      </c>
      <c r="F1744" s="22">
        <f>'2085GH_W'!$N7</f>
        <v>2.5724041156747068</v>
      </c>
      <c r="G1744" s="22" t="s">
        <v>33</v>
      </c>
      <c r="H1744" s="22">
        <f>'2085GH_W'!$N7</f>
        <v>2.5724041156747068</v>
      </c>
      <c r="I1744" t="str">
        <f t="shared" si="132"/>
        <v>GH2085;winter;96;30;2.57240411567471;TRUE;2.57240411567471</v>
      </c>
    </row>
    <row r="1745" spans="1:9" x14ac:dyDescent="0.25">
      <c r="A1745">
        <f t="shared" si="131"/>
        <v>45.65625</v>
      </c>
      <c r="B1745" t="s">
        <v>24</v>
      </c>
      <c r="C1745" t="s">
        <v>7</v>
      </c>
      <c r="D1745">
        <v>96</v>
      </c>
      <c r="E1745">
        <f t="shared" si="133"/>
        <v>35</v>
      </c>
      <c r="F1745" s="22">
        <f>'2085GH_W'!$N8</f>
        <v>1.6231772200548042</v>
      </c>
      <c r="G1745" s="22" t="s">
        <v>33</v>
      </c>
      <c r="H1745" s="22">
        <f>'2085GH_W'!$N8</f>
        <v>1.6231772200548042</v>
      </c>
      <c r="I1745" t="str">
        <f t="shared" si="132"/>
        <v>GH2085;winter;96;35;1.6231772200548;TRUE;1.6231772200548</v>
      </c>
    </row>
    <row r="1746" spans="1:9" x14ac:dyDescent="0.25">
      <c r="A1746">
        <f t="shared" si="131"/>
        <v>45.65625</v>
      </c>
      <c r="B1746" t="s">
        <v>24</v>
      </c>
      <c r="C1746" t="s">
        <v>7</v>
      </c>
      <c r="D1746">
        <v>96</v>
      </c>
      <c r="E1746">
        <f t="shared" si="133"/>
        <v>40</v>
      </c>
      <c r="F1746" s="22">
        <f>'2085GH_W'!$N9</f>
        <v>1.0288595897688364</v>
      </c>
      <c r="G1746" s="22" t="s">
        <v>33</v>
      </c>
      <c r="H1746" s="22">
        <f>'2085GH_W'!$N9</f>
        <v>1.0288595897688364</v>
      </c>
      <c r="I1746" t="str">
        <f t="shared" si="132"/>
        <v>GH2085;winter;96;40;1.02885958976884;TRUE;1.02885958976884</v>
      </c>
    </row>
    <row r="1747" spans="1:9" x14ac:dyDescent="0.25">
      <c r="A1747">
        <f t="shared" si="131"/>
        <v>45.65625</v>
      </c>
      <c r="B1747" t="s">
        <v>24</v>
      </c>
      <c r="C1747" t="s">
        <v>7</v>
      </c>
      <c r="D1747">
        <v>96</v>
      </c>
      <c r="E1747">
        <f t="shared" si="133"/>
        <v>45</v>
      </c>
      <c r="F1747" s="22">
        <f>'2085GH_W'!$N10</f>
        <v>0.65504556882206177</v>
      </c>
      <c r="G1747" s="22" t="s">
        <v>33</v>
      </c>
      <c r="H1747" s="22">
        <f>'2085GH_W'!$N10</f>
        <v>0.65504556882206177</v>
      </c>
      <c r="I1747" t="str">
        <f t="shared" si="132"/>
        <v>GH2085;winter;96;45;0.655045568822062;TRUE;0.655045568822062</v>
      </c>
    </row>
    <row r="1748" spans="1:9" x14ac:dyDescent="0.25">
      <c r="A1748">
        <f t="shared" si="131"/>
        <v>45.65625</v>
      </c>
      <c r="B1748" t="s">
        <v>24</v>
      </c>
      <c r="C1748" t="s">
        <v>7</v>
      </c>
      <c r="D1748">
        <v>96</v>
      </c>
      <c r="E1748">
        <f t="shared" si="133"/>
        <v>50</v>
      </c>
      <c r="F1748" s="22">
        <f>'2085GH_W'!$N11</f>
        <v>0.41886595036258412</v>
      </c>
      <c r="G1748" s="22" t="s">
        <v>33</v>
      </c>
      <c r="H1748" s="22">
        <f>'2085GH_W'!$N11</f>
        <v>0.41886595036258412</v>
      </c>
      <c r="I1748" t="str">
        <f t="shared" si="132"/>
        <v>GH2085;winter;96;50;0.418865950362584;TRUE;0.418865950362584</v>
      </c>
    </row>
    <row r="1749" spans="1:9" x14ac:dyDescent="0.25">
      <c r="A1749">
        <f t="shared" si="131"/>
        <v>45.65625</v>
      </c>
      <c r="B1749" t="s">
        <v>24</v>
      </c>
      <c r="C1749" t="s">
        <v>7</v>
      </c>
      <c r="D1749">
        <v>96</v>
      </c>
      <c r="E1749">
        <f t="shared" si="133"/>
        <v>55</v>
      </c>
      <c r="F1749" s="22">
        <f>'2085GH_W'!$N12</f>
        <v>0.26898664347204682</v>
      </c>
      <c r="G1749" s="22" t="s">
        <v>33</v>
      </c>
      <c r="H1749" s="22">
        <f>'2085GH_W'!$N12</f>
        <v>0.26898664347204682</v>
      </c>
      <c r="I1749" t="str">
        <f t="shared" si="132"/>
        <v>GH2085;winter;96;55;0.268986643472047;TRUE;0.268986643472047</v>
      </c>
    </row>
    <row r="1750" spans="1:9" x14ac:dyDescent="0.25">
      <c r="A1750">
        <f t="shared" si="131"/>
        <v>45.65625</v>
      </c>
      <c r="B1750" t="s">
        <v>24</v>
      </c>
      <c r="C1750" t="s">
        <v>7</v>
      </c>
      <c r="D1750">
        <v>96</v>
      </c>
      <c r="E1750">
        <f t="shared" si="133"/>
        <v>60</v>
      </c>
      <c r="F1750" s="22">
        <f>'2085GH_W'!$N13</f>
        <v>0.17346165241104405</v>
      </c>
      <c r="G1750" s="22" t="s">
        <v>33</v>
      </c>
      <c r="H1750" s="22">
        <f>'2085GH_W'!$N13</f>
        <v>0.17346165241104405</v>
      </c>
      <c r="I1750" t="str">
        <f t="shared" si="132"/>
        <v>GH2085;winter;96;60;0.173461652411044;TRUE;0.173461652411044</v>
      </c>
    </row>
    <row r="1751" spans="1:9" x14ac:dyDescent="0.25">
      <c r="A1751">
        <f t="shared" si="131"/>
        <v>45.65625</v>
      </c>
      <c r="B1751" t="s">
        <v>24</v>
      </c>
      <c r="C1751" t="s">
        <v>7</v>
      </c>
      <c r="D1751">
        <v>96</v>
      </c>
      <c r="E1751">
        <f t="shared" si="133"/>
        <v>65</v>
      </c>
      <c r="F1751" s="22">
        <f>'2085GH_W'!$N14</f>
        <v>0.11232057684922828</v>
      </c>
      <c r="G1751" s="22" t="s">
        <v>33</v>
      </c>
      <c r="H1751" s="22">
        <f>'2085GH_W'!$N14</f>
        <v>0.11232057684922828</v>
      </c>
      <c r="I1751" t="str">
        <f t="shared" si="132"/>
        <v>GH2085;winter;96;65;0.112320576849228;TRUE;0.112320576849228</v>
      </c>
    </row>
    <row r="1752" spans="1:9" x14ac:dyDescent="0.25">
      <c r="A1752">
        <f t="shared" si="131"/>
        <v>45.65625</v>
      </c>
      <c r="B1752" t="s">
        <v>24</v>
      </c>
      <c r="C1752" t="s">
        <v>7</v>
      </c>
      <c r="D1752">
        <v>96</v>
      </c>
      <c r="E1752">
        <f t="shared" si="133"/>
        <v>70</v>
      </c>
      <c r="F1752" s="22">
        <f>'2085GH_W'!$N15</f>
        <v>7.3023925834070913E-2</v>
      </c>
      <c r="G1752" s="22" t="s">
        <v>33</v>
      </c>
      <c r="H1752" s="22">
        <f>'2085GH_W'!$N15</f>
        <v>7.3023925834070913E-2</v>
      </c>
      <c r="I1752" t="str">
        <f t="shared" si="132"/>
        <v>GH2085;winter;96;70;7.30239258340709E-02;TRUE;7.30239258340709E-02</v>
      </c>
    </row>
    <row r="1753" spans="1:9" x14ac:dyDescent="0.25">
      <c r="A1753">
        <f t="shared" si="131"/>
        <v>45.65625</v>
      </c>
      <c r="B1753" t="s">
        <v>24</v>
      </c>
      <c r="C1753" t="s">
        <v>7</v>
      </c>
      <c r="D1753">
        <v>96</v>
      </c>
      <c r="E1753">
        <f t="shared" si="133"/>
        <v>75</v>
      </c>
      <c r="F1753" s="22">
        <f>'2085GH_W'!$N16</f>
        <v>4.7663822803607897E-2</v>
      </c>
      <c r="G1753" s="22" t="s">
        <v>33</v>
      </c>
      <c r="H1753" s="22">
        <f>'2085GH_W'!$N16</f>
        <v>4.7663822803607897E-2</v>
      </c>
      <c r="I1753" t="str">
        <f t="shared" si="132"/>
        <v>GH2085;winter;96;75;4.76638228036079E-02;TRUE;4.76638228036079E-02</v>
      </c>
    </row>
    <row r="1754" spans="1:9" x14ac:dyDescent="0.25">
      <c r="A1754">
        <f t="shared" si="131"/>
        <v>45.65625</v>
      </c>
      <c r="B1754" t="s">
        <v>24</v>
      </c>
      <c r="C1754" t="s">
        <v>7</v>
      </c>
      <c r="D1754">
        <v>96</v>
      </c>
      <c r="E1754">
        <f t="shared" si="133"/>
        <v>80</v>
      </c>
      <c r="F1754" s="22">
        <f>'2085GH_W'!$N17</f>
        <v>3.1231951532538466E-2</v>
      </c>
      <c r="G1754" s="22" t="s">
        <v>33</v>
      </c>
      <c r="H1754" s="22">
        <f>'2085GH_W'!$N17</f>
        <v>3.1231951532538466E-2</v>
      </c>
      <c r="I1754" t="str">
        <f t="shared" si="132"/>
        <v>GH2085;winter;96;80;3.12319515325385E-02;TRUE;3.12319515325385E-02</v>
      </c>
    </row>
    <row r="1755" spans="1:9" x14ac:dyDescent="0.25">
      <c r="A1755">
        <f t="shared" si="131"/>
        <v>45.65625</v>
      </c>
      <c r="B1755" t="s">
        <v>24</v>
      </c>
      <c r="C1755" t="s">
        <v>7</v>
      </c>
      <c r="D1755">
        <v>96</v>
      </c>
      <c r="E1755">
        <f t="shared" si="133"/>
        <v>85</v>
      </c>
      <c r="F1755" s="22">
        <f>'2085GH_W'!$N18</f>
        <v>2.0543076876898062E-2</v>
      </c>
      <c r="G1755" s="22" t="s">
        <v>33</v>
      </c>
      <c r="H1755" s="22">
        <f>'2085GH_W'!$N18</f>
        <v>2.0543076876898062E-2</v>
      </c>
      <c r="I1755" t="str">
        <f t="shared" si="132"/>
        <v>GH2085;winter;96;85;2.05430768768981E-02;TRUE;2.05430768768981E-02</v>
      </c>
    </row>
    <row r="1756" spans="1:9" x14ac:dyDescent="0.25">
      <c r="A1756">
        <f t="shared" si="131"/>
        <v>45.65625</v>
      </c>
      <c r="B1756" t="s">
        <v>24</v>
      </c>
      <c r="C1756" t="s">
        <v>7</v>
      </c>
      <c r="D1756">
        <v>96</v>
      </c>
      <c r="E1756">
        <f t="shared" si="133"/>
        <v>90</v>
      </c>
      <c r="F1756" s="22">
        <f>'2085GH_W'!$N19</f>
        <v>1.3563081088966145E-2</v>
      </c>
      <c r="G1756" s="22" t="s">
        <v>33</v>
      </c>
      <c r="H1756" s="22">
        <f>'2085GH_W'!$N19</f>
        <v>1.3563081088966145E-2</v>
      </c>
      <c r="I1756" t="str">
        <f t="shared" si="132"/>
        <v>GH2085;winter;96;90;1.35630810889661E-02;TRUE;1.35630810889661E-02</v>
      </c>
    </row>
    <row r="1757" spans="1:9" x14ac:dyDescent="0.25">
      <c r="A1757">
        <f t="shared" si="131"/>
        <v>45.65625</v>
      </c>
      <c r="B1757" t="s">
        <v>24</v>
      </c>
      <c r="C1757" t="s">
        <v>7</v>
      </c>
      <c r="D1757">
        <v>96</v>
      </c>
      <c r="E1757">
        <f t="shared" si="133"/>
        <v>95</v>
      </c>
      <c r="F1757" s="22">
        <f>'2085GH_W'!$N20</f>
        <v>8.987706657757881E-3</v>
      </c>
      <c r="G1757" s="22" t="s">
        <v>33</v>
      </c>
      <c r="H1757" s="22">
        <f>'2085GH_W'!$N20</f>
        <v>8.987706657757881E-3</v>
      </c>
      <c r="I1757" t="str">
        <f t="shared" si="132"/>
        <v>GH2085;winter;96;95;8.98770665775788E-03;TRUE;8.98770665775788E-03</v>
      </c>
    </row>
    <row r="1758" spans="1:9" x14ac:dyDescent="0.25">
      <c r="A1758">
        <f t="shared" si="131"/>
        <v>45.65625</v>
      </c>
      <c r="B1758" t="s">
        <v>24</v>
      </c>
      <c r="C1758" t="s">
        <v>7</v>
      </c>
      <c r="D1758">
        <v>96</v>
      </c>
      <c r="E1758">
        <f t="shared" si="133"/>
        <v>100</v>
      </c>
      <c r="F1758" s="22">
        <f>'2085GH_W'!$N21</f>
        <v>5.9773544778620596E-3</v>
      </c>
      <c r="G1758" s="22" t="s">
        <v>33</v>
      </c>
      <c r="H1758" s="22">
        <f>'2085GH_W'!$N21</f>
        <v>5.9773544778620596E-3</v>
      </c>
      <c r="I1758" t="str">
        <f t="shared" si="132"/>
        <v>GH2085;winter;96;100;5.97735447786206E-03;TRUE;5.97735447786206E-03</v>
      </c>
    </row>
    <row r="1759" spans="1:9" x14ac:dyDescent="0.25">
      <c r="A1759">
        <f t="shared" si="131"/>
        <v>45.65625</v>
      </c>
      <c r="B1759" t="s">
        <v>24</v>
      </c>
      <c r="C1759" t="s">
        <v>7</v>
      </c>
      <c r="D1759">
        <v>96</v>
      </c>
      <c r="E1759">
        <f t="shared" si="133"/>
        <v>105</v>
      </c>
      <c r="F1759" s="22">
        <f>'2085GH_W'!$N22</f>
        <v>3.989434931069985E-3</v>
      </c>
      <c r="G1759" s="22" t="s">
        <v>33</v>
      </c>
      <c r="H1759" s="22">
        <f>'2085GH_W'!$N22</f>
        <v>3.989434931069985E-3</v>
      </c>
      <c r="I1759" t="str">
        <f t="shared" si="132"/>
        <v>GH2085;winter;96;105;3.98943493106999E-03;TRUE;3.98943493106999E-03</v>
      </c>
    </row>
    <row r="1760" spans="1:9" x14ac:dyDescent="0.25">
      <c r="A1760">
        <f t="shared" si="131"/>
        <v>45.65625</v>
      </c>
      <c r="B1760" t="s">
        <v>24</v>
      </c>
      <c r="C1760" t="s">
        <v>7</v>
      </c>
      <c r="D1760">
        <v>96</v>
      </c>
      <c r="E1760">
        <f t="shared" si="133"/>
        <v>110</v>
      </c>
      <c r="F1760" s="22">
        <f>'2085GH_W'!$N23</f>
        <v>2.6719564851754064E-3</v>
      </c>
      <c r="G1760" s="22" t="s">
        <v>33</v>
      </c>
      <c r="H1760" s="22">
        <f>'2085GH_W'!$N23</f>
        <v>2.6719564851754064E-3</v>
      </c>
      <c r="I1760" t="str">
        <f t="shared" si="132"/>
        <v>GH2085;winter;96;110;2.67195648517541E-03;TRUE;2.67195648517541E-03</v>
      </c>
    </row>
    <row r="1761" spans="1:9" x14ac:dyDescent="0.25">
      <c r="A1761">
        <f t="shared" si="131"/>
        <v>45.65625</v>
      </c>
      <c r="B1761" t="s">
        <v>24</v>
      </c>
      <c r="C1761" t="s">
        <v>7</v>
      </c>
      <c r="D1761">
        <v>96</v>
      </c>
      <c r="E1761">
        <f t="shared" si="133"/>
        <v>115</v>
      </c>
      <c r="F1761" s="22">
        <f>'2085GH_W'!$N24</f>
        <v>1.7957135097393072E-3</v>
      </c>
      <c r="G1761" s="22" t="s">
        <v>33</v>
      </c>
      <c r="H1761" s="22">
        <f>'2085GH_W'!$N24</f>
        <v>1.7957135097393072E-3</v>
      </c>
      <c r="I1761" t="str">
        <f t="shared" si="132"/>
        <v>GH2085;winter;96;115;1.79571350973931E-03;TRUE;1.79571350973931E-03</v>
      </c>
    </row>
    <row r="1762" spans="1:9" x14ac:dyDescent="0.25">
      <c r="A1762">
        <f t="shared" si="131"/>
        <v>45.65625</v>
      </c>
      <c r="B1762" t="s">
        <v>24</v>
      </c>
      <c r="C1762" t="s">
        <v>7</v>
      </c>
      <c r="D1762">
        <v>96</v>
      </c>
      <c r="E1762">
        <f t="shared" si="133"/>
        <v>120</v>
      </c>
      <c r="F1762" s="22">
        <f>'2085GH_W'!$N25</f>
        <v>3.7989757196022003E-3</v>
      </c>
      <c r="G1762" s="22" t="s">
        <v>33</v>
      </c>
      <c r="H1762" s="22">
        <f>'2085GH_W'!$N25</f>
        <v>3.7989757196022003E-3</v>
      </c>
      <c r="I1762" t="str">
        <f t="shared" si="132"/>
        <v>GH2085;winter;96;120;3.7989757196022E-03;TRUE;3.7989757196022E-03</v>
      </c>
    </row>
    <row r="1763" spans="1:9" x14ac:dyDescent="0.25">
      <c r="A1763">
        <f t="shared" si="131"/>
        <v>22.828125</v>
      </c>
      <c r="B1763" t="s">
        <v>24</v>
      </c>
      <c r="C1763" t="s">
        <v>7</v>
      </c>
      <c r="D1763">
        <v>192</v>
      </c>
      <c r="E1763">
        <v>25</v>
      </c>
      <c r="F1763" s="22">
        <f>'2085GH_W'!$R6</f>
        <v>34.02949669865982</v>
      </c>
      <c r="G1763" s="22" t="s">
        <v>33</v>
      </c>
      <c r="H1763" s="22">
        <f>'2085GH_W'!$R6</f>
        <v>34.02949669865982</v>
      </c>
      <c r="I1763" t="str">
        <f t="shared" si="132"/>
        <v>GH2085;winter;192;25;34.0294966986598;TRUE;34.0294966986598</v>
      </c>
    </row>
    <row r="1764" spans="1:9" x14ac:dyDescent="0.25">
      <c r="A1764">
        <f t="shared" si="131"/>
        <v>22.828125</v>
      </c>
      <c r="B1764" t="s">
        <v>24</v>
      </c>
      <c r="C1764" t="s">
        <v>7</v>
      </c>
      <c r="D1764">
        <v>192</v>
      </c>
      <c r="E1764">
        <f>E1763+5</f>
        <v>30</v>
      </c>
      <c r="F1764" s="22">
        <f>'2085GH_W'!$R7</f>
        <v>2.8399109694682032</v>
      </c>
      <c r="G1764" s="22" t="s">
        <v>33</v>
      </c>
      <c r="H1764" s="22">
        <f>'2085GH_W'!$R7</f>
        <v>2.8399109694682032</v>
      </c>
      <c r="I1764" t="str">
        <f t="shared" si="132"/>
        <v>GH2085;winter;192;30;2.8399109694682;TRUE;2.8399109694682</v>
      </c>
    </row>
    <row r="1765" spans="1:9" x14ac:dyDescent="0.25">
      <c r="A1765">
        <f t="shared" si="131"/>
        <v>22.828125</v>
      </c>
      <c r="B1765" t="s">
        <v>24</v>
      </c>
      <c r="C1765" t="s">
        <v>7</v>
      </c>
      <c r="D1765">
        <v>192</v>
      </c>
      <c r="E1765">
        <f t="shared" ref="E1765:E1789" si="134">E1764+5</f>
        <v>35</v>
      </c>
      <c r="F1765" s="22">
        <f>'2085GH_W'!$R8</f>
        <v>2.1704705235582349</v>
      </c>
      <c r="G1765" s="22" t="s">
        <v>33</v>
      </c>
      <c r="H1765" s="22">
        <f>'2085GH_W'!$R8</f>
        <v>2.1704705235582349</v>
      </c>
      <c r="I1765" t="str">
        <f t="shared" si="132"/>
        <v>GH2085;winter;192;35;2.17047052355823;TRUE;2.17047052355823</v>
      </c>
    </row>
    <row r="1766" spans="1:9" x14ac:dyDescent="0.25">
      <c r="A1766">
        <f t="shared" si="131"/>
        <v>22.828125</v>
      </c>
      <c r="B1766" t="s">
        <v>24</v>
      </c>
      <c r="C1766" t="s">
        <v>7</v>
      </c>
      <c r="D1766">
        <v>192</v>
      </c>
      <c r="E1766">
        <f t="shared" si="134"/>
        <v>40</v>
      </c>
      <c r="F1766" s="22">
        <f>'2085GH_W'!$R9</f>
        <v>1.6529900002163149</v>
      </c>
      <c r="G1766" s="22" t="s">
        <v>33</v>
      </c>
      <c r="H1766" s="22">
        <f>'2085GH_W'!$R9</f>
        <v>1.6529900002163149</v>
      </c>
      <c r="I1766" t="str">
        <f t="shared" si="132"/>
        <v>GH2085;winter;192;40;1.65299000021631;TRUE;1.65299000021631</v>
      </c>
    </row>
    <row r="1767" spans="1:9" x14ac:dyDescent="0.25">
      <c r="A1767">
        <f t="shared" si="131"/>
        <v>22.828125</v>
      </c>
      <c r="B1767" t="s">
        <v>24</v>
      </c>
      <c r="C1767" t="s">
        <v>7</v>
      </c>
      <c r="D1767">
        <v>192</v>
      </c>
      <c r="E1767">
        <f t="shared" si="134"/>
        <v>45</v>
      </c>
      <c r="F1767" s="22">
        <f>'2085GH_W'!$R10</f>
        <v>1.254333305223057</v>
      </c>
      <c r="G1767" s="22" t="s">
        <v>33</v>
      </c>
      <c r="H1767" s="22">
        <f>'2085GH_W'!$R10</f>
        <v>1.254333305223057</v>
      </c>
      <c r="I1767" t="str">
        <f t="shared" si="132"/>
        <v>GH2085;winter;192;45;1.25433330522306;TRUE;1.25433330522306</v>
      </c>
    </row>
    <row r="1768" spans="1:9" x14ac:dyDescent="0.25">
      <c r="A1768">
        <f t="shared" si="131"/>
        <v>22.828125</v>
      </c>
      <c r="B1768" t="s">
        <v>24</v>
      </c>
      <c r="C1768" t="s">
        <v>7</v>
      </c>
      <c r="D1768">
        <v>192</v>
      </c>
      <c r="E1768">
        <f t="shared" si="134"/>
        <v>50</v>
      </c>
      <c r="F1768" s="22">
        <f>'2085GH_W'!$R11</f>
        <v>0.9482866854997325</v>
      </c>
      <c r="G1768" s="22" t="s">
        <v>33</v>
      </c>
      <c r="H1768" s="22">
        <f>'2085GH_W'!$R11</f>
        <v>0.9482866854997325</v>
      </c>
      <c r="I1768" t="str">
        <f t="shared" si="132"/>
        <v>GH2085;winter;192;50;0.948286685499732;TRUE;0.948286685499732</v>
      </c>
    </row>
    <row r="1769" spans="1:9" x14ac:dyDescent="0.25">
      <c r="A1769">
        <f t="shared" si="131"/>
        <v>22.828125</v>
      </c>
      <c r="B1769" t="s">
        <v>24</v>
      </c>
      <c r="C1769" t="s">
        <v>7</v>
      </c>
      <c r="D1769">
        <v>192</v>
      </c>
      <c r="E1769">
        <f t="shared" si="134"/>
        <v>55</v>
      </c>
      <c r="F1769" s="22">
        <f>'2085GH_W'!$R12</f>
        <v>0.71417749857302848</v>
      </c>
      <c r="G1769" s="22" t="s">
        <v>33</v>
      </c>
      <c r="H1769" s="22">
        <f>'2085GH_W'!$R12</f>
        <v>0.71417749857302848</v>
      </c>
      <c r="I1769" t="str">
        <f t="shared" si="132"/>
        <v>GH2085;winter;192;55;0.714177498573028;TRUE;0.714177498573028</v>
      </c>
    </row>
    <row r="1770" spans="1:9" x14ac:dyDescent="0.25">
      <c r="A1770">
        <f t="shared" si="131"/>
        <v>22.828125</v>
      </c>
      <c r="B1770" t="s">
        <v>24</v>
      </c>
      <c r="C1770" t="s">
        <v>7</v>
      </c>
      <c r="D1770">
        <v>192</v>
      </c>
      <c r="E1770">
        <f t="shared" si="134"/>
        <v>60</v>
      </c>
      <c r="F1770" s="22">
        <f>'2085GH_W'!$R13</f>
        <v>0.53575531576815516</v>
      </c>
      <c r="G1770" s="22" t="s">
        <v>33</v>
      </c>
      <c r="H1770" s="22">
        <f>'2085GH_W'!$R13</f>
        <v>0.53575531576815516</v>
      </c>
      <c r="I1770" t="str">
        <f t="shared" si="132"/>
        <v>GH2085;winter;192;60;0.535755315768155;TRUE;0.535755315768155</v>
      </c>
    </row>
    <row r="1771" spans="1:9" x14ac:dyDescent="0.25">
      <c r="A1771">
        <f t="shared" si="131"/>
        <v>22.828125</v>
      </c>
      <c r="B1771" t="s">
        <v>24</v>
      </c>
      <c r="C1771" t="s">
        <v>7</v>
      </c>
      <c r="D1771">
        <v>192</v>
      </c>
      <c r="E1771">
        <f t="shared" si="134"/>
        <v>65</v>
      </c>
      <c r="F1771" s="22">
        <f>'2085GH_W'!$R14</f>
        <v>0.40028811717308876</v>
      </c>
      <c r="G1771" s="22" t="s">
        <v>33</v>
      </c>
      <c r="H1771" s="22">
        <f>'2085GH_W'!$R14</f>
        <v>0.40028811717308876</v>
      </c>
      <c r="I1771" t="str">
        <f t="shared" si="132"/>
        <v>GH2085;winter;192;65;0.400288117173089;TRUE;0.400288117173089</v>
      </c>
    </row>
    <row r="1772" spans="1:9" x14ac:dyDescent="0.25">
      <c r="A1772">
        <f t="shared" si="131"/>
        <v>22.828125</v>
      </c>
      <c r="B1772" t="s">
        <v>24</v>
      </c>
      <c r="C1772" t="s">
        <v>7</v>
      </c>
      <c r="D1772">
        <v>192</v>
      </c>
      <c r="E1772">
        <f t="shared" si="134"/>
        <v>70</v>
      </c>
      <c r="F1772" s="22">
        <f>'2085GH_W'!$R15</f>
        <v>0.2978343671115834</v>
      </c>
      <c r="G1772" s="22" t="s">
        <v>33</v>
      </c>
      <c r="H1772" s="22">
        <f>'2085GH_W'!$R15</f>
        <v>0.2978343671115834</v>
      </c>
      <c r="I1772" t="str">
        <f t="shared" si="132"/>
        <v>GH2085;winter;192;70;0.297834367111583;TRUE;0.297834367111583</v>
      </c>
    </row>
    <row r="1773" spans="1:9" x14ac:dyDescent="0.25">
      <c r="A1773">
        <f t="shared" si="131"/>
        <v>22.828125</v>
      </c>
      <c r="B1773" t="s">
        <v>24</v>
      </c>
      <c r="C1773" t="s">
        <v>7</v>
      </c>
      <c r="D1773">
        <v>192</v>
      </c>
      <c r="E1773">
        <f t="shared" si="134"/>
        <v>75</v>
      </c>
      <c r="F1773" s="22">
        <f>'2085GH_W'!$R16</f>
        <v>0.22065850753978544</v>
      </c>
      <c r="G1773" s="22" t="s">
        <v>33</v>
      </c>
      <c r="H1773" s="22">
        <f>'2085GH_W'!$R16</f>
        <v>0.22065850753978544</v>
      </c>
      <c r="I1773" t="str">
        <f t="shared" si="132"/>
        <v>GH2085;winter;192;75;0.220658507539785;TRUE;0.220658507539785</v>
      </c>
    </row>
    <row r="1774" spans="1:9" x14ac:dyDescent="0.25">
      <c r="A1774">
        <f t="shared" si="131"/>
        <v>22.828125</v>
      </c>
      <c r="B1774" t="s">
        <v>24</v>
      </c>
      <c r="C1774" t="s">
        <v>7</v>
      </c>
      <c r="D1774">
        <v>192</v>
      </c>
      <c r="E1774">
        <f t="shared" si="134"/>
        <v>80</v>
      </c>
      <c r="F1774" s="22">
        <f>'2085GH_W'!$R17</f>
        <v>0.16276306448631089</v>
      </c>
      <c r="G1774" s="22" t="s">
        <v>33</v>
      </c>
      <c r="H1774" s="22">
        <f>'2085GH_W'!$R17</f>
        <v>0.16276306448631089</v>
      </c>
      <c r="I1774" t="str">
        <f t="shared" si="132"/>
        <v>GH2085;winter;192;80;0.162763064486311;TRUE;0.162763064486311</v>
      </c>
    </row>
    <row r="1775" spans="1:9" x14ac:dyDescent="0.25">
      <c r="A1775">
        <f t="shared" si="131"/>
        <v>22.828125</v>
      </c>
      <c r="B1775" t="s">
        <v>24</v>
      </c>
      <c r="C1775" t="s">
        <v>7</v>
      </c>
      <c r="D1775">
        <v>192</v>
      </c>
      <c r="E1775">
        <f t="shared" si="134"/>
        <v>85</v>
      </c>
      <c r="F1775" s="22">
        <f>'2085GH_W'!$R18</f>
        <v>0.11951529404784067</v>
      </c>
      <c r="G1775" s="22" t="s">
        <v>33</v>
      </c>
      <c r="H1775" s="22">
        <f>'2085GH_W'!$R18</f>
        <v>0.11951529404784067</v>
      </c>
      <c r="I1775" t="str">
        <f t="shared" si="132"/>
        <v>GH2085;winter;192;85;0.119515294047841;TRUE;0.119515294047841</v>
      </c>
    </row>
    <row r="1776" spans="1:9" x14ac:dyDescent="0.25">
      <c r="A1776">
        <f t="shared" si="131"/>
        <v>22.828125</v>
      </c>
      <c r="B1776" t="s">
        <v>24</v>
      </c>
      <c r="C1776" t="s">
        <v>7</v>
      </c>
      <c r="D1776">
        <v>192</v>
      </c>
      <c r="E1776">
        <f t="shared" si="134"/>
        <v>90</v>
      </c>
      <c r="F1776" s="22">
        <f>'2085GH_W'!$R19</f>
        <v>8.7350241153362457E-2</v>
      </c>
      <c r="G1776" s="22" t="s">
        <v>33</v>
      </c>
      <c r="H1776" s="22">
        <f>'2085GH_W'!$R19</f>
        <v>8.7350241153362457E-2</v>
      </c>
      <c r="I1776" t="str">
        <f t="shared" si="132"/>
        <v>GH2085;winter;192;90;8.73502411533625E-02;TRUE;8.73502411533625E-02</v>
      </c>
    </row>
    <row r="1777" spans="1:9" x14ac:dyDescent="0.25">
      <c r="A1777">
        <f t="shared" si="131"/>
        <v>22.828125</v>
      </c>
      <c r="B1777" t="s">
        <v>24</v>
      </c>
      <c r="C1777" t="s">
        <v>7</v>
      </c>
      <c r="D1777">
        <v>192</v>
      </c>
      <c r="E1777">
        <f t="shared" si="134"/>
        <v>95</v>
      </c>
      <c r="F1777" s="22">
        <f>'2085GH_W'!$R20</f>
        <v>6.3535367864786696E-2</v>
      </c>
      <c r="G1777" s="22" t="s">
        <v>33</v>
      </c>
      <c r="H1777" s="22">
        <f>'2085GH_W'!$R20</f>
        <v>6.3535367864786696E-2</v>
      </c>
      <c r="I1777" t="str">
        <f t="shared" si="132"/>
        <v>GH2085;winter;192;95;6.35353678647867E-02;TRUE;6.35353678647867E-02</v>
      </c>
    </row>
    <row r="1778" spans="1:9" x14ac:dyDescent="0.25">
      <c r="A1778">
        <f t="shared" si="131"/>
        <v>22.828125</v>
      </c>
      <c r="B1778" t="s">
        <v>24</v>
      </c>
      <c r="C1778" t="s">
        <v>7</v>
      </c>
      <c r="D1778">
        <v>192</v>
      </c>
      <c r="E1778">
        <f t="shared" si="134"/>
        <v>100</v>
      </c>
      <c r="F1778" s="22">
        <f>'2085GH_W'!$R21</f>
        <v>4.5984632476593387E-2</v>
      </c>
      <c r="G1778" s="22" t="s">
        <v>33</v>
      </c>
      <c r="H1778" s="22">
        <f>'2085GH_W'!$R21</f>
        <v>4.5984632476593387E-2</v>
      </c>
      <c r="I1778" t="str">
        <f t="shared" si="132"/>
        <v>GH2085;winter;192;100;4.59846324765934E-02;TRUE;4.59846324765934E-02</v>
      </c>
    </row>
    <row r="1779" spans="1:9" x14ac:dyDescent="0.25">
      <c r="A1779">
        <f t="shared" si="131"/>
        <v>22.828125</v>
      </c>
      <c r="B1779" t="s">
        <v>24</v>
      </c>
      <c r="C1779" t="s">
        <v>7</v>
      </c>
      <c r="D1779">
        <v>192</v>
      </c>
      <c r="E1779">
        <f t="shared" si="134"/>
        <v>105</v>
      </c>
      <c r="F1779" s="22">
        <f>'2085GH_W'!$R22</f>
        <v>3.3112155044955294E-2</v>
      </c>
      <c r="G1779" s="22" t="s">
        <v>33</v>
      </c>
      <c r="H1779" s="22">
        <f>'2085GH_W'!$R22</f>
        <v>3.3112155044955294E-2</v>
      </c>
      <c r="I1779" t="str">
        <f t="shared" si="132"/>
        <v>GH2085;winter;192;105;3.31121550449553E-02;TRUE;3.31121550449553E-02</v>
      </c>
    </row>
    <row r="1780" spans="1:9" x14ac:dyDescent="0.25">
      <c r="A1780">
        <f t="shared" si="131"/>
        <v>22.828125</v>
      </c>
      <c r="B1780" t="s">
        <v>24</v>
      </c>
      <c r="C1780" t="s">
        <v>7</v>
      </c>
      <c r="D1780">
        <v>192</v>
      </c>
      <c r="E1780">
        <f t="shared" si="134"/>
        <v>110</v>
      </c>
      <c r="F1780" s="22">
        <f>'2085GH_W'!$R23</f>
        <v>2.3717465026056338E-2</v>
      </c>
      <c r="G1780" s="22" t="s">
        <v>33</v>
      </c>
      <c r="H1780" s="22">
        <f>'2085GH_W'!$R23</f>
        <v>2.3717465026056338E-2</v>
      </c>
      <c r="I1780" t="str">
        <f t="shared" si="132"/>
        <v>GH2085;winter;192;110;2.37174650260563E-02;TRUE;2.37174650260563E-02</v>
      </c>
    </row>
    <row r="1781" spans="1:9" x14ac:dyDescent="0.25">
      <c r="A1781">
        <f t="shared" si="131"/>
        <v>22.828125</v>
      </c>
      <c r="B1781" t="s">
        <v>24</v>
      </c>
      <c r="C1781" t="s">
        <v>7</v>
      </c>
      <c r="D1781">
        <v>192</v>
      </c>
      <c r="E1781">
        <f t="shared" si="134"/>
        <v>115</v>
      </c>
      <c r="F1781" s="22">
        <f>'2085GH_W'!$R24</f>
        <v>1.6895856899738923E-2</v>
      </c>
      <c r="G1781" s="22" t="s">
        <v>33</v>
      </c>
      <c r="H1781" s="22">
        <f>'2085GH_W'!$R24</f>
        <v>1.6895856899738923E-2</v>
      </c>
      <c r="I1781" t="str">
        <f t="shared" si="132"/>
        <v>GH2085;winter;192;115;1.68958568997389E-02;TRUE;1.68958568997389E-02</v>
      </c>
    </row>
    <row r="1782" spans="1:9" x14ac:dyDescent="0.25">
      <c r="A1782">
        <f t="shared" si="131"/>
        <v>22.828125</v>
      </c>
      <c r="B1782" t="s">
        <v>24</v>
      </c>
      <c r="C1782" t="s">
        <v>7</v>
      </c>
      <c r="D1782">
        <v>192</v>
      </c>
      <c r="E1782">
        <f t="shared" si="134"/>
        <v>120</v>
      </c>
      <c r="F1782" s="22">
        <f>'2085GH_W'!$R25</f>
        <v>1.1968634682611203E-2</v>
      </c>
      <c r="G1782" s="22" t="s">
        <v>33</v>
      </c>
      <c r="H1782" s="22">
        <f>'2085GH_W'!$R25</f>
        <v>1.1968634682611203E-2</v>
      </c>
      <c r="I1782" t="str">
        <f t="shared" si="132"/>
        <v>GH2085;winter;192;120;1.19686346826112E-02;TRUE;1.19686346826112E-02</v>
      </c>
    </row>
    <row r="1783" spans="1:9" x14ac:dyDescent="0.25">
      <c r="A1783">
        <f t="shared" si="131"/>
        <v>22.828125</v>
      </c>
      <c r="B1783" t="s">
        <v>24</v>
      </c>
      <c r="C1783" t="s">
        <v>7</v>
      </c>
      <c r="D1783">
        <v>192</v>
      </c>
      <c r="E1783">
        <f t="shared" si="134"/>
        <v>125</v>
      </c>
      <c r="F1783" s="22">
        <f>'2085GH_W'!$R26</f>
        <v>8.4290523630432476E-3</v>
      </c>
      <c r="G1783" s="22" t="s">
        <v>33</v>
      </c>
      <c r="H1783" s="22">
        <f>'2085GH_W'!$R26</f>
        <v>8.4290523630432476E-3</v>
      </c>
      <c r="I1783" t="str">
        <f t="shared" si="132"/>
        <v>GH2085;winter;192;125;8.42905236304325E-03;TRUE;8.42905236304325E-03</v>
      </c>
    </row>
    <row r="1784" spans="1:9" x14ac:dyDescent="0.25">
      <c r="A1784">
        <f t="shared" si="131"/>
        <v>22.828125</v>
      </c>
      <c r="B1784" t="s">
        <v>24</v>
      </c>
      <c r="C1784" t="s">
        <v>7</v>
      </c>
      <c r="D1784">
        <v>192</v>
      </c>
      <c r="E1784">
        <f t="shared" si="134"/>
        <v>130</v>
      </c>
      <c r="F1784" s="22">
        <f>'2085GH_W'!$R27</f>
        <v>5.9005935644224801E-3</v>
      </c>
      <c r="G1784" s="22" t="s">
        <v>33</v>
      </c>
      <c r="H1784" s="22">
        <f>'2085GH_W'!$R27</f>
        <v>5.9005935644224801E-3</v>
      </c>
      <c r="I1784" t="str">
        <f t="shared" si="132"/>
        <v>GH2085;winter;192;130;5.90059356442248E-03;TRUE;5.90059356442248E-03</v>
      </c>
    </row>
    <row r="1785" spans="1:9" x14ac:dyDescent="0.25">
      <c r="A1785">
        <f t="shared" si="131"/>
        <v>22.828125</v>
      </c>
      <c r="B1785" t="s">
        <v>24</v>
      </c>
      <c r="C1785" t="s">
        <v>7</v>
      </c>
      <c r="D1785">
        <v>192</v>
      </c>
      <c r="E1785">
        <f t="shared" si="134"/>
        <v>135</v>
      </c>
      <c r="F1785" s="22">
        <f>'2085GH_W'!$R28</f>
        <v>4.1049130225306787E-3</v>
      </c>
      <c r="G1785" s="22" t="s">
        <v>33</v>
      </c>
      <c r="H1785" s="22">
        <f>'2085GH_W'!$R28</f>
        <v>4.1049130225306787E-3</v>
      </c>
      <c r="I1785" t="str">
        <f t="shared" si="132"/>
        <v>GH2085;winter;192;135;4.10491302253068E-03;TRUE;4.10491302253068E-03</v>
      </c>
    </row>
    <row r="1786" spans="1:9" x14ac:dyDescent="0.25">
      <c r="A1786">
        <f t="shared" si="131"/>
        <v>22.828125</v>
      </c>
      <c r="B1786" t="s">
        <v>24</v>
      </c>
      <c r="C1786" t="s">
        <v>7</v>
      </c>
      <c r="D1786">
        <v>192</v>
      </c>
      <c r="E1786">
        <f t="shared" si="134"/>
        <v>140</v>
      </c>
      <c r="F1786" s="22">
        <f>'2085GH_W'!$R29</f>
        <v>2.8373123249878411E-3</v>
      </c>
      <c r="G1786" s="22" t="s">
        <v>33</v>
      </c>
      <c r="H1786" s="22">
        <f>'2085GH_W'!$R29</f>
        <v>2.8373123249878411E-3</v>
      </c>
      <c r="I1786" t="str">
        <f t="shared" si="132"/>
        <v>GH2085;winter;192;140;2.83731232498784E-03;TRUE;2.83731232498784E-03</v>
      </c>
    </row>
    <row r="1787" spans="1:9" x14ac:dyDescent="0.25">
      <c r="A1787">
        <f t="shared" si="131"/>
        <v>22.828125</v>
      </c>
      <c r="B1787" t="s">
        <v>24</v>
      </c>
      <c r="C1787" t="s">
        <v>7</v>
      </c>
      <c r="D1787">
        <v>192</v>
      </c>
      <c r="E1787">
        <f t="shared" si="134"/>
        <v>145</v>
      </c>
      <c r="F1787" s="22">
        <f>'2085GH_W'!$R30</f>
        <v>1.9480658815994459E-3</v>
      </c>
      <c r="G1787" s="22" t="s">
        <v>33</v>
      </c>
      <c r="H1787" s="22">
        <f>'2085GH_W'!$R30</f>
        <v>1.9480658815994459E-3</v>
      </c>
      <c r="I1787" t="str">
        <f t="shared" si="132"/>
        <v>GH2085;winter;192;145;1.94806588159945E-03;TRUE;1.94806588159945E-03</v>
      </c>
    </row>
    <row r="1788" spans="1:9" x14ac:dyDescent="0.25">
      <c r="A1788">
        <f t="shared" si="131"/>
        <v>22.828125</v>
      </c>
      <c r="B1788" t="s">
        <v>24</v>
      </c>
      <c r="C1788" t="s">
        <v>7</v>
      </c>
      <c r="D1788">
        <v>192</v>
      </c>
      <c r="E1788">
        <f t="shared" si="134"/>
        <v>150</v>
      </c>
      <c r="F1788" s="22">
        <f>'2085GH_W'!$R31</f>
        <v>1.3282695265321031E-3</v>
      </c>
      <c r="G1788" s="22" t="s">
        <v>33</v>
      </c>
      <c r="H1788" s="22">
        <f>'2085GH_W'!$R31</f>
        <v>1.3282695265321031E-3</v>
      </c>
      <c r="I1788" t="str">
        <f t="shared" si="132"/>
        <v>GH2085;winter;192;150;1.3282695265321E-03;TRUE;1.3282695265321E-03</v>
      </c>
    </row>
    <row r="1789" spans="1:9" x14ac:dyDescent="0.25">
      <c r="A1789">
        <f t="shared" si="131"/>
        <v>22.828125</v>
      </c>
      <c r="B1789" t="s">
        <v>24</v>
      </c>
      <c r="C1789" t="s">
        <v>7</v>
      </c>
      <c r="D1789">
        <v>192</v>
      </c>
      <c r="E1789">
        <f t="shared" si="134"/>
        <v>155</v>
      </c>
      <c r="F1789" s="22">
        <f>'2085GH_W'!$R32</f>
        <v>2.6570928436248707E-3</v>
      </c>
      <c r="G1789" s="22" t="s">
        <v>33</v>
      </c>
      <c r="H1789" s="22">
        <f>'2085GH_W'!$R32</f>
        <v>2.6570928436248707E-3</v>
      </c>
      <c r="I1789" t="str">
        <f t="shared" si="132"/>
        <v>GH2085;winter;192;155;2.65709284362487E-03;TRUE;2.65709284362487E-03</v>
      </c>
    </row>
    <row r="1790" spans="1:9" x14ac:dyDescent="0.25">
      <c r="A1790">
        <f t="shared" si="131"/>
        <v>20.291666666666664</v>
      </c>
      <c r="B1790" t="s">
        <v>24</v>
      </c>
      <c r="C1790" t="s">
        <v>7</v>
      </c>
      <c r="D1790">
        <v>216</v>
      </c>
      <c r="E1790">
        <v>25</v>
      </c>
      <c r="F1790" s="22">
        <f>'2085GH_W'!$V6</f>
        <v>28.523034483832614</v>
      </c>
      <c r="G1790" s="22" t="s">
        <v>33</v>
      </c>
      <c r="H1790" s="22">
        <f>'2085GH_W'!$V6</f>
        <v>28.523034483832614</v>
      </c>
      <c r="I1790" t="str">
        <f t="shared" si="132"/>
        <v>GH2085;winter;216;25;28.5230344838326;TRUE;28.5230344838326</v>
      </c>
    </row>
    <row r="1791" spans="1:9" x14ac:dyDescent="0.25">
      <c r="A1791">
        <f t="shared" si="131"/>
        <v>20.291666666666664</v>
      </c>
      <c r="B1791" t="s">
        <v>24</v>
      </c>
      <c r="C1791" t="s">
        <v>7</v>
      </c>
      <c r="D1791">
        <v>216</v>
      </c>
      <c r="E1791">
        <f>E1790+5</f>
        <v>30</v>
      </c>
      <c r="F1791" s="22">
        <f>'2085GH_W'!$V7</f>
        <v>2.6952519519964699</v>
      </c>
      <c r="G1791" s="22" t="s">
        <v>33</v>
      </c>
      <c r="H1791" s="22">
        <f>'2085GH_W'!$V7</f>
        <v>2.6952519519964699</v>
      </c>
      <c r="I1791" t="str">
        <f t="shared" si="132"/>
        <v>GH2085;winter;216;30;2.69525195199647;TRUE;2.69525195199647</v>
      </c>
    </row>
    <row r="1792" spans="1:9" x14ac:dyDescent="0.25">
      <c r="A1792">
        <f t="shared" si="131"/>
        <v>20.291666666666664</v>
      </c>
      <c r="B1792" t="s">
        <v>24</v>
      </c>
      <c r="C1792" t="s">
        <v>7</v>
      </c>
      <c r="D1792">
        <v>216</v>
      </c>
      <c r="E1792">
        <f t="shared" ref="E1792:E1817" si="135">E1791+5</f>
        <v>35</v>
      </c>
      <c r="F1792" s="22">
        <f>'2085GH_W'!$V8</f>
        <v>2.1226379548496705</v>
      </c>
      <c r="G1792" s="22" t="s">
        <v>33</v>
      </c>
      <c r="H1792" s="22">
        <f>'2085GH_W'!$V8</f>
        <v>2.1226379548496705</v>
      </c>
      <c r="I1792" t="str">
        <f t="shared" si="132"/>
        <v>GH2085;winter;216;35;2.12263795484967;TRUE;2.12263795484967</v>
      </c>
    </row>
    <row r="1793" spans="1:9" x14ac:dyDescent="0.25">
      <c r="A1793">
        <f t="shared" si="131"/>
        <v>20.291666666666664</v>
      </c>
      <c r="B1793" t="s">
        <v>24</v>
      </c>
      <c r="C1793" t="s">
        <v>7</v>
      </c>
      <c r="D1793">
        <v>216</v>
      </c>
      <c r="E1793">
        <f t="shared" si="135"/>
        <v>40</v>
      </c>
      <c r="F1793" s="22">
        <f>'2085GH_W'!$V9</f>
        <v>1.6651761520449009</v>
      </c>
      <c r="G1793" s="22" t="s">
        <v>33</v>
      </c>
      <c r="H1793" s="22">
        <f>'2085GH_W'!$V9</f>
        <v>1.6651761520449009</v>
      </c>
      <c r="I1793" t="str">
        <f t="shared" si="132"/>
        <v>GH2085;winter;216;40;1.6651761520449;TRUE;1.6651761520449</v>
      </c>
    </row>
    <row r="1794" spans="1:9" x14ac:dyDescent="0.25">
      <c r="A1794">
        <f t="shared" ref="A1794:A1857" si="136">IF(C1794="zomer",24/D1794*365.25 * 6/12,24/D1794*365.25 * 6/12)</f>
        <v>20.291666666666664</v>
      </c>
      <c r="B1794" t="s">
        <v>24</v>
      </c>
      <c r="C1794" t="s">
        <v>7</v>
      </c>
      <c r="D1794">
        <v>216</v>
      </c>
      <c r="E1794">
        <f t="shared" si="135"/>
        <v>45</v>
      </c>
      <c r="F1794" s="22">
        <f>'2085GH_W'!$V10</f>
        <v>1.3010560877343114</v>
      </c>
      <c r="G1794" s="22" t="s">
        <v>33</v>
      </c>
      <c r="H1794" s="22">
        <f>'2085GH_W'!$V10</f>
        <v>1.3010560877343114</v>
      </c>
      <c r="I1794" t="str">
        <f t="shared" ref="I1794:I1857" si="137">CONCATENATEWITHDELIMITER(B1794:H1794,";")</f>
        <v>GH2085;winter;216;45;1.30105608773431;TRUE;1.30105608773431</v>
      </c>
    </row>
    <row r="1795" spans="1:9" x14ac:dyDescent="0.25">
      <c r="A1795">
        <f t="shared" si="136"/>
        <v>20.291666666666664</v>
      </c>
      <c r="B1795" t="s">
        <v>24</v>
      </c>
      <c r="C1795" t="s">
        <v>7</v>
      </c>
      <c r="D1795">
        <v>216</v>
      </c>
      <c r="E1795">
        <f t="shared" si="135"/>
        <v>50</v>
      </c>
      <c r="F1795" s="22">
        <f>'2085GH_W'!$V11</f>
        <v>1.0123355237107305</v>
      </c>
      <c r="G1795" s="22" t="s">
        <v>33</v>
      </c>
      <c r="H1795" s="22">
        <f>'2085GH_W'!$V11</f>
        <v>1.0123355237107305</v>
      </c>
      <c r="I1795" t="str">
        <f t="shared" si="137"/>
        <v>GH2085;winter;216;50;1.01233552371073;TRUE;1.01233552371073</v>
      </c>
    </row>
    <row r="1796" spans="1:9" x14ac:dyDescent="0.25">
      <c r="A1796">
        <f t="shared" si="136"/>
        <v>20.291666666666664</v>
      </c>
      <c r="B1796" t="s">
        <v>24</v>
      </c>
      <c r="C1796" t="s">
        <v>7</v>
      </c>
      <c r="D1796">
        <v>216</v>
      </c>
      <c r="E1796">
        <f t="shared" si="135"/>
        <v>55</v>
      </c>
      <c r="F1796" s="22">
        <f>'2085GH_W'!$V12</f>
        <v>0.78430243725751447</v>
      </c>
      <c r="G1796" s="22" t="s">
        <v>33</v>
      </c>
      <c r="H1796" s="22">
        <f>'2085GH_W'!$V12</f>
        <v>0.78430243725751447</v>
      </c>
      <c r="I1796" t="str">
        <f t="shared" si="137"/>
        <v>GH2085;winter;216;55;0.784302437257514;TRUE;0.784302437257514</v>
      </c>
    </row>
    <row r="1797" spans="1:9" x14ac:dyDescent="0.25">
      <c r="A1797">
        <f t="shared" si="136"/>
        <v>20.291666666666664</v>
      </c>
      <c r="B1797" t="s">
        <v>24</v>
      </c>
      <c r="C1797" t="s">
        <v>7</v>
      </c>
      <c r="D1797">
        <v>216</v>
      </c>
      <c r="E1797">
        <f t="shared" si="135"/>
        <v>60</v>
      </c>
      <c r="F1797" s="22">
        <f>'2085GH_W'!$V13</f>
        <v>0.60493407353549755</v>
      </c>
      <c r="G1797" s="22" t="s">
        <v>33</v>
      </c>
      <c r="H1797" s="22">
        <f>'2085GH_W'!$V13</f>
        <v>0.60493407353549755</v>
      </c>
      <c r="I1797" t="str">
        <f t="shared" si="137"/>
        <v>GH2085;winter;216;60;0.604934073535498;TRUE;0.604934073535498</v>
      </c>
    </row>
    <row r="1798" spans="1:9" x14ac:dyDescent="0.25">
      <c r="A1798">
        <f t="shared" si="136"/>
        <v>20.291666666666664</v>
      </c>
      <c r="B1798" t="s">
        <v>24</v>
      </c>
      <c r="C1798" t="s">
        <v>7</v>
      </c>
      <c r="D1798">
        <v>216</v>
      </c>
      <c r="E1798">
        <f t="shared" si="135"/>
        <v>65</v>
      </c>
      <c r="F1798" s="22">
        <f>'2085GH_W'!$V14</f>
        <v>0.46443957146201953</v>
      </c>
      <c r="G1798" s="22" t="s">
        <v>33</v>
      </c>
      <c r="H1798" s="22">
        <f>'2085GH_W'!$V14</f>
        <v>0.46443957146201953</v>
      </c>
      <c r="I1798" t="str">
        <f t="shared" si="137"/>
        <v>GH2085;winter;216;65;0.46443957146202;TRUE;0.46443957146202</v>
      </c>
    </row>
    <row r="1799" spans="1:9" x14ac:dyDescent="0.25">
      <c r="A1799">
        <f t="shared" si="136"/>
        <v>20.291666666666664</v>
      </c>
      <c r="B1799" t="s">
        <v>24</v>
      </c>
      <c r="C1799" t="s">
        <v>7</v>
      </c>
      <c r="D1799">
        <v>216</v>
      </c>
      <c r="E1799">
        <f t="shared" si="135"/>
        <v>70</v>
      </c>
      <c r="F1799" s="22">
        <f>'2085GH_W'!$V15</f>
        <v>0.35487437055841831</v>
      </c>
      <c r="G1799" s="22" t="s">
        <v>33</v>
      </c>
      <c r="H1799" s="22">
        <f>'2085GH_W'!$V15</f>
        <v>0.35487437055841831</v>
      </c>
      <c r="I1799" t="str">
        <f t="shared" si="137"/>
        <v>GH2085;winter;216;70;0.354874370558418;TRUE;0.354874370558418</v>
      </c>
    </row>
    <row r="1800" spans="1:9" x14ac:dyDescent="0.25">
      <c r="A1800">
        <f t="shared" si="136"/>
        <v>20.291666666666664</v>
      </c>
      <c r="B1800" t="s">
        <v>24</v>
      </c>
      <c r="C1800" t="s">
        <v>7</v>
      </c>
      <c r="D1800">
        <v>216</v>
      </c>
      <c r="E1800">
        <f t="shared" si="135"/>
        <v>75</v>
      </c>
      <c r="F1800" s="22">
        <f>'2085GH_W'!$V16</f>
        <v>0.26981610708733084</v>
      </c>
      <c r="G1800" s="22" t="s">
        <v>33</v>
      </c>
      <c r="H1800" s="22">
        <f>'2085GH_W'!$V16</f>
        <v>0.26981610708733084</v>
      </c>
      <c r="I1800" t="str">
        <f t="shared" si="137"/>
        <v>GH2085;winter;216;75;0.269816107087331;TRUE;0.269816107087331</v>
      </c>
    </row>
    <row r="1801" spans="1:9" x14ac:dyDescent="0.25">
      <c r="A1801">
        <f t="shared" si="136"/>
        <v>20.291666666666664</v>
      </c>
      <c r="B1801" t="s">
        <v>24</v>
      </c>
      <c r="C1801" t="s">
        <v>7</v>
      </c>
      <c r="D1801">
        <v>216</v>
      </c>
      <c r="E1801">
        <f t="shared" si="135"/>
        <v>80</v>
      </c>
      <c r="F1801" s="22">
        <f>'2085GH_W'!$V17</f>
        <v>0.20409303908970156</v>
      </c>
      <c r="G1801" s="22" t="s">
        <v>33</v>
      </c>
      <c r="H1801" s="22">
        <f>'2085GH_W'!$V17</f>
        <v>0.20409303908970156</v>
      </c>
      <c r="I1801" t="str">
        <f t="shared" si="137"/>
        <v>GH2085;winter;216;80;0.204093039089702;TRUE;0.204093039089702</v>
      </c>
    </row>
    <row r="1802" spans="1:9" x14ac:dyDescent="0.25">
      <c r="A1802">
        <f t="shared" si="136"/>
        <v>20.291666666666664</v>
      </c>
      <c r="B1802" t="s">
        <v>24</v>
      </c>
      <c r="C1802" t="s">
        <v>7</v>
      </c>
      <c r="D1802">
        <v>216</v>
      </c>
      <c r="E1802">
        <f t="shared" si="135"/>
        <v>85</v>
      </c>
      <c r="F1802" s="22">
        <f>'2085GH_W'!$V18</f>
        <v>0.15355721831209235</v>
      </c>
      <c r="G1802" s="22" t="s">
        <v>33</v>
      </c>
      <c r="H1802" s="22">
        <f>'2085GH_W'!$V18</f>
        <v>0.15355721831209235</v>
      </c>
      <c r="I1802" t="str">
        <f t="shared" si="137"/>
        <v>GH2085;winter;216;85;0.153557218312092;TRUE;0.153557218312092</v>
      </c>
    </row>
    <row r="1803" spans="1:9" x14ac:dyDescent="0.25">
      <c r="A1803">
        <f t="shared" si="136"/>
        <v>20.291666666666664</v>
      </c>
      <c r="B1803" t="s">
        <v>24</v>
      </c>
      <c r="C1803" t="s">
        <v>7</v>
      </c>
      <c r="D1803">
        <v>216</v>
      </c>
      <c r="E1803">
        <f t="shared" si="135"/>
        <v>90</v>
      </c>
      <c r="F1803" s="22">
        <f>'2085GH_W'!$V19</f>
        <v>0.11489566775644278</v>
      </c>
      <c r="G1803" s="22" t="s">
        <v>33</v>
      </c>
      <c r="H1803" s="22">
        <f>'2085GH_W'!$V19</f>
        <v>0.11489566775644278</v>
      </c>
      <c r="I1803" t="str">
        <f t="shared" si="137"/>
        <v>GH2085;winter;216;90;0.114895667756443;TRUE;0.114895667756443</v>
      </c>
    </row>
    <row r="1804" spans="1:9" x14ac:dyDescent="0.25">
      <c r="A1804">
        <f t="shared" si="136"/>
        <v>20.291666666666664</v>
      </c>
      <c r="B1804" t="s">
        <v>24</v>
      </c>
      <c r="C1804" t="s">
        <v>7</v>
      </c>
      <c r="D1804">
        <v>216</v>
      </c>
      <c r="E1804">
        <f t="shared" si="135"/>
        <v>95</v>
      </c>
      <c r="F1804" s="22">
        <f>'2085GH_W'!$V20</f>
        <v>8.5473740667947301E-2</v>
      </c>
      <c r="G1804" s="22" t="s">
        <v>33</v>
      </c>
      <c r="H1804" s="22">
        <f>'2085GH_W'!$V20</f>
        <v>8.5473740667947301E-2</v>
      </c>
      <c r="I1804" t="str">
        <f t="shared" si="137"/>
        <v>GH2085;winter;216;95;8.54737406679473E-02;TRUE;8.54737406679473E-02</v>
      </c>
    </row>
    <row r="1805" spans="1:9" x14ac:dyDescent="0.25">
      <c r="A1805">
        <f t="shared" si="136"/>
        <v>20.291666666666664</v>
      </c>
      <c r="B1805" t="s">
        <v>24</v>
      </c>
      <c r="C1805" t="s">
        <v>7</v>
      </c>
      <c r="D1805">
        <v>216</v>
      </c>
      <c r="E1805">
        <f t="shared" si="135"/>
        <v>100</v>
      </c>
      <c r="F1805" s="22">
        <f>'2085GH_W'!$V21</f>
        <v>6.3205642983329591E-2</v>
      </c>
      <c r="G1805" s="22" t="s">
        <v>33</v>
      </c>
      <c r="H1805" s="22">
        <f>'2085GH_W'!$V21</f>
        <v>6.3205642983329591E-2</v>
      </c>
      <c r="I1805" t="str">
        <f t="shared" si="137"/>
        <v>GH2085;winter;216;100;6.32056429833296E-02;TRUE;6.32056429833296E-02</v>
      </c>
    </row>
    <row r="1806" spans="1:9" x14ac:dyDescent="0.25">
      <c r="A1806">
        <f t="shared" si="136"/>
        <v>20.291666666666664</v>
      </c>
      <c r="B1806" t="s">
        <v>24</v>
      </c>
      <c r="C1806" t="s">
        <v>7</v>
      </c>
      <c r="D1806">
        <v>216</v>
      </c>
      <c r="E1806">
        <f t="shared" si="135"/>
        <v>105</v>
      </c>
      <c r="F1806" s="22">
        <f>'2085GH_W'!$V22</f>
        <v>4.6447808256853768E-2</v>
      </c>
      <c r="G1806" s="22" t="s">
        <v>33</v>
      </c>
      <c r="H1806" s="22">
        <f>'2085GH_W'!$V22</f>
        <v>4.6447808256853768E-2</v>
      </c>
      <c r="I1806" t="str">
        <f t="shared" si="137"/>
        <v>GH2085;winter;216;105;4.64478082568538E-02;TRUE;4.64478082568538E-02</v>
      </c>
    </row>
    <row r="1807" spans="1:9" x14ac:dyDescent="0.25">
      <c r="A1807">
        <f t="shared" si="136"/>
        <v>20.291666666666664</v>
      </c>
      <c r="B1807" t="s">
        <v>24</v>
      </c>
      <c r="C1807" t="s">
        <v>7</v>
      </c>
      <c r="D1807">
        <v>216</v>
      </c>
      <c r="E1807">
        <f t="shared" si="135"/>
        <v>110</v>
      </c>
      <c r="F1807" s="22">
        <f>'2085GH_W'!$V23</f>
        <v>3.3911432492585381E-2</v>
      </c>
      <c r="G1807" s="22" t="s">
        <v>33</v>
      </c>
      <c r="H1807" s="22">
        <f>'2085GH_W'!$V23</f>
        <v>3.3911432492585381E-2</v>
      </c>
      <c r="I1807" t="str">
        <f t="shared" si="137"/>
        <v>GH2085;winter;216;110;3.39114324925854E-02;TRUE;3.39114324925854E-02</v>
      </c>
    </row>
    <row r="1808" spans="1:9" x14ac:dyDescent="0.25">
      <c r="A1808">
        <f t="shared" si="136"/>
        <v>20.291666666666664</v>
      </c>
      <c r="B1808" t="s">
        <v>24</v>
      </c>
      <c r="C1808" t="s">
        <v>7</v>
      </c>
      <c r="D1808">
        <v>216</v>
      </c>
      <c r="E1808">
        <f t="shared" si="135"/>
        <v>115</v>
      </c>
      <c r="F1808" s="22">
        <f>'2085GH_W'!$V24</f>
        <v>2.4591015803772452E-2</v>
      </c>
      <c r="G1808" s="22" t="s">
        <v>33</v>
      </c>
      <c r="H1808" s="22">
        <f>'2085GH_W'!$V24</f>
        <v>2.4591015803772452E-2</v>
      </c>
      <c r="I1808" t="str">
        <f t="shared" si="137"/>
        <v>GH2085;winter;216;115;2.45910158037725E-02;TRUE;2.45910158037725E-02</v>
      </c>
    </row>
    <row r="1809" spans="1:9" x14ac:dyDescent="0.25">
      <c r="A1809">
        <f t="shared" si="136"/>
        <v>20.291666666666664</v>
      </c>
      <c r="B1809" t="s">
        <v>24</v>
      </c>
      <c r="C1809" t="s">
        <v>7</v>
      </c>
      <c r="D1809">
        <v>216</v>
      </c>
      <c r="E1809">
        <f t="shared" si="135"/>
        <v>120</v>
      </c>
      <c r="F1809" s="22">
        <f>'2085GH_W'!$V25</f>
        <v>1.7706227166995811E-2</v>
      </c>
      <c r="G1809" s="22" t="s">
        <v>33</v>
      </c>
      <c r="H1809" s="22">
        <f>'2085GH_W'!$V25</f>
        <v>1.7706227166995811E-2</v>
      </c>
      <c r="I1809" t="str">
        <f t="shared" si="137"/>
        <v>GH2085;winter;216;120;1.77062271669958E-02;TRUE;1.77062271669958E-02</v>
      </c>
    </row>
    <row r="1810" spans="1:9" x14ac:dyDescent="0.25">
      <c r="A1810">
        <f t="shared" si="136"/>
        <v>20.291666666666664</v>
      </c>
      <c r="B1810" t="s">
        <v>24</v>
      </c>
      <c r="C1810" t="s">
        <v>7</v>
      </c>
      <c r="D1810">
        <v>216</v>
      </c>
      <c r="E1810">
        <f t="shared" si="135"/>
        <v>125</v>
      </c>
      <c r="F1810" s="22">
        <f>'2085GH_W'!$V26</f>
        <v>1.2654815687721466E-2</v>
      </c>
      <c r="G1810" s="22" t="s">
        <v>33</v>
      </c>
      <c r="H1810" s="22">
        <f>'2085GH_W'!$V26</f>
        <v>1.2654815687721466E-2</v>
      </c>
      <c r="I1810" t="str">
        <f t="shared" si="137"/>
        <v>GH2085;winter;216;125;1.26548156877215E-02;TRUE;1.26548156877215E-02</v>
      </c>
    </row>
    <row r="1811" spans="1:9" x14ac:dyDescent="0.25">
      <c r="A1811">
        <f t="shared" si="136"/>
        <v>20.291666666666664</v>
      </c>
      <c r="B1811" t="s">
        <v>24</v>
      </c>
      <c r="C1811" t="s">
        <v>7</v>
      </c>
      <c r="D1811">
        <v>216</v>
      </c>
      <c r="E1811">
        <f t="shared" si="135"/>
        <v>130</v>
      </c>
      <c r="F1811" s="22">
        <f>'2085GH_W'!$V27</f>
        <v>8.9746439306900468E-3</v>
      </c>
      <c r="G1811" s="22" t="s">
        <v>33</v>
      </c>
      <c r="H1811" s="22">
        <f>'2085GH_W'!$V27</f>
        <v>8.9746439306900468E-3</v>
      </c>
      <c r="I1811" t="str">
        <f t="shared" si="137"/>
        <v>GH2085;winter;216;130;8.97464393069005E-03;TRUE;8.97464393069005E-03</v>
      </c>
    </row>
    <row r="1812" spans="1:9" x14ac:dyDescent="0.25">
      <c r="A1812">
        <f t="shared" si="136"/>
        <v>20.291666666666664</v>
      </c>
      <c r="B1812" t="s">
        <v>24</v>
      </c>
      <c r="C1812" t="s">
        <v>7</v>
      </c>
      <c r="D1812">
        <v>216</v>
      </c>
      <c r="E1812">
        <f t="shared" si="135"/>
        <v>135</v>
      </c>
      <c r="F1812" s="22">
        <f>'2085GH_W'!$V28</f>
        <v>6.3132224757198926E-3</v>
      </c>
      <c r="G1812" s="22" t="s">
        <v>33</v>
      </c>
      <c r="H1812" s="22">
        <f>'2085GH_W'!$V28</f>
        <v>6.3132224757198926E-3</v>
      </c>
      <c r="I1812" t="str">
        <f t="shared" si="137"/>
        <v>GH2085;winter;216;135;6.31322247571989E-03;TRUE;6.31322247571989E-03</v>
      </c>
    </row>
    <row r="1813" spans="1:9" x14ac:dyDescent="0.25">
      <c r="A1813">
        <f t="shared" si="136"/>
        <v>20.291666666666664</v>
      </c>
      <c r="B1813" t="s">
        <v>24</v>
      </c>
      <c r="C1813" t="s">
        <v>7</v>
      </c>
      <c r="D1813">
        <v>216</v>
      </c>
      <c r="E1813">
        <f t="shared" si="135"/>
        <v>140</v>
      </c>
      <c r="F1813" s="22">
        <f>'2085GH_W'!$V29</f>
        <v>4.4033857723602601E-3</v>
      </c>
      <c r="G1813" s="22" t="s">
        <v>33</v>
      </c>
      <c r="H1813" s="22">
        <f>'2085GH_W'!$V29</f>
        <v>4.4033857723602601E-3</v>
      </c>
      <c r="I1813" t="str">
        <f t="shared" si="137"/>
        <v>GH2085;winter;216;140;4.40338577236026E-03;TRUE;4.40338577236026E-03</v>
      </c>
    </row>
    <row r="1814" spans="1:9" x14ac:dyDescent="0.25">
      <c r="A1814">
        <f t="shared" si="136"/>
        <v>20.291666666666664</v>
      </c>
      <c r="B1814" t="s">
        <v>24</v>
      </c>
      <c r="C1814" t="s">
        <v>7</v>
      </c>
      <c r="D1814">
        <v>216</v>
      </c>
      <c r="E1814">
        <f t="shared" si="135"/>
        <v>145</v>
      </c>
      <c r="F1814" s="22">
        <f>'2085GH_W'!$V30</f>
        <v>3.0439728260758473E-3</v>
      </c>
      <c r="G1814" s="22" t="s">
        <v>33</v>
      </c>
      <c r="H1814" s="22">
        <f>'2085GH_W'!$V30</f>
        <v>3.0439728260758473E-3</v>
      </c>
      <c r="I1814" t="str">
        <f t="shared" si="137"/>
        <v>GH2085;winter;216;145;3.04397282607585E-03;TRUE;3.04397282607585E-03</v>
      </c>
    </row>
    <row r="1815" spans="1:9" x14ac:dyDescent="0.25">
      <c r="A1815">
        <f t="shared" si="136"/>
        <v>20.291666666666664</v>
      </c>
      <c r="B1815" t="s">
        <v>24</v>
      </c>
      <c r="C1815" t="s">
        <v>7</v>
      </c>
      <c r="D1815">
        <v>216</v>
      </c>
      <c r="E1815">
        <f t="shared" si="135"/>
        <v>150</v>
      </c>
      <c r="F1815" s="22">
        <f>'2085GH_W'!$V31</f>
        <v>2.0845669493874458E-3</v>
      </c>
      <c r="G1815" s="22" t="s">
        <v>33</v>
      </c>
      <c r="H1815" s="22">
        <f>'2085GH_W'!$V31</f>
        <v>2.0845669493874458E-3</v>
      </c>
      <c r="I1815" t="str">
        <f t="shared" si="137"/>
        <v>GH2085;winter;216;150;2.08456694938745E-03;TRUE;2.08456694938745E-03</v>
      </c>
    </row>
    <row r="1816" spans="1:9" x14ac:dyDescent="0.25">
      <c r="A1816">
        <f t="shared" si="136"/>
        <v>20.291666666666664</v>
      </c>
      <c r="B1816" t="s">
        <v>24</v>
      </c>
      <c r="C1816" t="s">
        <v>7</v>
      </c>
      <c r="D1816">
        <v>216</v>
      </c>
      <c r="E1816">
        <f t="shared" si="135"/>
        <v>155</v>
      </c>
      <c r="F1816" s="22">
        <f>'2085GH_W'!$V32</f>
        <v>1.4135109494840879E-3</v>
      </c>
      <c r="G1816" s="22" t="s">
        <v>33</v>
      </c>
      <c r="H1816" s="22">
        <f>'2085GH_W'!$V32</f>
        <v>1.4135109494840879E-3</v>
      </c>
      <c r="I1816" t="str">
        <f t="shared" si="137"/>
        <v>GH2085;winter;216;155;1.41351094948409E-03;TRUE;1.41351094948409E-03</v>
      </c>
    </row>
    <row r="1817" spans="1:9" x14ac:dyDescent="0.25">
      <c r="A1817">
        <f t="shared" si="136"/>
        <v>20.291666666666664</v>
      </c>
      <c r="B1817" t="s">
        <v>24</v>
      </c>
      <c r="C1817" t="s">
        <v>7</v>
      </c>
      <c r="D1817">
        <v>216</v>
      </c>
      <c r="E1817">
        <f t="shared" si="135"/>
        <v>160</v>
      </c>
      <c r="F1817" s="22">
        <f>'2085GH_W'!$V33</f>
        <v>2.7047081426906194E-3</v>
      </c>
      <c r="G1817" s="22" t="s">
        <v>33</v>
      </c>
      <c r="H1817" s="22">
        <f>'2085GH_W'!$V33</f>
        <v>2.7047081426906194E-3</v>
      </c>
      <c r="I1817" t="str">
        <f t="shared" si="137"/>
        <v>GH2085;winter;216;160;2.70470814269062E-03;TRUE;2.70470814269062E-03</v>
      </c>
    </row>
    <row r="1818" spans="1:9" x14ac:dyDescent="0.25">
      <c r="A1818">
        <f t="shared" si="136"/>
        <v>182.625</v>
      </c>
      <c r="B1818" t="s">
        <v>25</v>
      </c>
      <c r="C1818" t="s">
        <v>11</v>
      </c>
      <c r="D1818">
        <v>24</v>
      </c>
      <c r="E1818">
        <v>15</v>
      </c>
      <c r="F1818" s="22">
        <f>'2085WL_Z'!$F4</f>
        <v>356.28853744406229</v>
      </c>
      <c r="G1818" s="22" t="s">
        <v>33</v>
      </c>
      <c r="H1818" s="22">
        <f>'2085WL_Z'!$F4</f>
        <v>356.28853744406229</v>
      </c>
      <c r="I1818" t="str">
        <f t="shared" si="137"/>
        <v>WL2085;zomer;24;15;356.288537444062;TRUE;356.288537444062</v>
      </c>
    </row>
    <row r="1819" spans="1:9" x14ac:dyDescent="0.25">
      <c r="A1819">
        <f t="shared" si="136"/>
        <v>182.625</v>
      </c>
      <c r="B1819" t="s">
        <v>25</v>
      </c>
      <c r="C1819" t="s">
        <v>11</v>
      </c>
      <c r="D1819">
        <v>24</v>
      </c>
      <c r="E1819">
        <f>E1818+5</f>
        <v>20</v>
      </c>
      <c r="F1819" s="22">
        <f>'2085WL_Z'!$F5</f>
        <v>3.6128567733477954</v>
      </c>
      <c r="G1819" s="22" t="s">
        <v>33</v>
      </c>
      <c r="H1819" s="22">
        <f>'2085WL_Z'!$F5</f>
        <v>3.6128567733477954</v>
      </c>
      <c r="I1819" t="str">
        <f t="shared" si="137"/>
        <v>WL2085;zomer;24;20;3.6128567733478;TRUE;3.6128567733478</v>
      </c>
    </row>
    <row r="1820" spans="1:9" x14ac:dyDescent="0.25">
      <c r="A1820">
        <f t="shared" si="136"/>
        <v>182.625</v>
      </c>
      <c r="B1820" t="s">
        <v>25</v>
      </c>
      <c r="C1820" t="s">
        <v>11</v>
      </c>
      <c r="D1820">
        <v>24</v>
      </c>
      <c r="E1820">
        <f t="shared" ref="E1820:E1836" si="138">E1819+5</f>
        <v>25</v>
      </c>
      <c r="F1820" s="22">
        <f>'2085WL_Z'!$F6</f>
        <v>2.0959281618514276</v>
      </c>
      <c r="G1820" s="22" t="s">
        <v>33</v>
      </c>
      <c r="H1820" s="22">
        <f>'2085WL_Z'!$F6</f>
        <v>2.0959281618514276</v>
      </c>
      <c r="I1820" t="str">
        <f t="shared" si="137"/>
        <v>WL2085;zomer;24;25;2.09592816185143;TRUE;2.09592816185143</v>
      </c>
    </row>
    <row r="1821" spans="1:9" x14ac:dyDescent="0.25">
      <c r="A1821">
        <f t="shared" si="136"/>
        <v>182.625</v>
      </c>
      <c r="B1821" t="s">
        <v>25</v>
      </c>
      <c r="C1821" t="s">
        <v>11</v>
      </c>
      <c r="D1821">
        <v>24</v>
      </c>
      <c r="E1821">
        <f t="shared" si="138"/>
        <v>30</v>
      </c>
      <c r="F1821" s="22">
        <f>'2085WL_Z'!$F7</f>
        <v>1.2398351503655358</v>
      </c>
      <c r="G1821" s="22" t="s">
        <v>33</v>
      </c>
      <c r="H1821" s="22">
        <f>'2085WL_Z'!$F7</f>
        <v>1.2398351503655358</v>
      </c>
      <c r="I1821" t="str">
        <f t="shared" si="137"/>
        <v>WL2085;zomer;24;30;1.23983515036554;TRUE;1.23983515036554</v>
      </c>
    </row>
    <row r="1822" spans="1:9" x14ac:dyDescent="0.25">
      <c r="A1822">
        <f t="shared" si="136"/>
        <v>182.625</v>
      </c>
      <c r="B1822" t="s">
        <v>25</v>
      </c>
      <c r="C1822" t="s">
        <v>11</v>
      </c>
      <c r="D1822">
        <v>24</v>
      </c>
      <c r="E1822">
        <f t="shared" si="138"/>
        <v>35</v>
      </c>
      <c r="F1822" s="22">
        <f>'2085WL_Z'!$F8</f>
        <v>0.7468403775214707</v>
      </c>
      <c r="G1822" s="22" t="s">
        <v>33</v>
      </c>
      <c r="H1822" s="22">
        <f>'2085WL_Z'!$F8</f>
        <v>0.7468403775214707</v>
      </c>
      <c r="I1822" t="str">
        <f t="shared" si="137"/>
        <v>WL2085;zomer;24;35;0.746840377521471;TRUE;0.746840377521471</v>
      </c>
    </row>
    <row r="1823" spans="1:9" x14ac:dyDescent="0.25">
      <c r="A1823">
        <f t="shared" si="136"/>
        <v>182.625</v>
      </c>
      <c r="B1823" t="s">
        <v>25</v>
      </c>
      <c r="C1823" t="s">
        <v>11</v>
      </c>
      <c r="D1823">
        <v>24</v>
      </c>
      <c r="E1823">
        <f t="shared" si="138"/>
        <v>40</v>
      </c>
      <c r="F1823" s="22">
        <f>'2085WL_Z'!$F9</f>
        <v>0.45755274153058467</v>
      </c>
      <c r="G1823" s="22" t="s">
        <v>33</v>
      </c>
      <c r="H1823" s="22">
        <f>'2085WL_Z'!$F9</f>
        <v>0.45755274153058467</v>
      </c>
      <c r="I1823" t="str">
        <f t="shared" si="137"/>
        <v>WL2085;zomer;24;40;0.457552741530585;TRUE;0.457552741530585</v>
      </c>
    </row>
    <row r="1824" spans="1:9" x14ac:dyDescent="0.25">
      <c r="A1824">
        <f t="shared" si="136"/>
        <v>182.625</v>
      </c>
      <c r="B1824" t="s">
        <v>25</v>
      </c>
      <c r="C1824" t="s">
        <v>11</v>
      </c>
      <c r="D1824">
        <v>24</v>
      </c>
      <c r="E1824">
        <f t="shared" si="138"/>
        <v>45</v>
      </c>
      <c r="F1824" s="22">
        <f>'2085WL_Z'!$F10</f>
        <v>0.28479246875421937</v>
      </c>
      <c r="G1824" s="22" t="s">
        <v>33</v>
      </c>
      <c r="H1824" s="22">
        <f>'2085WL_Z'!$F10</f>
        <v>0.28479246875421937</v>
      </c>
      <c r="I1824" t="str">
        <f t="shared" si="137"/>
        <v>WL2085;zomer;24;45;0.284792468754219;TRUE;0.284792468754219</v>
      </c>
    </row>
    <row r="1825" spans="1:9" x14ac:dyDescent="0.25">
      <c r="A1825">
        <f t="shared" si="136"/>
        <v>182.625</v>
      </c>
      <c r="B1825" t="s">
        <v>25</v>
      </c>
      <c r="C1825" t="s">
        <v>11</v>
      </c>
      <c r="D1825">
        <v>24</v>
      </c>
      <c r="E1825">
        <f t="shared" si="138"/>
        <v>50</v>
      </c>
      <c r="F1825" s="22">
        <f>'2085WL_Z'!$F11</f>
        <v>0.1799115369287817</v>
      </c>
      <c r="G1825" s="22" t="s">
        <v>33</v>
      </c>
      <c r="H1825" s="22">
        <f>'2085WL_Z'!$F11</f>
        <v>0.1799115369287817</v>
      </c>
      <c r="I1825" t="str">
        <f t="shared" si="137"/>
        <v>WL2085;zomer;24;50;0.179911536928782;TRUE;0.179911536928782</v>
      </c>
    </row>
    <row r="1826" spans="1:9" x14ac:dyDescent="0.25">
      <c r="A1826">
        <f t="shared" si="136"/>
        <v>182.625</v>
      </c>
      <c r="B1826" t="s">
        <v>25</v>
      </c>
      <c r="C1826" t="s">
        <v>11</v>
      </c>
      <c r="D1826">
        <v>24</v>
      </c>
      <c r="E1826">
        <f t="shared" si="138"/>
        <v>55</v>
      </c>
      <c r="F1826" s="22">
        <f>'2085WL_Z'!$F12</f>
        <v>0.11525007701076262</v>
      </c>
      <c r="G1826" s="22" t="s">
        <v>33</v>
      </c>
      <c r="H1826" s="22">
        <f>'2085WL_Z'!$F12</f>
        <v>0.11525007701076262</v>
      </c>
      <c r="I1826" t="str">
        <f t="shared" si="137"/>
        <v>WL2085;zomer;24;55;0.115250077010763;TRUE;0.115250077010763</v>
      </c>
    </row>
    <row r="1827" spans="1:9" x14ac:dyDescent="0.25">
      <c r="A1827">
        <f t="shared" si="136"/>
        <v>182.625</v>
      </c>
      <c r="B1827" t="s">
        <v>25</v>
      </c>
      <c r="C1827" t="s">
        <v>11</v>
      </c>
      <c r="D1827">
        <v>24</v>
      </c>
      <c r="E1827">
        <f t="shared" si="138"/>
        <v>60</v>
      </c>
      <c r="F1827" s="22">
        <f>'2085WL_Z'!$F13</f>
        <v>7.4802880375098718E-2</v>
      </c>
      <c r="G1827" s="22" t="s">
        <v>33</v>
      </c>
      <c r="H1827" s="22">
        <f>'2085WL_Z'!$F13</f>
        <v>7.4802880375098718E-2</v>
      </c>
      <c r="I1827" t="str">
        <f t="shared" si="137"/>
        <v>WL2085;zomer;24;60;7.48028803750987E-02;TRUE;7.48028803750987E-02</v>
      </c>
    </row>
    <row r="1828" spans="1:9" x14ac:dyDescent="0.25">
      <c r="A1828">
        <f t="shared" si="136"/>
        <v>182.625</v>
      </c>
      <c r="B1828" t="s">
        <v>25</v>
      </c>
      <c r="C1828" t="s">
        <v>11</v>
      </c>
      <c r="D1828">
        <v>24</v>
      </c>
      <c r="E1828">
        <f t="shared" si="138"/>
        <v>65</v>
      </c>
      <c r="F1828" s="22">
        <f>'2085WL_Z'!$F14</f>
        <v>4.9154601533455564E-2</v>
      </c>
      <c r="G1828" s="22" t="s">
        <v>33</v>
      </c>
      <c r="H1828" s="22">
        <f>'2085WL_Z'!$F14</f>
        <v>4.9154601533455564E-2</v>
      </c>
      <c r="I1828" t="str">
        <f t="shared" si="137"/>
        <v>WL2085;zomer;24;65;4.91546015334556E-02;TRUE;4.91546015334556E-02</v>
      </c>
    </row>
    <row r="1829" spans="1:9" x14ac:dyDescent="0.25">
      <c r="A1829">
        <f t="shared" si="136"/>
        <v>182.625</v>
      </c>
      <c r="B1829" t="s">
        <v>25</v>
      </c>
      <c r="C1829" t="s">
        <v>11</v>
      </c>
      <c r="D1829">
        <v>24</v>
      </c>
      <c r="E1829">
        <f t="shared" si="138"/>
        <v>70</v>
      </c>
      <c r="F1829" s="22">
        <f>'2085WL_Z'!$F15</f>
        <v>3.2679841230928292E-2</v>
      </c>
      <c r="G1829" s="22" t="s">
        <v>33</v>
      </c>
      <c r="H1829" s="22">
        <f>'2085WL_Z'!$F15</f>
        <v>3.2679841230928292E-2</v>
      </c>
      <c r="I1829" t="str">
        <f t="shared" si="137"/>
        <v>WL2085;zomer;24;70;3.26798412309283E-02;TRUE;3.26798412309283E-02</v>
      </c>
    </row>
    <row r="1830" spans="1:9" x14ac:dyDescent="0.25">
      <c r="A1830">
        <f t="shared" si="136"/>
        <v>182.625</v>
      </c>
      <c r="B1830" t="s">
        <v>25</v>
      </c>
      <c r="C1830" t="s">
        <v>11</v>
      </c>
      <c r="D1830">
        <v>24</v>
      </c>
      <c r="E1830">
        <f t="shared" si="138"/>
        <v>75</v>
      </c>
      <c r="F1830" s="22">
        <f>'2085WL_Z'!$F16</f>
        <v>2.1968026112897297E-2</v>
      </c>
      <c r="G1830" s="22" t="s">
        <v>33</v>
      </c>
      <c r="H1830" s="22">
        <f>'2085WL_Z'!$F16</f>
        <v>2.1968026112897297E-2</v>
      </c>
      <c r="I1830" t="str">
        <f t="shared" si="137"/>
        <v>WL2085;zomer;24;75;2.19680261128973E-02;TRUE;2.19680261128973E-02</v>
      </c>
    </row>
    <row r="1831" spans="1:9" x14ac:dyDescent="0.25">
      <c r="A1831">
        <f t="shared" si="136"/>
        <v>182.625</v>
      </c>
      <c r="B1831" t="s">
        <v>25</v>
      </c>
      <c r="C1831" t="s">
        <v>11</v>
      </c>
      <c r="D1831">
        <v>24</v>
      </c>
      <c r="E1831">
        <f t="shared" si="138"/>
        <v>80</v>
      </c>
      <c r="F1831" s="22">
        <f>'2085WL_Z'!$F17</f>
        <v>1.492260524699484E-2</v>
      </c>
      <c r="G1831" s="22" t="s">
        <v>33</v>
      </c>
      <c r="H1831" s="22">
        <f>'2085WL_Z'!$F17</f>
        <v>1.492260524699484E-2</v>
      </c>
      <c r="I1831" t="str">
        <f t="shared" si="137"/>
        <v>WL2085;zomer;24;80;1.49226052469948E-02;TRUE;1.49226052469948E-02</v>
      </c>
    </row>
    <row r="1832" spans="1:9" x14ac:dyDescent="0.25">
      <c r="A1832">
        <f t="shared" si="136"/>
        <v>182.625</v>
      </c>
      <c r="B1832" t="s">
        <v>25</v>
      </c>
      <c r="C1832" t="s">
        <v>11</v>
      </c>
      <c r="D1832">
        <v>24</v>
      </c>
      <c r="E1832">
        <f t="shared" si="138"/>
        <v>85</v>
      </c>
      <c r="F1832" s="22">
        <f>'2085WL_Z'!$F18</f>
        <v>1.0237819196994385E-2</v>
      </c>
      <c r="G1832" s="22" t="s">
        <v>33</v>
      </c>
      <c r="H1832" s="22">
        <f>'2085WL_Z'!$F18</f>
        <v>1.0237819196994385E-2</v>
      </c>
      <c r="I1832" t="str">
        <f t="shared" si="137"/>
        <v>WL2085;zomer;24;85;1.02378191969944E-02;TRUE;1.02378191969944E-02</v>
      </c>
    </row>
    <row r="1833" spans="1:9" x14ac:dyDescent="0.25">
      <c r="A1833">
        <f t="shared" si="136"/>
        <v>182.625</v>
      </c>
      <c r="B1833" t="s">
        <v>25</v>
      </c>
      <c r="C1833" t="s">
        <v>11</v>
      </c>
      <c r="D1833">
        <v>24</v>
      </c>
      <c r="E1833">
        <f t="shared" si="138"/>
        <v>90</v>
      </c>
      <c r="F1833" s="22">
        <f>'2085WL_Z'!$F19</f>
        <v>7.0902845835828822E-3</v>
      </c>
      <c r="G1833" s="22" t="s">
        <v>33</v>
      </c>
      <c r="H1833" s="22">
        <f>'2085WL_Z'!$F19</f>
        <v>7.0902845835828822E-3</v>
      </c>
      <c r="I1833" t="str">
        <f t="shared" si="137"/>
        <v>WL2085;zomer;24;90;7.09028458358288E-03;TRUE;7.09028458358288E-03</v>
      </c>
    </row>
    <row r="1834" spans="1:9" x14ac:dyDescent="0.25">
      <c r="A1834">
        <f t="shared" si="136"/>
        <v>182.625</v>
      </c>
      <c r="B1834" t="s">
        <v>25</v>
      </c>
      <c r="C1834" t="s">
        <v>11</v>
      </c>
      <c r="D1834">
        <v>24</v>
      </c>
      <c r="E1834">
        <f t="shared" si="138"/>
        <v>95</v>
      </c>
      <c r="F1834" s="22">
        <f>'2085WL_Z'!$F20</f>
        <v>4.954653931191046E-3</v>
      </c>
      <c r="G1834" s="22" t="s">
        <v>33</v>
      </c>
      <c r="H1834" s="22">
        <f>'2085WL_Z'!$F20</f>
        <v>4.954653931191046E-3</v>
      </c>
      <c r="I1834" t="str">
        <f t="shared" si="137"/>
        <v>WL2085;zomer;24;95;4.95465393119105E-03;TRUE;4.95465393119105E-03</v>
      </c>
    </row>
    <row r="1835" spans="1:9" x14ac:dyDescent="0.25">
      <c r="A1835">
        <f t="shared" si="136"/>
        <v>182.625</v>
      </c>
      <c r="B1835" t="s">
        <v>25</v>
      </c>
      <c r="C1835" t="s">
        <v>11</v>
      </c>
      <c r="D1835">
        <v>24</v>
      </c>
      <c r="E1835">
        <f t="shared" si="138"/>
        <v>100</v>
      </c>
      <c r="F1835" s="22">
        <f>'2085WL_Z'!$F21</f>
        <v>3.4919722686058436E-3</v>
      </c>
      <c r="G1835" s="22" t="s">
        <v>33</v>
      </c>
      <c r="H1835" s="22">
        <f>'2085WL_Z'!$F21</f>
        <v>3.4919722686058436E-3</v>
      </c>
      <c r="I1835" t="str">
        <f t="shared" si="137"/>
        <v>WL2085;zomer;24;100;3.49197226860584E-03;TRUE;3.49197226860584E-03</v>
      </c>
    </row>
    <row r="1836" spans="1:9" x14ac:dyDescent="0.25">
      <c r="A1836">
        <f t="shared" si="136"/>
        <v>182.625</v>
      </c>
      <c r="B1836" t="s">
        <v>25</v>
      </c>
      <c r="C1836" t="s">
        <v>11</v>
      </c>
      <c r="D1836">
        <v>24</v>
      </c>
      <c r="E1836">
        <f t="shared" si="138"/>
        <v>105</v>
      </c>
      <c r="F1836" s="22">
        <f>'2085WL_Z'!$F22</f>
        <v>9.1925841473646901E-3</v>
      </c>
      <c r="G1836" s="22" t="s">
        <v>33</v>
      </c>
      <c r="H1836" s="22">
        <f>'2085WL_Z'!$F22</f>
        <v>9.1925841473646901E-3</v>
      </c>
      <c r="I1836" t="str">
        <f t="shared" si="137"/>
        <v>WL2085;zomer;24;105;9.19258414736469E-03;TRUE;9.19258414736469E-03</v>
      </c>
    </row>
    <row r="1837" spans="1:9" x14ac:dyDescent="0.25">
      <c r="A1837">
        <f t="shared" si="136"/>
        <v>91.3125</v>
      </c>
      <c r="B1837" t="s">
        <v>25</v>
      </c>
      <c r="C1837" t="s">
        <v>11</v>
      </c>
      <c r="D1837">
        <v>48</v>
      </c>
      <c r="E1837">
        <v>15</v>
      </c>
      <c r="F1837" s="22">
        <f>'2085WL_Z'!$J4</f>
        <v>169.05248133398823</v>
      </c>
      <c r="G1837" s="22" t="s">
        <v>33</v>
      </c>
      <c r="H1837" s="22">
        <f>'2085WL_Z'!$J4</f>
        <v>169.05248133398823</v>
      </c>
      <c r="I1837" t="str">
        <f t="shared" si="137"/>
        <v>WL2085;zomer;48;15;169.052481333988;TRUE;169.052481333988</v>
      </c>
    </row>
    <row r="1838" spans="1:9" x14ac:dyDescent="0.25">
      <c r="A1838">
        <f t="shared" si="136"/>
        <v>91.3125</v>
      </c>
      <c r="B1838" t="s">
        <v>25</v>
      </c>
      <c r="C1838" t="s">
        <v>11</v>
      </c>
      <c r="D1838">
        <v>48</v>
      </c>
      <c r="E1838">
        <f>E1837+5</f>
        <v>20</v>
      </c>
      <c r="F1838" s="22">
        <f>'2085WL_Z'!$J5</f>
        <v>4.7716038358470882</v>
      </c>
      <c r="G1838" s="22" t="s">
        <v>33</v>
      </c>
      <c r="H1838" s="22">
        <f>'2085WL_Z'!$J5</f>
        <v>4.7716038358470882</v>
      </c>
      <c r="I1838" t="str">
        <f t="shared" si="137"/>
        <v>WL2085;zomer;48;20;4.77160383584709;TRUE;4.77160383584709</v>
      </c>
    </row>
    <row r="1839" spans="1:9" x14ac:dyDescent="0.25">
      <c r="A1839">
        <f t="shared" si="136"/>
        <v>91.3125</v>
      </c>
      <c r="B1839" t="s">
        <v>25</v>
      </c>
      <c r="C1839" t="s">
        <v>11</v>
      </c>
      <c r="D1839">
        <v>48</v>
      </c>
      <c r="E1839">
        <f t="shared" ref="E1839:E1856" si="139">E1838+5</f>
        <v>25</v>
      </c>
      <c r="F1839" s="22">
        <f>'2085WL_Z'!$J6</f>
        <v>3.035226503153317</v>
      </c>
      <c r="G1839" s="22" t="s">
        <v>33</v>
      </c>
      <c r="H1839" s="22">
        <f>'2085WL_Z'!$J6</f>
        <v>3.035226503153317</v>
      </c>
      <c r="I1839" t="str">
        <f t="shared" si="137"/>
        <v>WL2085;zomer;48;25;3.03522650315332;TRUE;3.03522650315332</v>
      </c>
    </row>
    <row r="1840" spans="1:9" x14ac:dyDescent="0.25">
      <c r="A1840">
        <f t="shared" si="136"/>
        <v>91.3125</v>
      </c>
      <c r="B1840" t="s">
        <v>25</v>
      </c>
      <c r="C1840" t="s">
        <v>11</v>
      </c>
      <c r="D1840">
        <v>48</v>
      </c>
      <c r="E1840">
        <f t="shared" si="139"/>
        <v>30</v>
      </c>
      <c r="F1840" s="22">
        <f>'2085WL_Z'!$J7</f>
        <v>1.9513055521538956</v>
      </c>
      <c r="G1840" s="22" t="s">
        <v>33</v>
      </c>
      <c r="H1840" s="22">
        <f>'2085WL_Z'!$J7</f>
        <v>1.9513055521538956</v>
      </c>
      <c r="I1840" t="str">
        <f t="shared" si="137"/>
        <v>WL2085;zomer;48;30;1.9513055521539;TRUE;1.9513055521539</v>
      </c>
    </row>
    <row r="1841" spans="1:9" x14ac:dyDescent="0.25">
      <c r="A1841">
        <f t="shared" si="136"/>
        <v>91.3125</v>
      </c>
      <c r="B1841" t="s">
        <v>25</v>
      </c>
      <c r="C1841" t="s">
        <v>11</v>
      </c>
      <c r="D1841">
        <v>48</v>
      </c>
      <c r="E1841">
        <f t="shared" si="139"/>
        <v>35</v>
      </c>
      <c r="F1841" s="22">
        <f>'2085WL_Z'!$J8</f>
        <v>1.2672303616557712</v>
      </c>
      <c r="G1841" s="22" t="s">
        <v>33</v>
      </c>
      <c r="H1841" s="22">
        <f>'2085WL_Z'!$J8</f>
        <v>1.2672303616557712</v>
      </c>
      <c r="I1841" t="str">
        <f t="shared" si="137"/>
        <v>WL2085;zomer;48;35;1.26723036165577;TRUE;1.26723036165577</v>
      </c>
    </row>
    <row r="1842" spans="1:9" x14ac:dyDescent="0.25">
      <c r="A1842">
        <f t="shared" si="136"/>
        <v>91.3125</v>
      </c>
      <c r="B1842" t="s">
        <v>25</v>
      </c>
      <c r="C1842" t="s">
        <v>11</v>
      </c>
      <c r="D1842">
        <v>48</v>
      </c>
      <c r="E1842">
        <f t="shared" si="139"/>
        <v>40</v>
      </c>
      <c r="F1842" s="22">
        <f>'2085WL_Z'!$J9</f>
        <v>0.83096908531927172</v>
      </c>
      <c r="G1842" s="22" t="s">
        <v>33</v>
      </c>
      <c r="H1842" s="22">
        <f>'2085WL_Z'!$J9</f>
        <v>0.83096908531927172</v>
      </c>
      <c r="I1842" t="str">
        <f t="shared" si="137"/>
        <v>WL2085;zomer;48;40;0.830969085319272;TRUE;0.830969085319272</v>
      </c>
    </row>
    <row r="1843" spans="1:9" x14ac:dyDescent="0.25">
      <c r="A1843">
        <f t="shared" si="136"/>
        <v>91.3125</v>
      </c>
      <c r="B1843" t="s">
        <v>25</v>
      </c>
      <c r="C1843" t="s">
        <v>11</v>
      </c>
      <c r="D1843">
        <v>48</v>
      </c>
      <c r="E1843">
        <f t="shared" si="139"/>
        <v>45</v>
      </c>
      <c r="F1843" s="22">
        <f>'2085WL_Z'!$J10</f>
        <v>0.54995738891734813</v>
      </c>
      <c r="G1843" s="22" t="s">
        <v>33</v>
      </c>
      <c r="H1843" s="22">
        <f>'2085WL_Z'!$J10</f>
        <v>0.54995738891734813</v>
      </c>
      <c r="I1843" t="str">
        <f t="shared" si="137"/>
        <v>WL2085;zomer;48;45;0.549957388917348;TRUE;0.549957388917348</v>
      </c>
    </row>
    <row r="1844" spans="1:9" x14ac:dyDescent="0.25">
      <c r="A1844">
        <f t="shared" si="136"/>
        <v>91.3125</v>
      </c>
      <c r="B1844" t="s">
        <v>25</v>
      </c>
      <c r="C1844" t="s">
        <v>11</v>
      </c>
      <c r="D1844">
        <v>48</v>
      </c>
      <c r="E1844">
        <f t="shared" si="139"/>
        <v>50</v>
      </c>
      <c r="F1844" s="22">
        <f>'2085WL_Z'!$J11</f>
        <v>0.36721111887318414</v>
      </c>
      <c r="G1844" s="22" t="s">
        <v>33</v>
      </c>
      <c r="H1844" s="22">
        <f>'2085WL_Z'!$J11</f>
        <v>0.36721111887318414</v>
      </c>
      <c r="I1844" t="str">
        <f t="shared" si="137"/>
        <v>WL2085;zomer;48;50;0.367211118873184;TRUE;0.367211118873184</v>
      </c>
    </row>
    <row r="1845" spans="1:9" x14ac:dyDescent="0.25">
      <c r="A1845">
        <f t="shared" si="136"/>
        <v>91.3125</v>
      </c>
      <c r="B1845" t="s">
        <v>25</v>
      </c>
      <c r="C1845" t="s">
        <v>11</v>
      </c>
      <c r="D1845">
        <v>48</v>
      </c>
      <c r="E1845">
        <f t="shared" si="139"/>
        <v>55</v>
      </c>
      <c r="F1845" s="22">
        <f>'2085WL_Z'!$J12</f>
        <v>0.24727704609741841</v>
      </c>
      <c r="G1845" s="22" t="s">
        <v>33</v>
      </c>
      <c r="H1845" s="22">
        <f>'2085WL_Z'!$J12</f>
        <v>0.24727704609741841</v>
      </c>
      <c r="I1845" t="str">
        <f t="shared" si="137"/>
        <v>WL2085;zomer;48;55;0.247277046097418;TRUE;0.247277046097418</v>
      </c>
    </row>
    <row r="1846" spans="1:9" x14ac:dyDescent="0.25">
      <c r="A1846">
        <f t="shared" si="136"/>
        <v>91.3125</v>
      </c>
      <c r="B1846" t="s">
        <v>25</v>
      </c>
      <c r="C1846" t="s">
        <v>11</v>
      </c>
      <c r="D1846">
        <v>48</v>
      </c>
      <c r="E1846">
        <f t="shared" si="139"/>
        <v>60</v>
      </c>
      <c r="F1846" s="22">
        <f>'2085WL_Z'!$J13</f>
        <v>0.16787326826238891</v>
      </c>
      <c r="G1846" s="22" t="s">
        <v>33</v>
      </c>
      <c r="H1846" s="22">
        <f>'2085WL_Z'!$J13</f>
        <v>0.16787326826238891</v>
      </c>
      <c r="I1846" t="str">
        <f t="shared" si="137"/>
        <v>WL2085;zomer;48;60;0.167873268262389;TRUE;0.167873268262389</v>
      </c>
    </row>
    <row r="1847" spans="1:9" x14ac:dyDescent="0.25">
      <c r="A1847">
        <f t="shared" si="136"/>
        <v>91.3125</v>
      </c>
      <c r="B1847" t="s">
        <v>25</v>
      </c>
      <c r="C1847" t="s">
        <v>11</v>
      </c>
      <c r="D1847">
        <v>48</v>
      </c>
      <c r="E1847">
        <f t="shared" si="139"/>
        <v>65</v>
      </c>
      <c r="F1847" s="22">
        <f>'2085WL_Z'!$J14</f>
        <v>0.11485946013887205</v>
      </c>
      <c r="G1847" s="22" t="s">
        <v>33</v>
      </c>
      <c r="H1847" s="22">
        <f>'2085WL_Z'!$J14</f>
        <v>0.11485946013887205</v>
      </c>
      <c r="I1847" t="str">
        <f t="shared" si="137"/>
        <v>WL2085;zomer;48;65;0.114859460138872;TRUE;0.114859460138872</v>
      </c>
    </row>
    <row r="1848" spans="1:9" x14ac:dyDescent="0.25">
      <c r="A1848">
        <f t="shared" si="136"/>
        <v>91.3125</v>
      </c>
      <c r="B1848" t="s">
        <v>25</v>
      </c>
      <c r="C1848" t="s">
        <v>11</v>
      </c>
      <c r="D1848">
        <v>48</v>
      </c>
      <c r="E1848">
        <f t="shared" si="139"/>
        <v>70</v>
      </c>
      <c r="F1848" s="22">
        <f>'2085WL_Z'!$J15</f>
        <v>7.9178202920560381E-2</v>
      </c>
      <c r="G1848" s="22" t="s">
        <v>33</v>
      </c>
      <c r="H1848" s="22">
        <f>'2085WL_Z'!$J15</f>
        <v>7.9178202920560381E-2</v>
      </c>
      <c r="I1848" t="str">
        <f t="shared" si="137"/>
        <v>WL2085;zomer;48;70;7.91782029205604E-02;TRUE;7.91782029205604E-02</v>
      </c>
    </row>
    <row r="1849" spans="1:9" x14ac:dyDescent="0.25">
      <c r="A1849">
        <f t="shared" si="136"/>
        <v>91.3125</v>
      </c>
      <c r="B1849" t="s">
        <v>25</v>
      </c>
      <c r="C1849" t="s">
        <v>11</v>
      </c>
      <c r="D1849">
        <v>48</v>
      </c>
      <c r="E1849">
        <f t="shared" si="139"/>
        <v>75</v>
      </c>
      <c r="F1849" s="22">
        <f>'2085WL_Z'!$J16</f>
        <v>5.4975868559189622E-2</v>
      </c>
      <c r="G1849" s="22" t="s">
        <v>33</v>
      </c>
      <c r="H1849" s="22">
        <f>'2085WL_Z'!$J16</f>
        <v>5.4975868559189622E-2</v>
      </c>
      <c r="I1849" t="str">
        <f t="shared" si="137"/>
        <v>WL2085;zomer;48;75;5.49758685591896E-02;TRUE;5.49758685591896E-02</v>
      </c>
    </row>
    <row r="1850" spans="1:9" x14ac:dyDescent="0.25">
      <c r="A1850">
        <f t="shared" si="136"/>
        <v>91.3125</v>
      </c>
      <c r="B1850" t="s">
        <v>25</v>
      </c>
      <c r="C1850" t="s">
        <v>11</v>
      </c>
      <c r="D1850">
        <v>48</v>
      </c>
      <c r="E1850">
        <f t="shared" si="139"/>
        <v>80</v>
      </c>
      <c r="F1850" s="22">
        <f>'2085WL_Z'!$J17</f>
        <v>3.8436805207676769E-2</v>
      </c>
      <c r="G1850" s="22" t="s">
        <v>33</v>
      </c>
      <c r="H1850" s="22">
        <f>'2085WL_Z'!$J17</f>
        <v>3.8436805207676769E-2</v>
      </c>
      <c r="I1850" t="str">
        <f t="shared" si="137"/>
        <v>WL2085;zomer;48;80;3.84368052076768E-02;TRUE;3.84368052076768E-02</v>
      </c>
    </row>
    <row r="1851" spans="1:9" x14ac:dyDescent="0.25">
      <c r="A1851">
        <f t="shared" si="136"/>
        <v>91.3125</v>
      </c>
      <c r="B1851" t="s">
        <v>25</v>
      </c>
      <c r="C1851" t="s">
        <v>11</v>
      </c>
      <c r="D1851">
        <v>48</v>
      </c>
      <c r="E1851">
        <f t="shared" si="139"/>
        <v>85</v>
      </c>
      <c r="F1851" s="22">
        <f>'2085WL_Z'!$J18</f>
        <v>2.7053220943820816E-2</v>
      </c>
      <c r="G1851" s="22" t="s">
        <v>33</v>
      </c>
      <c r="H1851" s="22">
        <f>'2085WL_Z'!$J18</f>
        <v>2.7053220943820816E-2</v>
      </c>
      <c r="I1851" t="str">
        <f t="shared" si="137"/>
        <v>WL2085;zomer;48;85;2.70532209438208E-02;TRUE;2.70532209438208E-02</v>
      </c>
    </row>
    <row r="1852" spans="1:9" x14ac:dyDescent="0.25">
      <c r="A1852">
        <f t="shared" si="136"/>
        <v>91.3125</v>
      </c>
      <c r="B1852" t="s">
        <v>25</v>
      </c>
      <c r="C1852" t="s">
        <v>11</v>
      </c>
      <c r="D1852">
        <v>48</v>
      </c>
      <c r="E1852">
        <f t="shared" si="139"/>
        <v>90</v>
      </c>
      <c r="F1852" s="22">
        <f>'2085WL_Z'!$J19</f>
        <v>1.9163778579047261E-2</v>
      </c>
      <c r="G1852" s="22" t="s">
        <v>33</v>
      </c>
      <c r="H1852" s="22">
        <f>'2085WL_Z'!$J19</f>
        <v>1.9163778579047261E-2</v>
      </c>
      <c r="I1852" t="str">
        <f t="shared" si="137"/>
        <v>WL2085;zomer;48;90;1.91637785790473E-02;TRUE;1.91637785790473E-02</v>
      </c>
    </row>
    <row r="1853" spans="1:9" x14ac:dyDescent="0.25">
      <c r="A1853">
        <f t="shared" si="136"/>
        <v>91.3125</v>
      </c>
      <c r="B1853" t="s">
        <v>25</v>
      </c>
      <c r="C1853" t="s">
        <v>11</v>
      </c>
      <c r="D1853">
        <v>48</v>
      </c>
      <c r="E1853">
        <f t="shared" si="139"/>
        <v>95</v>
      </c>
      <c r="F1853" s="22">
        <f>'2085WL_Z'!$J20</f>
        <v>1.3659457604350243E-2</v>
      </c>
      <c r="G1853" s="22" t="s">
        <v>33</v>
      </c>
      <c r="H1853" s="22">
        <f>'2085WL_Z'!$J20</f>
        <v>1.3659457604350243E-2</v>
      </c>
      <c r="I1853" t="str">
        <f t="shared" si="137"/>
        <v>WL2085;zomer;48;95;1.36594576043502E-02;TRUE;1.36594576043502E-02</v>
      </c>
    </row>
    <row r="1854" spans="1:9" x14ac:dyDescent="0.25">
      <c r="A1854">
        <f t="shared" si="136"/>
        <v>91.3125</v>
      </c>
      <c r="B1854" t="s">
        <v>25</v>
      </c>
      <c r="C1854" t="s">
        <v>11</v>
      </c>
      <c r="D1854">
        <v>48</v>
      </c>
      <c r="E1854">
        <f t="shared" si="139"/>
        <v>100</v>
      </c>
      <c r="F1854" s="22">
        <f>'2085WL_Z'!$J21</f>
        <v>9.794469194135149E-3</v>
      </c>
      <c r="G1854" s="22" t="s">
        <v>33</v>
      </c>
      <c r="H1854" s="22">
        <f>'2085WL_Z'!$J21</f>
        <v>9.794469194135149E-3</v>
      </c>
      <c r="I1854" t="str">
        <f t="shared" si="137"/>
        <v>WL2085;zomer;48;100;9.79446919413515E-03;TRUE;9.79446919413515E-03</v>
      </c>
    </row>
    <row r="1855" spans="1:9" x14ac:dyDescent="0.25">
      <c r="A1855">
        <f t="shared" si="136"/>
        <v>91.3125</v>
      </c>
      <c r="B1855" t="s">
        <v>25</v>
      </c>
      <c r="C1855" t="s">
        <v>11</v>
      </c>
      <c r="D1855">
        <v>48</v>
      </c>
      <c r="E1855">
        <f t="shared" si="139"/>
        <v>105</v>
      </c>
      <c r="F1855" s="22">
        <f>'2085WL_Z'!$J22</f>
        <v>7.0637193706375445E-3</v>
      </c>
      <c r="G1855" s="22" t="s">
        <v>33</v>
      </c>
      <c r="H1855" s="22">
        <f>'2085WL_Z'!$J22</f>
        <v>7.0637193706375445E-3</v>
      </c>
      <c r="I1855" t="str">
        <f t="shared" si="137"/>
        <v>WL2085;zomer;48;105;7.06371937063754E-03;TRUE;7.06371937063754E-03</v>
      </c>
    </row>
    <row r="1856" spans="1:9" x14ac:dyDescent="0.25">
      <c r="A1856">
        <f t="shared" si="136"/>
        <v>91.3125</v>
      </c>
      <c r="B1856" t="s">
        <v>25</v>
      </c>
      <c r="C1856" t="s">
        <v>11</v>
      </c>
      <c r="D1856">
        <v>48</v>
      </c>
      <c r="E1856">
        <f t="shared" si="139"/>
        <v>110</v>
      </c>
      <c r="F1856" s="22">
        <f>'2085WL_Z'!$J23</f>
        <v>1.967952321380113E-2</v>
      </c>
      <c r="G1856" s="22" t="s">
        <v>33</v>
      </c>
      <c r="H1856" s="22">
        <f>'2085WL_Z'!$J23</f>
        <v>1.967952321380113E-2</v>
      </c>
      <c r="I1856" t="str">
        <f t="shared" si="137"/>
        <v>WL2085;zomer;48;110;1.96795232138011E-02;TRUE;1.96795232138011E-02</v>
      </c>
    </row>
    <row r="1857" spans="1:9" x14ac:dyDescent="0.25">
      <c r="A1857">
        <f t="shared" si="136"/>
        <v>45.65625</v>
      </c>
      <c r="B1857" t="s">
        <v>25</v>
      </c>
      <c r="C1857" t="s">
        <v>11</v>
      </c>
      <c r="D1857">
        <v>96</v>
      </c>
      <c r="E1857">
        <v>20</v>
      </c>
      <c r="F1857" s="22">
        <f>'2085WL_Z'!$N5</f>
        <v>78.857860369764325</v>
      </c>
      <c r="G1857" s="22" t="s">
        <v>33</v>
      </c>
      <c r="H1857" s="22">
        <f>'2085WL_Z'!$N5</f>
        <v>78.857860369764325</v>
      </c>
      <c r="I1857" t="str">
        <f t="shared" si="137"/>
        <v>WL2085;zomer;96;20;78.8578603697643;TRUE;78.8578603697643</v>
      </c>
    </row>
    <row r="1858" spans="1:9" x14ac:dyDescent="0.25">
      <c r="A1858">
        <f t="shared" ref="A1858:A1921" si="140">IF(C1858="zomer",24/D1858*365.25 * 6/12,24/D1858*365.25 * 6/12)</f>
        <v>45.65625</v>
      </c>
      <c r="B1858" t="s">
        <v>25</v>
      </c>
      <c r="C1858" t="s">
        <v>11</v>
      </c>
      <c r="D1858">
        <v>96</v>
      </c>
      <c r="E1858">
        <f>E1857+5</f>
        <v>25</v>
      </c>
      <c r="F1858" s="22">
        <f>'2085WL_Z'!$N6</f>
        <v>3.4300506929443575</v>
      </c>
      <c r="G1858" s="22" t="s">
        <v>33</v>
      </c>
      <c r="H1858" s="22">
        <f>'2085WL_Z'!$N6</f>
        <v>3.4300506929443575</v>
      </c>
      <c r="I1858" t="str">
        <f t="shared" ref="I1858:I1921" si="141">CONCATENATEWITHDELIMITER(B1858:H1858,";")</f>
        <v>WL2085;zomer;96;25;3.43005069294436;TRUE;3.43005069294436</v>
      </c>
    </row>
    <row r="1859" spans="1:9" x14ac:dyDescent="0.25">
      <c r="A1859">
        <f t="shared" si="140"/>
        <v>45.65625</v>
      </c>
      <c r="B1859" t="s">
        <v>25</v>
      </c>
      <c r="C1859" t="s">
        <v>11</v>
      </c>
      <c r="D1859">
        <v>96</v>
      </c>
      <c r="E1859">
        <f t="shared" ref="E1859:E1877" si="142">E1858+5</f>
        <v>30</v>
      </c>
      <c r="F1859" s="22">
        <f>'2085WL_Z'!$N7</f>
        <v>2.4705618949795483</v>
      </c>
      <c r="G1859" s="22" t="s">
        <v>33</v>
      </c>
      <c r="H1859" s="22">
        <f>'2085WL_Z'!$N7</f>
        <v>2.4705618949795483</v>
      </c>
      <c r="I1859" t="str">
        <f t="shared" si="141"/>
        <v>WL2085;zomer;96;30;2.47056189497955;TRUE;2.47056189497955</v>
      </c>
    </row>
    <row r="1860" spans="1:9" x14ac:dyDescent="0.25">
      <c r="A1860">
        <f t="shared" si="140"/>
        <v>45.65625</v>
      </c>
      <c r="B1860" t="s">
        <v>25</v>
      </c>
      <c r="C1860" t="s">
        <v>11</v>
      </c>
      <c r="D1860">
        <v>96</v>
      </c>
      <c r="E1860">
        <f t="shared" si="142"/>
        <v>35</v>
      </c>
      <c r="F1860" s="22">
        <f>'2085WL_Z'!$N8</f>
        <v>1.7835720257161309</v>
      </c>
      <c r="G1860" s="22" t="s">
        <v>33</v>
      </c>
      <c r="H1860" s="22">
        <f>'2085WL_Z'!$N8</f>
        <v>1.7835720257161309</v>
      </c>
      <c r="I1860" t="str">
        <f t="shared" si="141"/>
        <v>WL2085;zomer;96;35;1.78357202571613;TRUE;1.78357202571613</v>
      </c>
    </row>
    <row r="1861" spans="1:9" x14ac:dyDescent="0.25">
      <c r="A1861">
        <f t="shared" si="140"/>
        <v>45.65625</v>
      </c>
      <c r="B1861" t="s">
        <v>25</v>
      </c>
      <c r="C1861" t="s">
        <v>11</v>
      </c>
      <c r="D1861">
        <v>96</v>
      </c>
      <c r="E1861">
        <f t="shared" si="142"/>
        <v>40</v>
      </c>
      <c r="F1861" s="22">
        <f>'2085WL_Z'!$N9</f>
        <v>1.290539634697581</v>
      </c>
      <c r="G1861" s="22" t="s">
        <v>33</v>
      </c>
      <c r="H1861" s="22">
        <f>'2085WL_Z'!$N9</f>
        <v>1.290539634697581</v>
      </c>
      <c r="I1861" t="str">
        <f t="shared" si="141"/>
        <v>WL2085;zomer;96;40;1.29053963469758;TRUE;1.29053963469758</v>
      </c>
    </row>
    <row r="1862" spans="1:9" x14ac:dyDescent="0.25">
      <c r="A1862">
        <f t="shared" si="140"/>
        <v>45.65625</v>
      </c>
      <c r="B1862" t="s">
        <v>25</v>
      </c>
      <c r="C1862" t="s">
        <v>11</v>
      </c>
      <c r="D1862">
        <v>96</v>
      </c>
      <c r="E1862">
        <f t="shared" si="142"/>
        <v>45</v>
      </c>
      <c r="F1862" s="22">
        <f>'2085WL_Z'!$N10</f>
        <v>0.93588865188342663</v>
      </c>
      <c r="G1862" s="22" t="s">
        <v>33</v>
      </c>
      <c r="H1862" s="22">
        <f>'2085WL_Z'!$N10</f>
        <v>0.93588865188342663</v>
      </c>
      <c r="I1862" t="str">
        <f t="shared" si="141"/>
        <v>WL2085;zomer;96;45;0.935888651883427;TRUE;0.935888651883427</v>
      </c>
    </row>
    <row r="1863" spans="1:9" x14ac:dyDescent="0.25">
      <c r="A1863">
        <f t="shared" si="140"/>
        <v>45.65625</v>
      </c>
      <c r="B1863" t="s">
        <v>25</v>
      </c>
      <c r="C1863" t="s">
        <v>11</v>
      </c>
      <c r="D1863">
        <v>96</v>
      </c>
      <c r="E1863">
        <f t="shared" si="142"/>
        <v>50</v>
      </c>
      <c r="F1863" s="22">
        <f>'2085WL_Z'!$N11</f>
        <v>0.68019869416681367</v>
      </c>
      <c r="G1863" s="22" t="s">
        <v>33</v>
      </c>
      <c r="H1863" s="22">
        <f>'2085WL_Z'!$N11</f>
        <v>0.68019869416681367</v>
      </c>
      <c r="I1863" t="str">
        <f t="shared" si="141"/>
        <v>WL2085;zomer;96;50;0.680198694166814;TRUE;0.680198694166814</v>
      </c>
    </row>
    <row r="1864" spans="1:9" x14ac:dyDescent="0.25">
      <c r="A1864">
        <f t="shared" si="140"/>
        <v>45.65625</v>
      </c>
      <c r="B1864" t="s">
        <v>25</v>
      </c>
      <c r="C1864" t="s">
        <v>11</v>
      </c>
      <c r="D1864">
        <v>96</v>
      </c>
      <c r="E1864">
        <f t="shared" si="142"/>
        <v>55</v>
      </c>
      <c r="F1864" s="22">
        <f>'2085WL_Z'!$N12</f>
        <v>0.4954423162377728</v>
      </c>
      <c r="G1864" s="22" t="s">
        <v>33</v>
      </c>
      <c r="H1864" s="22">
        <f>'2085WL_Z'!$N12</f>
        <v>0.4954423162377728</v>
      </c>
      <c r="I1864" t="str">
        <f t="shared" si="141"/>
        <v>WL2085;zomer;96;55;0.495442316237773;TRUE;0.495442316237773</v>
      </c>
    </row>
    <row r="1865" spans="1:9" x14ac:dyDescent="0.25">
      <c r="A1865">
        <f t="shared" si="140"/>
        <v>45.65625</v>
      </c>
      <c r="B1865" t="s">
        <v>25</v>
      </c>
      <c r="C1865" t="s">
        <v>11</v>
      </c>
      <c r="D1865">
        <v>96</v>
      </c>
      <c r="E1865">
        <f t="shared" si="142"/>
        <v>60</v>
      </c>
      <c r="F1865" s="22">
        <f>'2085WL_Z'!$N13</f>
        <v>0.36164567086255661</v>
      </c>
      <c r="G1865" s="22" t="s">
        <v>33</v>
      </c>
      <c r="H1865" s="22">
        <f>'2085WL_Z'!$N13</f>
        <v>0.36164567086255661</v>
      </c>
      <c r="I1865" t="str">
        <f t="shared" si="141"/>
        <v>WL2085;zomer;96;60;0.361645670862557;TRUE;0.361645670862557</v>
      </c>
    </row>
    <row r="1866" spans="1:9" x14ac:dyDescent="0.25">
      <c r="A1866">
        <f t="shared" si="140"/>
        <v>45.65625</v>
      </c>
      <c r="B1866" t="s">
        <v>25</v>
      </c>
      <c r="C1866" t="s">
        <v>11</v>
      </c>
      <c r="D1866">
        <v>96</v>
      </c>
      <c r="E1866">
        <f t="shared" si="142"/>
        <v>65</v>
      </c>
      <c r="F1866" s="22">
        <f>'2085WL_Z'!$N14</f>
        <v>0.2645414633602553</v>
      </c>
      <c r="G1866" s="22" t="s">
        <v>33</v>
      </c>
      <c r="H1866" s="22">
        <f>'2085WL_Z'!$N14</f>
        <v>0.2645414633602553</v>
      </c>
      <c r="I1866" t="str">
        <f t="shared" si="141"/>
        <v>WL2085;zomer;96;65;0.264541463360255;TRUE;0.264541463360255</v>
      </c>
    </row>
    <row r="1867" spans="1:9" x14ac:dyDescent="0.25">
      <c r="A1867">
        <f t="shared" si="140"/>
        <v>45.65625</v>
      </c>
      <c r="B1867" t="s">
        <v>25</v>
      </c>
      <c r="C1867" t="s">
        <v>11</v>
      </c>
      <c r="D1867">
        <v>96</v>
      </c>
      <c r="E1867">
        <f t="shared" si="142"/>
        <v>70</v>
      </c>
      <c r="F1867" s="22">
        <f>'2085WL_Z'!$N15</f>
        <v>0.19391536860058511</v>
      </c>
      <c r="G1867" s="22" t="s">
        <v>33</v>
      </c>
      <c r="H1867" s="22">
        <f>'2085WL_Z'!$N15</f>
        <v>0.19391536860058511</v>
      </c>
      <c r="I1867" t="str">
        <f t="shared" si="141"/>
        <v>WL2085;zomer;96;70;0.193915368600585;TRUE;0.193915368600585</v>
      </c>
    </row>
    <row r="1868" spans="1:9" x14ac:dyDescent="0.25">
      <c r="A1868">
        <f t="shared" si="140"/>
        <v>45.65625</v>
      </c>
      <c r="B1868" t="s">
        <v>25</v>
      </c>
      <c r="C1868" t="s">
        <v>11</v>
      </c>
      <c r="D1868">
        <v>96</v>
      </c>
      <c r="E1868">
        <f t="shared" si="142"/>
        <v>75</v>
      </c>
      <c r="F1868" s="22">
        <f>'2085WL_Z'!$N16</f>
        <v>0.14243825400163168</v>
      </c>
      <c r="G1868" s="22" t="s">
        <v>33</v>
      </c>
      <c r="H1868" s="22">
        <f>'2085WL_Z'!$N16</f>
        <v>0.14243825400163168</v>
      </c>
      <c r="I1868" t="str">
        <f t="shared" si="141"/>
        <v>WL2085;zomer;96;75;0.142438254001632;TRUE;0.142438254001632</v>
      </c>
    </row>
    <row r="1869" spans="1:9" x14ac:dyDescent="0.25">
      <c r="A1869">
        <f t="shared" si="140"/>
        <v>45.65625</v>
      </c>
      <c r="B1869" t="s">
        <v>25</v>
      </c>
      <c r="C1869" t="s">
        <v>11</v>
      </c>
      <c r="D1869">
        <v>96</v>
      </c>
      <c r="E1869">
        <f t="shared" si="142"/>
        <v>80</v>
      </c>
      <c r="F1869" s="22">
        <f>'2085WL_Z'!$N17</f>
        <v>0.10483955286197227</v>
      </c>
      <c r="G1869" s="22" t="s">
        <v>33</v>
      </c>
      <c r="H1869" s="22">
        <f>'2085WL_Z'!$N17</f>
        <v>0.10483955286197227</v>
      </c>
      <c r="I1869" t="str">
        <f t="shared" si="141"/>
        <v>WL2085;zomer;96;80;0.104839552861972;TRUE;0.104839552861972</v>
      </c>
    </row>
    <row r="1870" spans="1:9" x14ac:dyDescent="0.25">
      <c r="A1870">
        <f t="shared" si="140"/>
        <v>45.65625</v>
      </c>
      <c r="B1870" t="s">
        <v>25</v>
      </c>
      <c r="C1870" t="s">
        <v>11</v>
      </c>
      <c r="D1870">
        <v>96</v>
      </c>
      <c r="E1870">
        <f t="shared" si="142"/>
        <v>85</v>
      </c>
      <c r="F1870" s="22">
        <f>'2085WL_Z'!$N18</f>
        <v>7.7320773969270062E-2</v>
      </c>
      <c r="G1870" s="22" t="s">
        <v>33</v>
      </c>
      <c r="H1870" s="22">
        <f>'2085WL_Z'!$N18</f>
        <v>7.7320773969270062E-2</v>
      </c>
      <c r="I1870" t="str">
        <f t="shared" si="141"/>
        <v>WL2085;zomer;96;85;7.73207739692701E-02;TRUE;7.73207739692701E-02</v>
      </c>
    </row>
    <row r="1871" spans="1:9" x14ac:dyDescent="0.25">
      <c r="A1871">
        <f t="shared" si="140"/>
        <v>45.65625</v>
      </c>
      <c r="B1871" t="s">
        <v>25</v>
      </c>
      <c r="C1871" t="s">
        <v>11</v>
      </c>
      <c r="D1871">
        <v>96</v>
      </c>
      <c r="E1871">
        <f t="shared" si="142"/>
        <v>90</v>
      </c>
      <c r="F1871" s="22">
        <f>'2085WL_Z'!$N19</f>
        <v>5.7138439161859123E-2</v>
      </c>
      <c r="G1871" s="22" t="s">
        <v>33</v>
      </c>
      <c r="H1871" s="22">
        <f>'2085WL_Z'!$N19</f>
        <v>5.7138439161859123E-2</v>
      </c>
      <c r="I1871" t="str">
        <f t="shared" si="141"/>
        <v>WL2085;zomer;96;90;5.71384391618591E-02;TRUE;5.71384391618591E-02</v>
      </c>
    </row>
    <row r="1872" spans="1:9" x14ac:dyDescent="0.25">
      <c r="A1872">
        <f t="shared" si="140"/>
        <v>45.65625</v>
      </c>
      <c r="B1872" t="s">
        <v>25</v>
      </c>
      <c r="C1872" t="s">
        <v>11</v>
      </c>
      <c r="D1872">
        <v>96</v>
      </c>
      <c r="E1872">
        <f t="shared" si="142"/>
        <v>95</v>
      </c>
      <c r="F1872" s="22">
        <f>'2085WL_Z'!$N20</f>
        <v>4.2306836727899144E-2</v>
      </c>
      <c r="G1872" s="22" t="s">
        <v>33</v>
      </c>
      <c r="H1872" s="22">
        <f>'2085WL_Z'!$N20</f>
        <v>4.2306836727899144E-2</v>
      </c>
      <c r="I1872" t="str">
        <f t="shared" si="141"/>
        <v>WL2085;zomer;96;95;4.23068367278991E-02;TRUE;4.23068367278991E-02</v>
      </c>
    </row>
    <row r="1873" spans="1:9" x14ac:dyDescent="0.25">
      <c r="A1873">
        <f t="shared" si="140"/>
        <v>45.65625</v>
      </c>
      <c r="B1873" t="s">
        <v>25</v>
      </c>
      <c r="C1873" t="s">
        <v>11</v>
      </c>
      <c r="D1873">
        <v>96</v>
      </c>
      <c r="E1873">
        <f t="shared" si="142"/>
        <v>100</v>
      </c>
      <c r="F1873" s="22">
        <f>'2085WL_Z'!$N21</f>
        <v>3.1385699124848856E-2</v>
      </c>
      <c r="G1873" s="22" t="s">
        <v>33</v>
      </c>
      <c r="H1873" s="22">
        <f>'2085WL_Z'!$N21</f>
        <v>3.1385699124848856E-2</v>
      </c>
      <c r="I1873" t="str">
        <f t="shared" si="141"/>
        <v>WL2085;zomer;96;100;3.13856991248489E-02;TRUE;3.13856991248489E-02</v>
      </c>
    </row>
    <row r="1874" spans="1:9" x14ac:dyDescent="0.25">
      <c r="A1874">
        <f t="shared" si="140"/>
        <v>45.65625</v>
      </c>
      <c r="B1874" t="s">
        <v>25</v>
      </c>
      <c r="C1874" t="s">
        <v>11</v>
      </c>
      <c r="D1874">
        <v>96</v>
      </c>
      <c r="E1874">
        <f t="shared" si="142"/>
        <v>105</v>
      </c>
      <c r="F1874" s="22">
        <f>'2085WL_Z'!$N22</f>
        <v>2.3328209639076392E-2</v>
      </c>
      <c r="G1874" s="22" t="s">
        <v>33</v>
      </c>
      <c r="H1874" s="22">
        <f>'2085WL_Z'!$N22</f>
        <v>2.3328209639076392E-2</v>
      </c>
      <c r="I1874" t="str">
        <f t="shared" si="141"/>
        <v>WL2085;zomer;96;105;2.33282096390764E-02;TRUE;2.33282096390764E-02</v>
      </c>
    </row>
    <row r="1875" spans="1:9" x14ac:dyDescent="0.25">
      <c r="A1875">
        <f t="shared" si="140"/>
        <v>45.65625</v>
      </c>
      <c r="B1875" t="s">
        <v>25</v>
      </c>
      <c r="C1875" t="s">
        <v>11</v>
      </c>
      <c r="D1875">
        <v>96</v>
      </c>
      <c r="E1875">
        <f t="shared" si="142"/>
        <v>110</v>
      </c>
      <c r="F1875" s="22">
        <f>'2085WL_Z'!$N23</f>
        <v>1.7371960947613077E-2</v>
      </c>
      <c r="G1875" s="22" t="s">
        <v>33</v>
      </c>
      <c r="H1875" s="22">
        <f>'2085WL_Z'!$N23</f>
        <v>1.7371960947613077E-2</v>
      </c>
      <c r="I1875" t="str">
        <f t="shared" si="141"/>
        <v>WL2085;zomer;96;110;1.73719609476131E-02;TRUE;1.73719609476131E-02</v>
      </c>
    </row>
    <row r="1876" spans="1:9" x14ac:dyDescent="0.25">
      <c r="A1876">
        <f t="shared" si="140"/>
        <v>45.65625</v>
      </c>
      <c r="B1876" t="s">
        <v>25</v>
      </c>
      <c r="C1876" t="s">
        <v>11</v>
      </c>
      <c r="D1876">
        <v>96</v>
      </c>
      <c r="E1876">
        <f t="shared" si="142"/>
        <v>115</v>
      </c>
      <c r="F1876" s="22">
        <f>'2085WL_Z'!$N24</f>
        <v>1.2960560807195078E-2</v>
      </c>
      <c r="G1876" s="22" t="s">
        <v>33</v>
      </c>
      <c r="H1876" s="22">
        <f>'2085WL_Z'!$N24</f>
        <v>1.2960560807195078E-2</v>
      </c>
      <c r="I1876" t="str">
        <f t="shared" si="141"/>
        <v>WL2085;zomer;96;115;1.29605608071951E-02;TRUE;1.29605608071951E-02</v>
      </c>
    </row>
    <row r="1877" spans="1:9" x14ac:dyDescent="0.25">
      <c r="A1877">
        <f t="shared" si="140"/>
        <v>45.65625</v>
      </c>
      <c r="B1877" t="s">
        <v>25</v>
      </c>
      <c r="C1877" t="s">
        <v>11</v>
      </c>
      <c r="D1877">
        <v>96</v>
      </c>
      <c r="E1877">
        <f t="shared" si="142"/>
        <v>120</v>
      </c>
      <c r="F1877" s="22">
        <f>'2085WL_Z'!$N25</f>
        <v>3.9192929545280135E-2</v>
      </c>
      <c r="G1877" s="22" t="s">
        <v>33</v>
      </c>
      <c r="H1877" s="22">
        <f>'2085WL_Z'!$N25</f>
        <v>3.9192929545280135E-2</v>
      </c>
      <c r="I1877" t="str">
        <f t="shared" si="141"/>
        <v>WL2085;zomer;96;120;3.91929295452801E-02;TRUE;3.91929295452801E-02</v>
      </c>
    </row>
    <row r="1878" spans="1:9" x14ac:dyDescent="0.25">
      <c r="A1878">
        <f t="shared" si="140"/>
        <v>22.828125</v>
      </c>
      <c r="B1878" t="s">
        <v>25</v>
      </c>
      <c r="C1878" t="s">
        <v>11</v>
      </c>
      <c r="D1878">
        <v>192</v>
      </c>
      <c r="E1878">
        <v>20</v>
      </c>
      <c r="F1878" s="22">
        <f>'2085WL_Z'!$R5</f>
        <v>32.183398885770806</v>
      </c>
      <c r="G1878" s="22" t="s">
        <v>33</v>
      </c>
      <c r="H1878" s="22">
        <f>'2085WL_Z'!$R5</f>
        <v>32.183398885770806</v>
      </c>
      <c r="I1878" t="str">
        <f t="shared" si="141"/>
        <v>WL2085;zomer;192;20;32.1833988857708;TRUE;32.1833988857708</v>
      </c>
    </row>
    <row r="1879" spans="1:9" x14ac:dyDescent="0.25">
      <c r="A1879">
        <f t="shared" si="140"/>
        <v>22.828125</v>
      </c>
      <c r="B1879" t="s">
        <v>25</v>
      </c>
      <c r="C1879" t="s">
        <v>11</v>
      </c>
      <c r="D1879">
        <v>192</v>
      </c>
      <c r="E1879">
        <f>E1878+5</f>
        <v>25</v>
      </c>
      <c r="F1879" s="22">
        <f>'2085WL_Z'!$R6</f>
        <v>2.5359569704373932</v>
      </c>
      <c r="G1879" s="22" t="s">
        <v>33</v>
      </c>
      <c r="H1879" s="22">
        <f>'2085WL_Z'!$R6</f>
        <v>2.5359569704373932</v>
      </c>
      <c r="I1879" t="str">
        <f t="shared" si="141"/>
        <v>WL2085;zomer;192;25;2.53595697043739;TRUE;2.53595697043739</v>
      </c>
    </row>
    <row r="1880" spans="1:9" x14ac:dyDescent="0.25">
      <c r="A1880">
        <f t="shared" si="140"/>
        <v>22.828125</v>
      </c>
      <c r="B1880" t="s">
        <v>25</v>
      </c>
      <c r="C1880" t="s">
        <v>11</v>
      </c>
      <c r="D1880">
        <v>192</v>
      </c>
      <c r="E1880">
        <f t="shared" ref="E1880:E1904" si="143">E1879+5</f>
        <v>30</v>
      </c>
      <c r="F1880" s="22">
        <f>'2085WL_Z'!$R7</f>
        <v>2.0765349758400955</v>
      </c>
      <c r="G1880" s="22" t="s">
        <v>33</v>
      </c>
      <c r="H1880" s="22">
        <f>'2085WL_Z'!$R7</f>
        <v>2.0765349758400955</v>
      </c>
      <c r="I1880" t="str">
        <f t="shared" si="141"/>
        <v>WL2085;zomer;192;30;2.0765349758401;TRUE;2.0765349758401</v>
      </c>
    </row>
    <row r="1881" spans="1:9" x14ac:dyDescent="0.25">
      <c r="A1881">
        <f t="shared" si="140"/>
        <v>22.828125</v>
      </c>
      <c r="B1881" t="s">
        <v>25</v>
      </c>
      <c r="C1881" t="s">
        <v>11</v>
      </c>
      <c r="D1881">
        <v>192</v>
      </c>
      <c r="E1881">
        <f t="shared" si="143"/>
        <v>35</v>
      </c>
      <c r="F1881" s="22">
        <f>'2085WL_Z'!$R8</f>
        <v>1.6970399132608547</v>
      </c>
      <c r="G1881" s="22" t="s">
        <v>33</v>
      </c>
      <c r="H1881" s="22">
        <f>'2085WL_Z'!$R8</f>
        <v>1.6970399132608547</v>
      </c>
      <c r="I1881" t="str">
        <f t="shared" si="141"/>
        <v>WL2085;zomer;192;35;1.69703991326085;TRUE;1.69703991326085</v>
      </c>
    </row>
    <row r="1882" spans="1:9" x14ac:dyDescent="0.25">
      <c r="A1882">
        <f t="shared" si="140"/>
        <v>22.828125</v>
      </c>
      <c r="B1882" t="s">
        <v>25</v>
      </c>
      <c r="C1882" t="s">
        <v>11</v>
      </c>
      <c r="D1882">
        <v>192</v>
      </c>
      <c r="E1882">
        <f t="shared" si="143"/>
        <v>40</v>
      </c>
      <c r="F1882" s="22">
        <f>'2085WL_Z'!$R9</f>
        <v>1.3841517475273433</v>
      </c>
      <c r="G1882" s="22" t="s">
        <v>33</v>
      </c>
      <c r="H1882" s="22">
        <f>'2085WL_Z'!$R9</f>
        <v>1.3841517475273433</v>
      </c>
      <c r="I1882" t="str">
        <f t="shared" si="141"/>
        <v>WL2085;zomer;192;40;1.38415174752734;TRUE;1.38415174752734</v>
      </c>
    </row>
    <row r="1883" spans="1:9" x14ac:dyDescent="0.25">
      <c r="A1883">
        <f t="shared" si="140"/>
        <v>22.828125</v>
      </c>
      <c r="B1883" t="s">
        <v>25</v>
      </c>
      <c r="C1883" t="s">
        <v>11</v>
      </c>
      <c r="D1883">
        <v>192</v>
      </c>
      <c r="E1883">
        <f t="shared" si="143"/>
        <v>45</v>
      </c>
      <c r="F1883" s="22">
        <f>'2085WL_Z'!$R10</f>
        <v>1.1266709815391858</v>
      </c>
      <c r="G1883" s="22" t="s">
        <v>33</v>
      </c>
      <c r="H1883" s="22">
        <f>'2085WL_Z'!$R10</f>
        <v>1.1266709815391858</v>
      </c>
      <c r="I1883" t="str">
        <f t="shared" si="141"/>
        <v>WL2085;zomer;192;45;1.12667098153919;TRUE;1.12667098153919</v>
      </c>
    </row>
    <row r="1884" spans="1:9" x14ac:dyDescent="0.25">
      <c r="A1884">
        <f t="shared" si="140"/>
        <v>22.828125</v>
      </c>
      <c r="B1884" t="s">
        <v>25</v>
      </c>
      <c r="C1884" t="s">
        <v>11</v>
      </c>
      <c r="D1884">
        <v>192</v>
      </c>
      <c r="E1884">
        <f t="shared" si="143"/>
        <v>50</v>
      </c>
      <c r="F1884" s="22">
        <f>'2085WL_Z'!$R11</f>
        <v>0.91519716458546352</v>
      </c>
      <c r="G1884" s="22" t="s">
        <v>33</v>
      </c>
      <c r="H1884" s="22">
        <f>'2085WL_Z'!$R11</f>
        <v>0.91519716458546352</v>
      </c>
      <c r="I1884" t="str">
        <f t="shared" si="141"/>
        <v>WL2085;zomer;192;50;0.915197164585464;TRUE;0.915197164585464</v>
      </c>
    </row>
    <row r="1885" spans="1:9" x14ac:dyDescent="0.25">
      <c r="A1885">
        <f t="shared" si="140"/>
        <v>22.828125</v>
      </c>
      <c r="B1885" t="s">
        <v>25</v>
      </c>
      <c r="C1885" t="s">
        <v>11</v>
      </c>
      <c r="D1885">
        <v>192</v>
      </c>
      <c r="E1885">
        <f t="shared" si="143"/>
        <v>55</v>
      </c>
      <c r="F1885" s="22">
        <f>'2085WL_Z'!$R12</f>
        <v>0.74185365593415398</v>
      </c>
      <c r="G1885" s="22" t="s">
        <v>33</v>
      </c>
      <c r="H1885" s="22">
        <f>'2085WL_Z'!$R12</f>
        <v>0.74185365593415398</v>
      </c>
      <c r="I1885" t="str">
        <f t="shared" si="141"/>
        <v>WL2085;zomer;192;55;0.741853655934154;TRUE;0.741853655934154</v>
      </c>
    </row>
    <row r="1886" spans="1:9" x14ac:dyDescent="0.25">
      <c r="A1886">
        <f t="shared" si="140"/>
        <v>22.828125</v>
      </c>
      <c r="B1886" t="s">
        <v>25</v>
      </c>
      <c r="C1886" t="s">
        <v>11</v>
      </c>
      <c r="D1886">
        <v>192</v>
      </c>
      <c r="E1886">
        <f t="shared" si="143"/>
        <v>60</v>
      </c>
      <c r="F1886" s="22">
        <f>'2085WL_Z'!$R13</f>
        <v>0.60005235293771708</v>
      </c>
      <c r="G1886" s="22" t="s">
        <v>33</v>
      </c>
      <c r="H1886" s="22">
        <f>'2085WL_Z'!$R13</f>
        <v>0.60005235293771708</v>
      </c>
      <c r="I1886" t="str">
        <f t="shared" si="141"/>
        <v>WL2085;zomer;192;60;0.600052352937717;TRUE;0.600052352937717</v>
      </c>
    </row>
    <row r="1887" spans="1:9" x14ac:dyDescent="0.25">
      <c r="A1887">
        <f t="shared" si="140"/>
        <v>22.828125</v>
      </c>
      <c r="B1887" t="s">
        <v>25</v>
      </c>
      <c r="C1887" t="s">
        <v>11</v>
      </c>
      <c r="D1887">
        <v>192</v>
      </c>
      <c r="E1887">
        <f t="shared" si="143"/>
        <v>65</v>
      </c>
      <c r="F1887" s="22">
        <f>'2085WL_Z'!$R14</f>
        <v>0.48429289797461372</v>
      </c>
      <c r="G1887" s="22" t="s">
        <v>33</v>
      </c>
      <c r="H1887" s="22">
        <f>'2085WL_Z'!$R14</f>
        <v>0.48429289797461372</v>
      </c>
      <c r="I1887" t="str">
        <f t="shared" si="141"/>
        <v>WL2085;zomer;192;65;0.484292897974614;TRUE;0.484292897974614</v>
      </c>
    </row>
    <row r="1888" spans="1:9" x14ac:dyDescent="0.25">
      <c r="A1888">
        <f t="shared" si="140"/>
        <v>22.828125</v>
      </c>
      <c r="B1888" t="s">
        <v>25</v>
      </c>
      <c r="C1888" t="s">
        <v>11</v>
      </c>
      <c r="D1888">
        <v>192</v>
      </c>
      <c r="E1888">
        <f t="shared" si="143"/>
        <v>70</v>
      </c>
      <c r="F1888" s="22">
        <f>'2085WL_Z'!$R15</f>
        <v>0.389991587158808</v>
      </c>
      <c r="G1888" s="22" t="s">
        <v>33</v>
      </c>
      <c r="H1888" s="22">
        <f>'2085WL_Z'!$R15</f>
        <v>0.389991587158808</v>
      </c>
      <c r="I1888" t="str">
        <f t="shared" si="141"/>
        <v>WL2085;zomer;192;70;0.389991587158808;TRUE;0.389991587158808</v>
      </c>
    </row>
    <row r="1889" spans="1:9" x14ac:dyDescent="0.25">
      <c r="A1889">
        <f t="shared" si="140"/>
        <v>22.828125</v>
      </c>
      <c r="B1889" t="s">
        <v>25</v>
      </c>
      <c r="C1889" t="s">
        <v>11</v>
      </c>
      <c r="D1889">
        <v>192</v>
      </c>
      <c r="E1889">
        <f t="shared" si="143"/>
        <v>75</v>
      </c>
      <c r="F1889" s="22">
        <f>'2085WL_Z'!$R16</f>
        <v>0.31333582667053461</v>
      </c>
      <c r="G1889" s="22" t="s">
        <v>33</v>
      </c>
      <c r="H1889" s="22">
        <f>'2085WL_Z'!$R16</f>
        <v>0.31333582667053461</v>
      </c>
      <c r="I1889" t="str">
        <f t="shared" si="141"/>
        <v>WL2085;zomer;192;75;0.313335826670535;TRUE;0.313335826670535</v>
      </c>
    </row>
    <row r="1890" spans="1:9" x14ac:dyDescent="0.25">
      <c r="A1890">
        <f t="shared" si="140"/>
        <v>22.828125</v>
      </c>
      <c r="B1890" t="s">
        <v>25</v>
      </c>
      <c r="C1890" t="s">
        <v>11</v>
      </c>
      <c r="D1890">
        <v>192</v>
      </c>
      <c r="E1890">
        <f t="shared" si="143"/>
        <v>80</v>
      </c>
      <c r="F1890" s="22">
        <f>'2085WL_Z'!$R17</f>
        <v>0.25116052943227862</v>
      </c>
      <c r="G1890" s="22" t="s">
        <v>33</v>
      </c>
      <c r="H1890" s="22">
        <f>'2085WL_Z'!$R17</f>
        <v>0.25116052943227862</v>
      </c>
      <c r="I1890" t="str">
        <f t="shared" si="141"/>
        <v>WL2085;zomer;192;80;0.251160529432279;TRUE;0.251160529432279</v>
      </c>
    </row>
    <row r="1891" spans="1:9" x14ac:dyDescent="0.25">
      <c r="A1891">
        <f t="shared" si="140"/>
        <v>22.828125</v>
      </c>
      <c r="B1891" t="s">
        <v>25</v>
      </c>
      <c r="C1891" t="s">
        <v>11</v>
      </c>
      <c r="D1891">
        <v>192</v>
      </c>
      <c r="E1891">
        <f t="shared" si="143"/>
        <v>85</v>
      </c>
      <c r="F1891" s="22">
        <f>'2085WL_Z'!$R18</f>
        <v>0.20084332431511143</v>
      </c>
      <c r="G1891" s="22" t="s">
        <v>33</v>
      </c>
      <c r="H1891" s="22">
        <f>'2085WL_Z'!$R18</f>
        <v>0.20084332431511143</v>
      </c>
      <c r="I1891" t="str">
        <f t="shared" si="141"/>
        <v>WL2085;zomer;192;85;0.200843324315111;TRUE;0.200843324315111</v>
      </c>
    </row>
    <row r="1892" spans="1:9" x14ac:dyDescent="0.25">
      <c r="A1892">
        <f t="shared" si="140"/>
        <v>22.828125</v>
      </c>
      <c r="B1892" t="s">
        <v>25</v>
      </c>
      <c r="C1892" t="s">
        <v>11</v>
      </c>
      <c r="D1892">
        <v>192</v>
      </c>
      <c r="E1892">
        <f t="shared" si="143"/>
        <v>90</v>
      </c>
      <c r="F1892" s="22">
        <f>'2085WL_Z'!$R19</f>
        <v>0.16021586984347924</v>
      </c>
      <c r="G1892" s="22" t="s">
        <v>33</v>
      </c>
      <c r="H1892" s="22">
        <f>'2085WL_Z'!$R19</f>
        <v>0.16021586984347924</v>
      </c>
      <c r="I1892" t="str">
        <f t="shared" si="141"/>
        <v>WL2085;zomer;192;90;0.160215869843479;TRUE;0.160215869843479</v>
      </c>
    </row>
    <row r="1893" spans="1:9" x14ac:dyDescent="0.25">
      <c r="A1893">
        <f t="shared" si="140"/>
        <v>22.828125</v>
      </c>
      <c r="B1893" t="s">
        <v>25</v>
      </c>
      <c r="C1893" t="s">
        <v>11</v>
      </c>
      <c r="D1893">
        <v>192</v>
      </c>
      <c r="E1893">
        <f t="shared" si="143"/>
        <v>95</v>
      </c>
      <c r="F1893" s="22">
        <f>'2085WL_Z'!$R20</f>
        <v>0.12748893138681389</v>
      </c>
      <c r="G1893" s="22" t="s">
        <v>33</v>
      </c>
      <c r="H1893" s="22">
        <f>'2085WL_Z'!$R20</f>
        <v>0.12748893138681389</v>
      </c>
      <c r="I1893" t="str">
        <f t="shared" si="141"/>
        <v>WL2085;zomer;192;95;0.127488931386814;TRUE;0.127488931386814</v>
      </c>
    </row>
    <row r="1894" spans="1:9" x14ac:dyDescent="0.25">
      <c r="A1894">
        <f t="shared" si="140"/>
        <v>22.828125</v>
      </c>
      <c r="B1894" t="s">
        <v>25</v>
      </c>
      <c r="C1894" t="s">
        <v>11</v>
      </c>
      <c r="D1894">
        <v>192</v>
      </c>
      <c r="E1894">
        <f t="shared" si="143"/>
        <v>100</v>
      </c>
      <c r="F1894" s="22">
        <f>'2085WL_Z'!$R21</f>
        <v>0.10118920125636233</v>
      </c>
      <c r="G1894" s="22" t="s">
        <v>33</v>
      </c>
      <c r="H1894" s="22">
        <f>'2085WL_Z'!$R21</f>
        <v>0.10118920125636233</v>
      </c>
      <c r="I1894" t="str">
        <f t="shared" si="141"/>
        <v>WL2085;zomer;192;100;0.101189201256362;TRUE;0.101189201256362</v>
      </c>
    </row>
    <row r="1895" spans="1:9" x14ac:dyDescent="0.25">
      <c r="A1895">
        <f t="shared" si="140"/>
        <v>22.828125</v>
      </c>
      <c r="B1895" t="s">
        <v>25</v>
      </c>
      <c r="C1895" t="s">
        <v>11</v>
      </c>
      <c r="D1895">
        <v>192</v>
      </c>
      <c r="E1895">
        <f t="shared" si="143"/>
        <v>105</v>
      </c>
      <c r="F1895" s="22">
        <f>'2085WL_Z'!$R22</f>
        <v>8.0106120471354292E-2</v>
      </c>
      <c r="G1895" s="22" t="s">
        <v>33</v>
      </c>
      <c r="H1895" s="22">
        <f>'2085WL_Z'!$R22</f>
        <v>8.0106120471354292E-2</v>
      </c>
      <c r="I1895" t="str">
        <f t="shared" si="141"/>
        <v>WL2085;zomer;192;105;8.01061204713543E-02;TRUE;8.01061204713543E-02</v>
      </c>
    </row>
    <row r="1896" spans="1:9" x14ac:dyDescent="0.25">
      <c r="A1896">
        <f t="shared" si="140"/>
        <v>22.828125</v>
      </c>
      <c r="B1896" t="s">
        <v>25</v>
      </c>
      <c r="C1896" t="s">
        <v>11</v>
      </c>
      <c r="D1896">
        <v>192</v>
      </c>
      <c r="E1896">
        <f t="shared" si="143"/>
        <v>110</v>
      </c>
      <c r="F1896" s="22">
        <f>'2085WL_Z'!$R23</f>
        <v>6.3247204124781214E-2</v>
      </c>
      <c r="G1896" s="22" t="s">
        <v>33</v>
      </c>
      <c r="H1896" s="22">
        <f>'2085WL_Z'!$R23</f>
        <v>6.3247204124781214E-2</v>
      </c>
      <c r="I1896" t="str">
        <f t="shared" si="141"/>
        <v>WL2085;zomer;192;110;6.32472041247812E-02;TRUE;6.32472041247812E-02</v>
      </c>
    </row>
    <row r="1897" spans="1:9" x14ac:dyDescent="0.25">
      <c r="A1897">
        <f t="shared" si="140"/>
        <v>22.828125</v>
      </c>
      <c r="B1897" t="s">
        <v>25</v>
      </c>
      <c r="C1897" t="s">
        <v>11</v>
      </c>
      <c r="D1897">
        <v>192</v>
      </c>
      <c r="E1897">
        <f t="shared" si="143"/>
        <v>115</v>
      </c>
      <c r="F1897" s="22">
        <f>'2085WL_Z'!$R24</f>
        <v>4.9800583628528544E-2</v>
      </c>
      <c r="G1897" s="22" t="s">
        <v>33</v>
      </c>
      <c r="H1897" s="22">
        <f>'2085WL_Z'!$R24</f>
        <v>4.9800583628528544E-2</v>
      </c>
      <c r="I1897" t="str">
        <f t="shared" si="141"/>
        <v>WL2085;zomer;192;115;4.98005836285285E-02;TRUE;4.98005836285285E-02</v>
      </c>
    </row>
    <row r="1898" spans="1:9" x14ac:dyDescent="0.25">
      <c r="A1898">
        <f t="shared" si="140"/>
        <v>22.828125</v>
      </c>
      <c r="B1898" t="s">
        <v>25</v>
      </c>
      <c r="C1898" t="s">
        <v>11</v>
      </c>
      <c r="D1898">
        <v>192</v>
      </c>
      <c r="E1898">
        <f t="shared" si="143"/>
        <v>120</v>
      </c>
      <c r="F1898" s="22">
        <f>'2085WL_Z'!$R25</f>
        <v>3.910366252755626E-2</v>
      </c>
      <c r="G1898" s="22" t="s">
        <v>33</v>
      </c>
      <c r="H1898" s="22">
        <f>'2085WL_Z'!$R25</f>
        <v>3.910366252755626E-2</v>
      </c>
      <c r="I1898" t="str">
        <f t="shared" si="141"/>
        <v>WL2085;zomer;192;120;3.91036625275563E-02;TRUE;3.91036625275563E-02</v>
      </c>
    </row>
    <row r="1899" spans="1:9" x14ac:dyDescent="0.25">
      <c r="A1899">
        <f t="shared" si="140"/>
        <v>22.828125</v>
      </c>
      <c r="B1899" t="s">
        <v>25</v>
      </c>
      <c r="C1899" t="s">
        <v>11</v>
      </c>
      <c r="D1899">
        <v>192</v>
      </c>
      <c r="E1899">
        <f t="shared" si="143"/>
        <v>125</v>
      </c>
      <c r="F1899" s="22">
        <f>'2085WL_Z'!$R26</f>
        <v>3.0616941482856319E-2</v>
      </c>
      <c r="G1899" s="22" t="s">
        <v>33</v>
      </c>
      <c r="H1899" s="22">
        <f>'2085WL_Z'!$R26</f>
        <v>3.0616941482856319E-2</v>
      </c>
      <c r="I1899" t="str">
        <f t="shared" si="141"/>
        <v>WL2085;zomer;192;125;3.06169414828563E-02;TRUE;3.06169414828563E-02</v>
      </c>
    </row>
    <row r="1900" spans="1:9" x14ac:dyDescent="0.25">
      <c r="A1900">
        <f t="shared" si="140"/>
        <v>22.828125</v>
      </c>
      <c r="B1900" t="s">
        <v>25</v>
      </c>
      <c r="C1900" t="s">
        <v>11</v>
      </c>
      <c r="D1900">
        <v>192</v>
      </c>
      <c r="E1900">
        <f t="shared" si="143"/>
        <v>130</v>
      </c>
      <c r="F1900" s="22">
        <f>'2085WL_Z'!$R27</f>
        <v>2.3902205481726571E-2</v>
      </c>
      <c r="G1900" s="22" t="s">
        <v>33</v>
      </c>
      <c r="H1900" s="22">
        <f>'2085WL_Z'!$R27</f>
        <v>2.3902205481726571E-2</v>
      </c>
      <c r="I1900" t="str">
        <f t="shared" si="141"/>
        <v>WL2085;zomer;192;130;2.39022054817266E-02;TRUE;2.39022054817266E-02</v>
      </c>
    </row>
    <row r="1901" spans="1:9" x14ac:dyDescent="0.25">
      <c r="A1901">
        <f t="shared" si="140"/>
        <v>22.828125</v>
      </c>
      <c r="B1901" t="s">
        <v>25</v>
      </c>
      <c r="C1901" t="s">
        <v>11</v>
      </c>
      <c r="D1901">
        <v>192</v>
      </c>
      <c r="E1901">
        <f t="shared" si="143"/>
        <v>135</v>
      </c>
      <c r="F1901" s="22">
        <f>'2085WL_Z'!$R28</f>
        <v>1.8604385038878908E-2</v>
      </c>
      <c r="G1901" s="22" t="s">
        <v>33</v>
      </c>
      <c r="H1901" s="22">
        <f>'2085WL_Z'!$R28</f>
        <v>1.8604385038878908E-2</v>
      </c>
      <c r="I1901" t="str">
        <f t="shared" si="141"/>
        <v>WL2085;zomer;192;135;1.86043850388789E-02;TRUE;1.86043850388789E-02</v>
      </c>
    </row>
    <row r="1902" spans="1:9" x14ac:dyDescent="0.25">
      <c r="A1902">
        <f t="shared" si="140"/>
        <v>22.828125</v>
      </c>
      <c r="B1902" t="s">
        <v>25</v>
      </c>
      <c r="C1902" t="s">
        <v>11</v>
      </c>
      <c r="D1902">
        <v>192</v>
      </c>
      <c r="E1902">
        <f t="shared" si="143"/>
        <v>140</v>
      </c>
      <c r="F1902" s="22">
        <f>'2085WL_Z'!$R29</f>
        <v>1.4436505486907204E-2</v>
      </c>
      <c r="G1902" s="22" t="s">
        <v>33</v>
      </c>
      <c r="H1902" s="22">
        <f>'2085WL_Z'!$R29</f>
        <v>1.4436505486907204E-2</v>
      </c>
      <c r="I1902" t="str">
        <f t="shared" si="141"/>
        <v>WL2085;zomer;192;140;1.44365054869072E-02;TRUE;1.44365054869072E-02</v>
      </c>
    </row>
    <row r="1903" spans="1:9" x14ac:dyDescent="0.25">
      <c r="A1903">
        <f t="shared" si="140"/>
        <v>22.828125</v>
      </c>
      <c r="B1903" t="s">
        <v>25</v>
      </c>
      <c r="C1903" t="s">
        <v>11</v>
      </c>
      <c r="D1903">
        <v>192</v>
      </c>
      <c r="E1903">
        <f t="shared" si="143"/>
        <v>145</v>
      </c>
      <c r="F1903" s="22">
        <f>'2085WL_Z'!$R30</f>
        <v>1.1167226523261867E-2</v>
      </c>
      <c r="G1903" s="22" t="s">
        <v>33</v>
      </c>
      <c r="H1903" s="22">
        <f>'2085WL_Z'!$R30</f>
        <v>1.1167226523261867E-2</v>
      </c>
      <c r="I1903" t="str">
        <f t="shared" si="141"/>
        <v>WL2085;zomer;192;145;1.11672265232619E-02;TRUE;1.11672265232619E-02</v>
      </c>
    </row>
    <row r="1904" spans="1:9" x14ac:dyDescent="0.25">
      <c r="A1904">
        <f t="shared" si="140"/>
        <v>22.828125</v>
      </c>
      <c r="B1904" t="s">
        <v>25</v>
      </c>
      <c r="C1904" t="s">
        <v>11</v>
      </c>
      <c r="D1904">
        <v>192</v>
      </c>
      <c r="E1904">
        <f t="shared" si="143"/>
        <v>150</v>
      </c>
      <c r="F1904" s="22">
        <f>'2085WL_Z'!$R31</f>
        <v>3.5890349363131777E-2</v>
      </c>
      <c r="G1904" s="22" t="s">
        <v>33</v>
      </c>
      <c r="H1904" s="22">
        <f>'2085WL_Z'!$R31</f>
        <v>3.5890349363131777E-2</v>
      </c>
      <c r="I1904" t="str">
        <f t="shared" si="141"/>
        <v>WL2085;zomer;192;150;3.58903493631318E-02;TRUE;3.58903493631318E-02</v>
      </c>
    </row>
    <row r="1905" spans="1:9" x14ac:dyDescent="0.25">
      <c r="A1905">
        <f t="shared" si="140"/>
        <v>20.291666666666664</v>
      </c>
      <c r="B1905" t="s">
        <v>25</v>
      </c>
      <c r="C1905" t="s">
        <v>11</v>
      </c>
      <c r="D1905">
        <v>216</v>
      </c>
      <c r="E1905">
        <v>20</v>
      </c>
      <c r="F1905" s="22">
        <f>'2085WL_Z'!$V5</f>
        <v>27.359687665047652</v>
      </c>
      <c r="G1905" s="22" t="s">
        <v>33</v>
      </c>
      <c r="H1905" s="22">
        <f>'2085WL_Z'!$V5</f>
        <v>27.359687665047652</v>
      </c>
      <c r="I1905" t="str">
        <f t="shared" si="141"/>
        <v>WL2085;zomer;216;20;27.3596876650477;TRUE;27.3596876650477</v>
      </c>
    </row>
    <row r="1906" spans="1:9" x14ac:dyDescent="0.25">
      <c r="A1906">
        <f t="shared" si="140"/>
        <v>20.291666666666664</v>
      </c>
      <c r="B1906" t="s">
        <v>25</v>
      </c>
      <c r="C1906" t="s">
        <v>11</v>
      </c>
      <c r="D1906">
        <v>216</v>
      </c>
      <c r="E1906">
        <f>E1905+5</f>
        <v>25</v>
      </c>
      <c r="F1906" s="22">
        <f>'2085WL_Z'!$V6</f>
        <v>2.2876952933452035</v>
      </c>
      <c r="G1906" s="22" t="s">
        <v>33</v>
      </c>
      <c r="H1906" s="22">
        <f>'2085WL_Z'!$V6</f>
        <v>2.2876952933452035</v>
      </c>
      <c r="I1906" t="str">
        <f t="shared" si="141"/>
        <v>WL2085;zomer;216;25;2.2876952933452;TRUE;2.2876952933452</v>
      </c>
    </row>
    <row r="1907" spans="1:9" x14ac:dyDescent="0.25">
      <c r="A1907">
        <f t="shared" si="140"/>
        <v>20.291666666666664</v>
      </c>
      <c r="B1907" t="s">
        <v>25</v>
      </c>
      <c r="C1907" t="s">
        <v>11</v>
      </c>
      <c r="D1907">
        <v>216</v>
      </c>
      <c r="E1907">
        <f t="shared" ref="E1907:E1932" si="144">E1906+5</f>
        <v>30</v>
      </c>
      <c r="F1907" s="22">
        <f>'2085WL_Z'!$V7</f>
        <v>1.9127067722495443</v>
      </c>
      <c r="G1907" s="22" t="s">
        <v>33</v>
      </c>
      <c r="H1907" s="22">
        <f>'2085WL_Z'!$V7</f>
        <v>1.9127067722495443</v>
      </c>
      <c r="I1907" t="str">
        <f t="shared" si="141"/>
        <v>WL2085;zomer;216;30;1.91270677224954;TRUE;1.91270677224954</v>
      </c>
    </row>
    <row r="1908" spans="1:9" x14ac:dyDescent="0.25">
      <c r="A1908">
        <f t="shared" si="140"/>
        <v>20.291666666666664</v>
      </c>
      <c r="B1908" t="s">
        <v>25</v>
      </c>
      <c r="C1908" t="s">
        <v>11</v>
      </c>
      <c r="D1908">
        <v>216</v>
      </c>
      <c r="E1908">
        <f t="shared" si="144"/>
        <v>35</v>
      </c>
      <c r="F1908" s="22">
        <f>'2085WL_Z'!$V8</f>
        <v>1.5957009072118034</v>
      </c>
      <c r="G1908" s="22" t="s">
        <v>33</v>
      </c>
      <c r="H1908" s="22">
        <f>'2085WL_Z'!$V8</f>
        <v>1.5957009072118034</v>
      </c>
      <c r="I1908" t="str">
        <f t="shared" si="141"/>
        <v>WL2085;zomer;216;35;1.5957009072118;TRUE;1.5957009072118</v>
      </c>
    </row>
    <row r="1909" spans="1:9" x14ac:dyDescent="0.25">
      <c r="A1909">
        <f t="shared" si="140"/>
        <v>20.291666666666664</v>
      </c>
      <c r="B1909" t="s">
        <v>25</v>
      </c>
      <c r="C1909" t="s">
        <v>11</v>
      </c>
      <c r="D1909">
        <v>216</v>
      </c>
      <c r="E1909">
        <f t="shared" si="144"/>
        <v>40</v>
      </c>
      <c r="F1909" s="22">
        <f>'2085WL_Z'!$V9</f>
        <v>1.3282631130992897</v>
      </c>
      <c r="G1909" s="22" t="s">
        <v>33</v>
      </c>
      <c r="H1909" s="22">
        <f>'2085WL_Z'!$V9</f>
        <v>1.3282631130992897</v>
      </c>
      <c r="I1909" t="str">
        <f t="shared" si="141"/>
        <v>WL2085;zomer;216;40;1.32826311309929;TRUE;1.32826311309929</v>
      </c>
    </row>
    <row r="1910" spans="1:9" x14ac:dyDescent="0.25">
      <c r="A1910">
        <f t="shared" si="140"/>
        <v>20.291666666666664</v>
      </c>
      <c r="B1910" t="s">
        <v>25</v>
      </c>
      <c r="C1910" t="s">
        <v>11</v>
      </c>
      <c r="D1910">
        <v>216</v>
      </c>
      <c r="E1910">
        <f t="shared" si="144"/>
        <v>45</v>
      </c>
      <c r="F1910" s="22">
        <f>'2085WL_Z'!$V10</f>
        <v>1.1031181386091218</v>
      </c>
      <c r="G1910" s="22" t="s">
        <v>33</v>
      </c>
      <c r="H1910" s="22">
        <f>'2085WL_Z'!$V10</f>
        <v>1.1031181386091218</v>
      </c>
      <c r="I1910" t="str">
        <f t="shared" si="141"/>
        <v>WL2085;zomer;216;45;1.10311813860912;TRUE;1.10311813860912</v>
      </c>
    </row>
    <row r="1911" spans="1:9" x14ac:dyDescent="0.25">
      <c r="A1911">
        <f t="shared" si="140"/>
        <v>20.291666666666664</v>
      </c>
      <c r="B1911" t="s">
        <v>25</v>
      </c>
      <c r="C1911" t="s">
        <v>11</v>
      </c>
      <c r="D1911">
        <v>216</v>
      </c>
      <c r="E1911">
        <f t="shared" si="144"/>
        <v>50</v>
      </c>
      <c r="F1911" s="22">
        <f>'2085WL_Z'!$V11</f>
        <v>0.91398713723384972</v>
      </c>
      <c r="G1911" s="22" t="s">
        <v>33</v>
      </c>
      <c r="H1911" s="22">
        <f>'2085WL_Z'!$V11</f>
        <v>0.91398713723384972</v>
      </c>
      <c r="I1911" t="str">
        <f t="shared" si="141"/>
        <v>WL2085;zomer;216;50;0.91398713723385;TRUE;0.91398713723385</v>
      </c>
    </row>
    <row r="1912" spans="1:9" x14ac:dyDescent="0.25">
      <c r="A1912">
        <f t="shared" si="140"/>
        <v>20.291666666666664</v>
      </c>
      <c r="B1912" t="s">
        <v>25</v>
      </c>
      <c r="C1912" t="s">
        <v>11</v>
      </c>
      <c r="D1912">
        <v>216</v>
      </c>
      <c r="E1912">
        <f t="shared" si="144"/>
        <v>55</v>
      </c>
      <c r="F1912" s="22">
        <f>'2085WL_Z'!$V12</f>
        <v>0.75546121274445088</v>
      </c>
      <c r="G1912" s="22" t="s">
        <v>33</v>
      </c>
      <c r="H1912" s="22">
        <f>'2085WL_Z'!$V12</f>
        <v>0.75546121274445088</v>
      </c>
      <c r="I1912" t="str">
        <f t="shared" si="141"/>
        <v>WL2085;zomer;216;55;0.755461212744451;TRUE;0.755461212744451</v>
      </c>
    </row>
    <row r="1913" spans="1:9" x14ac:dyDescent="0.25">
      <c r="A1913">
        <f t="shared" si="140"/>
        <v>20.291666666666664</v>
      </c>
      <c r="B1913" t="s">
        <v>25</v>
      </c>
      <c r="C1913" t="s">
        <v>11</v>
      </c>
      <c r="D1913">
        <v>216</v>
      </c>
      <c r="E1913">
        <f t="shared" si="144"/>
        <v>60</v>
      </c>
      <c r="F1913" s="22">
        <f>'2085WL_Z'!$V13</f>
        <v>0.62288971211104016</v>
      </c>
      <c r="G1913" s="22" t="s">
        <v>33</v>
      </c>
      <c r="H1913" s="22">
        <f>'2085WL_Z'!$V13</f>
        <v>0.62288971211104016</v>
      </c>
      <c r="I1913" t="str">
        <f t="shared" si="141"/>
        <v>WL2085;zomer;216;60;0.62288971211104;TRUE;0.62288971211104</v>
      </c>
    </row>
    <row r="1914" spans="1:9" x14ac:dyDescent="0.25">
      <c r="A1914">
        <f t="shared" si="140"/>
        <v>20.291666666666664</v>
      </c>
      <c r="B1914" t="s">
        <v>25</v>
      </c>
      <c r="C1914" t="s">
        <v>11</v>
      </c>
      <c r="D1914">
        <v>216</v>
      </c>
      <c r="E1914">
        <f t="shared" si="144"/>
        <v>65</v>
      </c>
      <c r="F1914" s="22">
        <f>'2085WL_Z'!$V14</f>
        <v>0.51228170139055784</v>
      </c>
      <c r="G1914" s="22" t="s">
        <v>33</v>
      </c>
      <c r="H1914" s="22">
        <f>'2085WL_Z'!$V14</f>
        <v>0.51228170139055784</v>
      </c>
      <c r="I1914" t="str">
        <f t="shared" si="141"/>
        <v>WL2085;zomer;216;65;0.512281701390558;TRUE;0.512281701390558</v>
      </c>
    </row>
    <row r="1915" spans="1:9" x14ac:dyDescent="0.25">
      <c r="A1915">
        <f t="shared" si="140"/>
        <v>20.291666666666664</v>
      </c>
      <c r="B1915" t="s">
        <v>25</v>
      </c>
      <c r="C1915" t="s">
        <v>11</v>
      </c>
      <c r="D1915">
        <v>216</v>
      </c>
      <c r="E1915">
        <f t="shared" si="144"/>
        <v>70</v>
      </c>
      <c r="F1915" s="22">
        <f>'2085WL_Z'!$V15</f>
        <v>0.4202192091835959</v>
      </c>
      <c r="G1915" s="22" t="s">
        <v>33</v>
      </c>
      <c r="H1915" s="22">
        <f>'2085WL_Z'!$V15</f>
        <v>0.4202192091835959</v>
      </c>
      <c r="I1915" t="str">
        <f t="shared" si="141"/>
        <v>WL2085;zomer;216;70;0.420219209183596;TRUE;0.420219209183596</v>
      </c>
    </row>
    <row r="1916" spans="1:9" x14ac:dyDescent="0.25">
      <c r="A1916">
        <f t="shared" si="140"/>
        <v>20.291666666666664</v>
      </c>
      <c r="B1916" t="s">
        <v>25</v>
      </c>
      <c r="C1916" t="s">
        <v>11</v>
      </c>
      <c r="D1916">
        <v>216</v>
      </c>
      <c r="E1916">
        <f t="shared" si="144"/>
        <v>75</v>
      </c>
      <c r="F1916" s="22">
        <f>'2085WL_Z'!$V16</f>
        <v>0.3437809587800118</v>
      </c>
      <c r="G1916" s="22" t="s">
        <v>33</v>
      </c>
      <c r="H1916" s="22">
        <f>'2085WL_Z'!$V16</f>
        <v>0.3437809587800118</v>
      </c>
      <c r="I1916" t="str">
        <f t="shared" si="141"/>
        <v>WL2085;zomer;216;75;0.343780958780012;TRUE;0.343780958780012</v>
      </c>
    </row>
    <row r="1917" spans="1:9" x14ac:dyDescent="0.25">
      <c r="A1917">
        <f t="shared" si="140"/>
        <v>20.291666666666664</v>
      </c>
      <c r="B1917" t="s">
        <v>25</v>
      </c>
      <c r="C1917" t="s">
        <v>11</v>
      </c>
      <c r="D1917">
        <v>216</v>
      </c>
      <c r="E1917">
        <f t="shared" si="144"/>
        <v>80</v>
      </c>
      <c r="F1917" s="22">
        <f>'2085WL_Z'!$V17</f>
        <v>0.2804754349929004</v>
      </c>
      <c r="G1917" s="22" t="s">
        <v>33</v>
      </c>
      <c r="H1917" s="22">
        <f>'2085WL_Z'!$V17</f>
        <v>0.2804754349929004</v>
      </c>
      <c r="I1917" t="str">
        <f t="shared" si="141"/>
        <v>WL2085;zomer;216;80;0.2804754349929;TRUE;0.2804754349929</v>
      </c>
    </row>
    <row r="1918" spans="1:9" x14ac:dyDescent="0.25">
      <c r="A1918">
        <f t="shared" si="140"/>
        <v>20.291666666666664</v>
      </c>
      <c r="B1918" t="s">
        <v>25</v>
      </c>
      <c r="C1918" t="s">
        <v>11</v>
      </c>
      <c r="D1918">
        <v>216</v>
      </c>
      <c r="E1918">
        <f t="shared" si="144"/>
        <v>85</v>
      </c>
      <c r="F1918" s="22">
        <f>'2085WL_Z'!$V18</f>
        <v>0.22818224577724489</v>
      </c>
      <c r="G1918" s="22" t="s">
        <v>33</v>
      </c>
      <c r="H1918" s="22">
        <f>'2085WL_Z'!$V18</f>
        <v>0.22818224577724489</v>
      </c>
      <c r="I1918" t="str">
        <f t="shared" si="141"/>
        <v>WL2085;zomer;216;85;0.228182245777245;TRUE;0.228182245777245</v>
      </c>
    </row>
    <row r="1919" spans="1:9" x14ac:dyDescent="0.25">
      <c r="A1919">
        <f t="shared" si="140"/>
        <v>20.291666666666664</v>
      </c>
      <c r="B1919" t="s">
        <v>25</v>
      </c>
      <c r="C1919" t="s">
        <v>11</v>
      </c>
      <c r="D1919">
        <v>216</v>
      </c>
      <c r="E1919">
        <f t="shared" si="144"/>
        <v>90</v>
      </c>
      <c r="F1919" s="22">
        <f>'2085WL_Z'!$V19</f>
        <v>0.18510084285150497</v>
      </c>
      <c r="G1919" s="22" t="s">
        <v>33</v>
      </c>
      <c r="H1919" s="22">
        <f>'2085WL_Z'!$V19</f>
        <v>0.18510084285150497</v>
      </c>
      <c r="I1919" t="str">
        <f t="shared" si="141"/>
        <v>WL2085;zomer;216;90;0.185100842851505;TRUE;0.185100842851505</v>
      </c>
    </row>
    <row r="1920" spans="1:9" x14ac:dyDescent="0.25">
      <c r="A1920">
        <f t="shared" si="140"/>
        <v>20.291666666666664</v>
      </c>
      <c r="B1920" t="s">
        <v>25</v>
      </c>
      <c r="C1920" t="s">
        <v>11</v>
      </c>
      <c r="D1920">
        <v>216</v>
      </c>
      <c r="E1920">
        <f t="shared" si="144"/>
        <v>95</v>
      </c>
      <c r="F1920" s="22">
        <f>'2085WL_Z'!$V20</f>
        <v>0.14970576044200645</v>
      </c>
      <c r="G1920" s="22" t="s">
        <v>33</v>
      </c>
      <c r="H1920" s="22">
        <f>'2085WL_Z'!$V20</f>
        <v>0.14970576044200645</v>
      </c>
      <c r="I1920" t="str">
        <f t="shared" si="141"/>
        <v>WL2085;zomer;216;95;0.149705760442006;TRUE;0.149705760442006</v>
      </c>
    </row>
    <row r="1921" spans="1:9" x14ac:dyDescent="0.25">
      <c r="A1921">
        <f t="shared" si="140"/>
        <v>20.291666666666664</v>
      </c>
      <c r="B1921" t="s">
        <v>25</v>
      </c>
      <c r="C1921" t="s">
        <v>11</v>
      </c>
      <c r="D1921">
        <v>216</v>
      </c>
      <c r="E1921">
        <f t="shared" si="144"/>
        <v>100</v>
      </c>
      <c r="F1921" s="22">
        <f>'2085WL_Z'!$V21</f>
        <v>0.12070761765728083</v>
      </c>
      <c r="G1921" s="22" t="s">
        <v>33</v>
      </c>
      <c r="H1921" s="22">
        <f>'2085WL_Z'!$V21</f>
        <v>0.12070761765728083</v>
      </c>
      <c r="I1921" t="str">
        <f t="shared" si="141"/>
        <v>WL2085;zomer;216;100;0.120707617657281;TRUE;0.120707617657281</v>
      </c>
    </row>
    <row r="1922" spans="1:9" x14ac:dyDescent="0.25">
      <c r="A1922">
        <f t="shared" ref="A1922:A1985" si="145">IF(C1922="zomer",24/D1922*365.25 * 6/12,24/D1922*365.25 * 6/12)</f>
        <v>20.291666666666664</v>
      </c>
      <c r="B1922" t="s">
        <v>25</v>
      </c>
      <c r="C1922" t="s">
        <v>11</v>
      </c>
      <c r="D1922">
        <v>216</v>
      </c>
      <c r="E1922">
        <f t="shared" si="144"/>
        <v>105</v>
      </c>
      <c r="F1922" s="22">
        <f>'2085WL_Z'!$V22</f>
        <v>9.7019208535554569E-2</v>
      </c>
      <c r="G1922" s="22" t="s">
        <v>33</v>
      </c>
      <c r="H1922" s="22">
        <f>'2085WL_Z'!$V22</f>
        <v>9.7019208535554569E-2</v>
      </c>
      <c r="I1922" t="str">
        <f t="shared" ref="I1922:I1985" si="146">CONCATENATEWITHDELIMITER(B1922:H1922,";")</f>
        <v>WL2085;zomer;216;105;9.70192085355546E-02;TRUE;9.70192085355546E-02</v>
      </c>
    </row>
    <row r="1923" spans="1:9" x14ac:dyDescent="0.25">
      <c r="A1923">
        <f t="shared" si="145"/>
        <v>20.291666666666664</v>
      </c>
      <c r="B1923" t="s">
        <v>25</v>
      </c>
      <c r="C1923" t="s">
        <v>11</v>
      </c>
      <c r="D1923">
        <v>216</v>
      </c>
      <c r="E1923">
        <f t="shared" si="144"/>
        <v>110</v>
      </c>
      <c r="F1923" s="22">
        <f>'2085WL_Z'!$V23</f>
        <v>7.7726075109966708E-2</v>
      </c>
      <c r="G1923" s="22" t="s">
        <v>33</v>
      </c>
      <c r="H1923" s="22">
        <f>'2085WL_Z'!$V23</f>
        <v>7.7726075109966708E-2</v>
      </c>
      <c r="I1923" t="str">
        <f t="shared" si="146"/>
        <v>WL2085;zomer;216;110;7.77260751099667E-02;TRUE;7.77260751099667E-02</v>
      </c>
    </row>
    <row r="1924" spans="1:9" x14ac:dyDescent="0.25">
      <c r="A1924">
        <f t="shared" si="145"/>
        <v>20.291666666666664</v>
      </c>
      <c r="B1924" t="s">
        <v>25</v>
      </c>
      <c r="C1924" t="s">
        <v>11</v>
      </c>
      <c r="D1924">
        <v>216</v>
      </c>
      <c r="E1924">
        <f t="shared" si="144"/>
        <v>115</v>
      </c>
      <c r="F1924" s="22">
        <f>'2085WL_Z'!$V24</f>
        <v>6.2061023481291555E-2</v>
      </c>
      <c r="G1924" s="22" t="s">
        <v>33</v>
      </c>
      <c r="H1924" s="22">
        <f>'2085WL_Z'!$V24</f>
        <v>6.2061023481291555E-2</v>
      </c>
      <c r="I1924" t="str">
        <f t="shared" si="146"/>
        <v>WL2085;zomer;216;115;6.20610234812916E-02;TRUE;6.20610234812916E-02</v>
      </c>
    </row>
    <row r="1925" spans="1:9" x14ac:dyDescent="0.25">
      <c r="A1925">
        <f t="shared" si="145"/>
        <v>20.291666666666664</v>
      </c>
      <c r="B1925" t="s">
        <v>25</v>
      </c>
      <c r="C1925" t="s">
        <v>11</v>
      </c>
      <c r="D1925">
        <v>216</v>
      </c>
      <c r="E1925">
        <f t="shared" si="144"/>
        <v>120</v>
      </c>
      <c r="F1925" s="22">
        <f>'2085WL_Z'!$V25</f>
        <v>4.9382101414711221E-2</v>
      </c>
      <c r="G1925" s="22" t="s">
        <v>33</v>
      </c>
      <c r="H1925" s="22">
        <f>'2085WL_Z'!$V25</f>
        <v>4.9382101414711221E-2</v>
      </c>
      <c r="I1925" t="str">
        <f t="shared" si="146"/>
        <v>WL2085;zomer;216;120;4.93821014147112E-02;TRUE;4.93821014147112E-02</v>
      </c>
    </row>
    <row r="1926" spans="1:9" x14ac:dyDescent="0.25">
      <c r="A1926">
        <f t="shared" si="145"/>
        <v>20.291666666666664</v>
      </c>
      <c r="B1926" t="s">
        <v>25</v>
      </c>
      <c r="C1926" t="s">
        <v>11</v>
      </c>
      <c r="D1926">
        <v>216</v>
      </c>
      <c r="E1926">
        <f t="shared" si="144"/>
        <v>125</v>
      </c>
      <c r="F1926" s="22">
        <f>'2085WL_Z'!$V26</f>
        <v>3.9153608887709301E-2</v>
      </c>
      <c r="G1926" s="22" t="s">
        <v>33</v>
      </c>
      <c r="H1926" s="22">
        <f>'2085WL_Z'!$V26</f>
        <v>3.9153608887709301E-2</v>
      </c>
      <c r="I1926" t="str">
        <f t="shared" si="146"/>
        <v>WL2085;zomer;216;125;3.91536088877093E-02;TRUE;3.91536088877093E-02</v>
      </c>
    </row>
    <row r="1927" spans="1:9" x14ac:dyDescent="0.25">
      <c r="A1927">
        <f t="shared" si="145"/>
        <v>20.291666666666664</v>
      </c>
      <c r="B1927" t="s">
        <v>25</v>
      </c>
      <c r="C1927" t="s">
        <v>11</v>
      </c>
      <c r="D1927">
        <v>216</v>
      </c>
      <c r="E1927">
        <f t="shared" si="144"/>
        <v>130</v>
      </c>
      <c r="F1927" s="22">
        <f>'2085WL_Z'!$V27</f>
        <v>3.0929760777505366E-2</v>
      </c>
      <c r="G1927" s="22" t="s">
        <v>33</v>
      </c>
      <c r="H1927" s="22">
        <f>'2085WL_Z'!$V27</f>
        <v>3.0929760777505366E-2</v>
      </c>
      <c r="I1927" t="str">
        <f t="shared" si="146"/>
        <v>WL2085;zomer;216;130;3.09297607775054E-02;TRUE;3.09297607775054E-02</v>
      </c>
    </row>
    <row r="1928" spans="1:9" x14ac:dyDescent="0.25">
      <c r="A1928">
        <f t="shared" si="145"/>
        <v>20.291666666666664</v>
      </c>
      <c r="B1928" t="s">
        <v>25</v>
      </c>
      <c r="C1928" t="s">
        <v>11</v>
      </c>
      <c r="D1928">
        <v>216</v>
      </c>
      <c r="E1928">
        <f t="shared" si="144"/>
        <v>135</v>
      </c>
      <c r="F1928" s="22">
        <f>'2085WL_Z'!$V28</f>
        <v>2.4340663923140313E-2</v>
      </c>
      <c r="G1928" s="22" t="s">
        <v>33</v>
      </c>
      <c r="H1928" s="22">
        <f>'2085WL_Z'!$V28</f>
        <v>2.4340663923140313E-2</v>
      </c>
      <c r="I1928" t="str">
        <f t="shared" si="146"/>
        <v>WL2085;zomer;216;135;2.43406639231403E-02;TRUE;2.43406639231403E-02</v>
      </c>
    </row>
    <row r="1929" spans="1:9" x14ac:dyDescent="0.25">
      <c r="A1929">
        <f t="shared" si="145"/>
        <v>20.291666666666664</v>
      </c>
      <c r="B1929" t="s">
        <v>25</v>
      </c>
      <c r="C1929" t="s">
        <v>11</v>
      </c>
      <c r="D1929">
        <v>216</v>
      </c>
      <c r="E1929">
        <f t="shared" si="144"/>
        <v>140</v>
      </c>
      <c r="F1929" s="22">
        <f>'2085WL_Z'!$V29</f>
        <v>1.9080309532915216E-2</v>
      </c>
      <c r="G1929" s="22" t="s">
        <v>33</v>
      </c>
      <c r="H1929" s="22">
        <f>'2085WL_Z'!$V29</f>
        <v>1.9080309532915216E-2</v>
      </c>
      <c r="I1929" t="str">
        <f t="shared" si="146"/>
        <v>WL2085;zomer;216;140;1.90803095329152E-02;TRUE;1.90803095329152E-02</v>
      </c>
    </row>
    <row r="1930" spans="1:9" x14ac:dyDescent="0.25">
      <c r="A1930">
        <f t="shared" si="145"/>
        <v>20.291666666666664</v>
      </c>
      <c r="B1930" t="s">
        <v>25</v>
      </c>
      <c r="C1930" t="s">
        <v>11</v>
      </c>
      <c r="D1930">
        <v>216</v>
      </c>
      <c r="E1930">
        <f t="shared" si="144"/>
        <v>145</v>
      </c>
      <c r="F1930" s="22">
        <f>'2085WL_Z'!$V30</f>
        <v>1.4896316706941047E-2</v>
      </c>
      <c r="G1930" s="22" t="s">
        <v>33</v>
      </c>
      <c r="H1930" s="22">
        <f>'2085WL_Z'!$V30</f>
        <v>1.4896316706941047E-2</v>
      </c>
      <c r="I1930" t="str">
        <f t="shared" si="146"/>
        <v>WL2085;zomer;216;145;0.014896316706941;TRUE;0.014896316706941</v>
      </c>
    </row>
    <row r="1931" spans="1:9" x14ac:dyDescent="0.25">
      <c r="A1931">
        <f t="shared" si="145"/>
        <v>20.291666666666664</v>
      </c>
      <c r="B1931" t="s">
        <v>25</v>
      </c>
      <c r="C1931" t="s">
        <v>11</v>
      </c>
      <c r="D1931">
        <v>216</v>
      </c>
      <c r="E1931">
        <f t="shared" si="144"/>
        <v>150</v>
      </c>
      <c r="F1931" s="22">
        <f>'2085WL_Z'!$V31</f>
        <v>1.1581194054088029E-2</v>
      </c>
      <c r="G1931" s="22" t="s">
        <v>33</v>
      </c>
      <c r="H1931" s="22">
        <f>'2085WL_Z'!$V31</f>
        <v>1.1581194054088029E-2</v>
      </c>
      <c r="I1931" t="str">
        <f t="shared" si="146"/>
        <v>WL2085;zomer;216;150;0.011581194054088;TRUE;0.011581194054088</v>
      </c>
    </row>
    <row r="1932" spans="1:9" x14ac:dyDescent="0.25">
      <c r="A1932">
        <f t="shared" si="145"/>
        <v>20.291666666666664</v>
      </c>
      <c r="B1932" t="s">
        <v>25</v>
      </c>
      <c r="C1932" t="s">
        <v>11</v>
      </c>
      <c r="D1932">
        <v>216</v>
      </c>
      <c r="E1932">
        <f t="shared" si="144"/>
        <v>155</v>
      </c>
      <c r="F1932" s="22">
        <f>'2085WL_Z'!$V32</f>
        <v>3.7199348182448862E-2</v>
      </c>
      <c r="G1932" s="22" t="s">
        <v>33</v>
      </c>
      <c r="H1932" s="22">
        <f>'2085WL_Z'!$V32</f>
        <v>3.7199348182448862E-2</v>
      </c>
      <c r="I1932" t="str">
        <f t="shared" si="146"/>
        <v>WL2085;zomer;216;155;3.71993481824489E-02;TRUE;3.71993481824489E-02</v>
      </c>
    </row>
    <row r="1933" spans="1:9" x14ac:dyDescent="0.25">
      <c r="A1933">
        <f t="shared" si="145"/>
        <v>182.625</v>
      </c>
      <c r="B1933" t="s">
        <v>25</v>
      </c>
      <c r="C1933" t="s">
        <v>7</v>
      </c>
      <c r="D1933">
        <v>24</v>
      </c>
      <c r="E1933">
        <v>15</v>
      </c>
      <c r="F1933" s="22">
        <f>'2085WL_W'!$F4</f>
        <v>359.76489638611304</v>
      </c>
      <c r="G1933" s="22" t="s">
        <v>33</v>
      </c>
      <c r="H1933" s="22">
        <f>'2085WL_W'!$F4</f>
        <v>359.76489638611304</v>
      </c>
      <c r="I1933" t="str">
        <f t="shared" si="146"/>
        <v>WL2085;winter;24;15;359.764896386113;TRUE;359.764896386113</v>
      </c>
    </row>
    <row r="1934" spans="1:9" x14ac:dyDescent="0.25">
      <c r="A1934">
        <f t="shared" si="145"/>
        <v>182.625</v>
      </c>
      <c r="B1934" t="s">
        <v>25</v>
      </c>
      <c r="C1934" t="s">
        <v>7</v>
      </c>
      <c r="D1934">
        <v>24</v>
      </c>
      <c r="E1934">
        <f>E1933+5</f>
        <v>20</v>
      </c>
      <c r="F1934" s="22">
        <f>'2085WL_W'!$F5</f>
        <v>2.9579896757811208</v>
      </c>
      <c r="G1934" s="22" t="s">
        <v>33</v>
      </c>
      <c r="H1934" s="22">
        <f>'2085WL_W'!$F5</f>
        <v>2.9579896757811208</v>
      </c>
      <c r="I1934" t="str">
        <f t="shared" si="146"/>
        <v>WL2085;winter;24;20;2.95798967578112;TRUE;2.95798967578112</v>
      </c>
    </row>
    <row r="1935" spans="1:9" x14ac:dyDescent="0.25">
      <c r="A1935">
        <f t="shared" si="145"/>
        <v>182.625</v>
      </c>
      <c r="B1935" t="s">
        <v>25</v>
      </c>
      <c r="C1935" t="s">
        <v>7</v>
      </c>
      <c r="D1935">
        <v>24</v>
      </c>
      <c r="E1935">
        <f t="shared" ref="E1935:E1949" si="147">E1934+5</f>
        <v>25</v>
      </c>
      <c r="F1935" s="22">
        <f>'2085WL_W'!$F6</f>
        <v>1.3134749516134627</v>
      </c>
      <c r="G1935" s="22" t="s">
        <v>33</v>
      </c>
      <c r="H1935" s="22">
        <f>'2085WL_W'!$F6</f>
        <v>1.3134749516134627</v>
      </c>
      <c r="I1935" t="str">
        <f t="shared" si="146"/>
        <v>WL2085;winter;24;25;1.31347495161346;TRUE;1.31347495161346</v>
      </c>
    </row>
    <row r="1936" spans="1:9" x14ac:dyDescent="0.25">
      <c r="A1936">
        <f t="shared" si="145"/>
        <v>182.625</v>
      </c>
      <c r="B1936" t="s">
        <v>25</v>
      </c>
      <c r="C1936" t="s">
        <v>7</v>
      </c>
      <c r="D1936">
        <v>24</v>
      </c>
      <c r="E1936">
        <f t="shared" si="147"/>
        <v>30</v>
      </c>
      <c r="F1936" s="22">
        <f>'2085WL_W'!$F7</f>
        <v>0.60865201936190472</v>
      </c>
      <c r="G1936" s="22" t="s">
        <v>33</v>
      </c>
      <c r="H1936" s="22">
        <f>'2085WL_W'!$F7</f>
        <v>0.60865201936190472</v>
      </c>
      <c r="I1936" t="str">
        <f t="shared" si="146"/>
        <v>WL2085;winter;24;30;0.608652019361905;TRUE;0.608652019361905</v>
      </c>
    </row>
    <row r="1937" spans="1:9" x14ac:dyDescent="0.25">
      <c r="A1937">
        <f t="shared" si="145"/>
        <v>182.625</v>
      </c>
      <c r="B1937" t="s">
        <v>25</v>
      </c>
      <c r="C1937" t="s">
        <v>7</v>
      </c>
      <c r="D1937">
        <v>24</v>
      </c>
      <c r="E1937">
        <f t="shared" si="147"/>
        <v>35</v>
      </c>
      <c r="F1937" s="22">
        <f>'2085WL_W'!$F8</f>
        <v>0.29307824429580881</v>
      </c>
      <c r="G1937" s="22" t="s">
        <v>33</v>
      </c>
      <c r="H1937" s="22">
        <f>'2085WL_W'!$F8</f>
        <v>0.29307824429580881</v>
      </c>
      <c r="I1937" t="str">
        <f t="shared" si="146"/>
        <v>WL2085;winter;24;35;0.293078244295809;TRUE;0.293078244295809</v>
      </c>
    </row>
    <row r="1938" spans="1:9" x14ac:dyDescent="0.25">
      <c r="A1938">
        <f t="shared" si="145"/>
        <v>182.625</v>
      </c>
      <c r="B1938" t="s">
        <v>25</v>
      </c>
      <c r="C1938" t="s">
        <v>7</v>
      </c>
      <c r="D1938">
        <v>24</v>
      </c>
      <c r="E1938">
        <f t="shared" si="147"/>
        <v>40</v>
      </c>
      <c r="F1938" s="22">
        <f>'2085WL_W'!$F9</f>
        <v>0.14610885427314155</v>
      </c>
      <c r="G1938" s="22" t="s">
        <v>33</v>
      </c>
      <c r="H1938" s="22">
        <f>'2085WL_W'!$F9</f>
        <v>0.14610885427314155</v>
      </c>
      <c r="I1938" t="str">
        <f t="shared" si="146"/>
        <v>WL2085;winter;24;40;0.146108854273142;TRUE;0.146108854273142</v>
      </c>
    </row>
    <row r="1939" spans="1:9" x14ac:dyDescent="0.25">
      <c r="A1939">
        <f t="shared" si="145"/>
        <v>182.625</v>
      </c>
      <c r="B1939" t="s">
        <v>25</v>
      </c>
      <c r="C1939" t="s">
        <v>7</v>
      </c>
      <c r="D1939">
        <v>24</v>
      </c>
      <c r="E1939">
        <f t="shared" si="147"/>
        <v>45</v>
      </c>
      <c r="F1939" s="22">
        <f>'2085WL_W'!$F10</f>
        <v>7.517553485522728E-2</v>
      </c>
      <c r="G1939" s="22" t="s">
        <v>33</v>
      </c>
      <c r="H1939" s="22">
        <f>'2085WL_W'!$F10</f>
        <v>7.517553485522728E-2</v>
      </c>
      <c r="I1939" t="str">
        <f t="shared" si="146"/>
        <v>WL2085;winter;24;45;7.51755348552273E-02;TRUE;7.51755348552273E-02</v>
      </c>
    </row>
    <row r="1940" spans="1:9" x14ac:dyDescent="0.25">
      <c r="A1940">
        <f t="shared" si="145"/>
        <v>182.625</v>
      </c>
      <c r="B1940" t="s">
        <v>25</v>
      </c>
      <c r="C1940" t="s">
        <v>7</v>
      </c>
      <c r="D1940">
        <v>24</v>
      </c>
      <c r="E1940">
        <f t="shared" si="147"/>
        <v>50</v>
      </c>
      <c r="F1940" s="22">
        <f>'2085WL_W'!$F11</f>
        <v>3.9809941089447895E-2</v>
      </c>
      <c r="G1940" s="22" t="s">
        <v>33</v>
      </c>
      <c r="H1940" s="22">
        <f>'2085WL_W'!$F11</f>
        <v>3.9809941089447895E-2</v>
      </c>
      <c r="I1940" t="str">
        <f t="shared" si="146"/>
        <v>WL2085;winter;24;50;3.98099410894479E-02;TRUE;3.98099410894479E-02</v>
      </c>
    </row>
    <row r="1941" spans="1:9" x14ac:dyDescent="0.25">
      <c r="A1941">
        <f t="shared" si="145"/>
        <v>182.625</v>
      </c>
      <c r="B1941" t="s">
        <v>25</v>
      </c>
      <c r="C1941" t="s">
        <v>7</v>
      </c>
      <c r="D1941">
        <v>24</v>
      </c>
      <c r="E1941">
        <f t="shared" si="147"/>
        <v>55</v>
      </c>
      <c r="F1941" s="22">
        <f>'2085WL_W'!$F12</f>
        <v>2.1646061162287126E-2</v>
      </c>
      <c r="G1941" s="22" t="s">
        <v>33</v>
      </c>
      <c r="H1941" s="22">
        <f>'2085WL_W'!$F12</f>
        <v>2.1646061162287126E-2</v>
      </c>
      <c r="I1941" t="str">
        <f t="shared" si="146"/>
        <v>WL2085;winter;24;55;2.16460611622871E-02;TRUE;2.16460611622871E-02</v>
      </c>
    </row>
    <row r="1942" spans="1:9" x14ac:dyDescent="0.25">
      <c r="A1942">
        <f t="shared" si="145"/>
        <v>182.625</v>
      </c>
      <c r="B1942" t="s">
        <v>25</v>
      </c>
      <c r="C1942" t="s">
        <v>7</v>
      </c>
      <c r="D1942">
        <v>24</v>
      </c>
      <c r="E1942">
        <f t="shared" si="147"/>
        <v>60</v>
      </c>
      <c r="F1942" s="22">
        <f>'2085WL_W'!$F13</f>
        <v>1.2059276019285796E-2</v>
      </c>
      <c r="G1942" s="22" t="s">
        <v>33</v>
      </c>
      <c r="H1942" s="22">
        <f>'2085WL_W'!$F13</f>
        <v>1.2059276019285796E-2</v>
      </c>
      <c r="I1942" t="str">
        <f t="shared" si="146"/>
        <v>WL2085;winter;24;60;1.20592760192858E-02;TRUE;1.20592760192858E-02</v>
      </c>
    </row>
    <row r="1943" spans="1:9" x14ac:dyDescent="0.25">
      <c r="A1943">
        <f t="shared" si="145"/>
        <v>182.625</v>
      </c>
      <c r="B1943" t="s">
        <v>25</v>
      </c>
      <c r="C1943" t="s">
        <v>7</v>
      </c>
      <c r="D1943">
        <v>24</v>
      </c>
      <c r="E1943">
        <f t="shared" si="147"/>
        <v>65</v>
      </c>
      <c r="F1943" s="22">
        <f>'2085WL_W'!$F14</f>
        <v>6.8707993161400936E-3</v>
      </c>
      <c r="G1943" s="22" t="s">
        <v>33</v>
      </c>
      <c r="H1943" s="22">
        <f>'2085WL_W'!$F14</f>
        <v>6.8707993161400936E-3</v>
      </c>
      <c r="I1943" t="str">
        <f t="shared" si="146"/>
        <v>WL2085;winter;24;65;6.87079931614009E-03;TRUE;6.87079931614009E-03</v>
      </c>
    </row>
    <row r="1944" spans="1:9" x14ac:dyDescent="0.25">
      <c r="A1944">
        <f t="shared" si="145"/>
        <v>182.625</v>
      </c>
      <c r="B1944" t="s">
        <v>25</v>
      </c>
      <c r="C1944" t="s">
        <v>7</v>
      </c>
      <c r="D1944">
        <v>24</v>
      </c>
      <c r="E1944">
        <f t="shared" si="147"/>
        <v>70</v>
      </c>
      <c r="F1944" s="22">
        <f>'2085WL_W'!$F15</f>
        <v>3.9968318334062886E-3</v>
      </c>
      <c r="G1944" s="22" t="s">
        <v>33</v>
      </c>
      <c r="H1944" s="22">
        <f>'2085WL_W'!$F15</f>
        <v>3.9968318334062886E-3</v>
      </c>
      <c r="I1944" t="str">
        <f t="shared" si="146"/>
        <v>WL2085;winter;24;70;3.99683183340629E-03;TRUE;3.99683183340629E-03</v>
      </c>
    </row>
    <row r="1945" spans="1:9" x14ac:dyDescent="0.25">
      <c r="A1945">
        <f t="shared" si="145"/>
        <v>182.625</v>
      </c>
      <c r="B1945" t="s">
        <v>25</v>
      </c>
      <c r="C1945" t="s">
        <v>7</v>
      </c>
      <c r="D1945">
        <v>24</v>
      </c>
      <c r="E1945">
        <f t="shared" si="147"/>
        <v>75</v>
      </c>
      <c r="F1945" s="22">
        <f>'2085WL_W'!$F16</f>
        <v>2.370299911655565E-3</v>
      </c>
      <c r="G1945" s="22" t="s">
        <v>33</v>
      </c>
      <c r="H1945" s="22">
        <f>'2085WL_W'!$F16</f>
        <v>2.370299911655565E-3</v>
      </c>
      <c r="I1945" t="str">
        <f t="shared" si="146"/>
        <v>WL2085;winter;24;75;2.37029991165557E-03;TRUE;2.37029991165557E-03</v>
      </c>
    </row>
    <row r="1946" spans="1:9" x14ac:dyDescent="0.25">
      <c r="A1946">
        <f t="shared" si="145"/>
        <v>182.625</v>
      </c>
      <c r="B1946" t="s">
        <v>25</v>
      </c>
      <c r="C1946" t="s">
        <v>7</v>
      </c>
      <c r="D1946">
        <v>24</v>
      </c>
      <c r="E1946">
        <f t="shared" si="147"/>
        <v>80</v>
      </c>
      <c r="F1946" s="22">
        <f>'2085WL_W'!$F17</f>
        <v>1.431173864154305E-3</v>
      </c>
      <c r="G1946" s="22" t="s">
        <v>33</v>
      </c>
      <c r="H1946" s="22">
        <f>'2085WL_W'!$F17</f>
        <v>1.431173864154305E-3</v>
      </c>
      <c r="I1946" t="str">
        <f t="shared" si="146"/>
        <v>WL2085;winter;24;80;1.4311738641543E-03;TRUE;1.4311738641543E-03</v>
      </c>
    </row>
    <row r="1947" spans="1:9" x14ac:dyDescent="0.25">
      <c r="A1947">
        <f t="shared" si="145"/>
        <v>182.625</v>
      </c>
      <c r="B1947" t="s">
        <v>25</v>
      </c>
      <c r="C1947" t="s">
        <v>7</v>
      </c>
      <c r="D1947">
        <v>24</v>
      </c>
      <c r="E1947">
        <f t="shared" si="147"/>
        <v>85</v>
      </c>
      <c r="F1947" s="22">
        <f>'2085WL_W'!$F18</f>
        <v>8.7874679297001682E-4</v>
      </c>
      <c r="G1947" s="22" t="s">
        <v>33</v>
      </c>
      <c r="H1947" s="22">
        <f>'2085WL_W'!$F18</f>
        <v>8.7874679297001682E-4</v>
      </c>
      <c r="I1947" t="str">
        <f t="shared" si="146"/>
        <v>WL2085;winter;24;85;8.78746792970017E-04;TRUE;8.78746792970017E-04</v>
      </c>
    </row>
    <row r="1948" spans="1:9" x14ac:dyDescent="0.25">
      <c r="A1948">
        <f t="shared" si="145"/>
        <v>182.625</v>
      </c>
      <c r="B1948" t="s">
        <v>25</v>
      </c>
      <c r="C1948" t="s">
        <v>7</v>
      </c>
      <c r="D1948">
        <v>24</v>
      </c>
      <c r="E1948">
        <f t="shared" si="147"/>
        <v>90</v>
      </c>
      <c r="F1948" s="22">
        <f>'2085WL_W'!$F19</f>
        <v>5.4808539162428749E-4</v>
      </c>
      <c r="G1948" s="22" t="s">
        <v>33</v>
      </c>
      <c r="H1948" s="22">
        <f>'2085WL_W'!$F19</f>
        <v>5.4808539162428749E-4</v>
      </c>
      <c r="I1948" t="str">
        <f t="shared" si="146"/>
        <v>WL2085;winter;24;90;5.48085391624287E-04;TRUE;5.48085391624287E-04</v>
      </c>
    </row>
    <row r="1949" spans="1:9" x14ac:dyDescent="0.25">
      <c r="A1949">
        <f t="shared" si="145"/>
        <v>182.625</v>
      </c>
      <c r="B1949" t="s">
        <v>25</v>
      </c>
      <c r="C1949" t="s">
        <v>7</v>
      </c>
      <c r="D1949">
        <v>24</v>
      </c>
      <c r="E1949">
        <f t="shared" si="147"/>
        <v>95</v>
      </c>
      <c r="F1949" s="22">
        <f>'2085WL_W'!$F20</f>
        <v>1.0131183253178357E-3</v>
      </c>
      <c r="G1949" s="22" t="s">
        <v>33</v>
      </c>
      <c r="H1949" s="22">
        <f>'2085WL_W'!$F20</f>
        <v>1.0131183253178357E-3</v>
      </c>
      <c r="I1949" t="str">
        <f t="shared" si="146"/>
        <v>WL2085;winter;24;95;1.01311832531784E-03;TRUE;1.01311832531784E-03</v>
      </c>
    </row>
    <row r="1950" spans="1:9" x14ac:dyDescent="0.25">
      <c r="A1950">
        <f t="shared" si="145"/>
        <v>91.3125</v>
      </c>
      <c r="B1950" t="s">
        <v>25</v>
      </c>
      <c r="C1950" t="s">
        <v>7</v>
      </c>
      <c r="D1950">
        <v>48</v>
      </c>
      <c r="E1950">
        <v>15</v>
      </c>
      <c r="F1950" s="22">
        <f>'2085WL_W'!$J4</f>
        <v>171.868810413993</v>
      </c>
      <c r="G1950" s="22" t="s">
        <v>33</v>
      </c>
      <c r="H1950" s="22">
        <f>'2085WL_W'!$J4</f>
        <v>171.868810413993</v>
      </c>
      <c r="I1950" t="str">
        <f t="shared" si="146"/>
        <v>WL2085;winter;48;15;171.868810413993;TRUE;171.868810413993</v>
      </c>
    </row>
    <row r="1951" spans="1:9" x14ac:dyDescent="0.25">
      <c r="A1951">
        <f t="shared" si="145"/>
        <v>91.3125</v>
      </c>
      <c r="B1951" t="s">
        <v>25</v>
      </c>
      <c r="C1951" t="s">
        <v>7</v>
      </c>
      <c r="D1951">
        <v>48</v>
      </c>
      <c r="E1951">
        <f>E1950+5</f>
        <v>20</v>
      </c>
      <c r="F1951" s="22">
        <f>'2085WL_W'!$J5</f>
        <v>4.7990067417039537</v>
      </c>
      <c r="G1951" s="22" t="s">
        <v>33</v>
      </c>
      <c r="H1951" s="22">
        <f>'2085WL_W'!$J5</f>
        <v>4.7990067417039537</v>
      </c>
      <c r="I1951" t="str">
        <f t="shared" si="146"/>
        <v>WL2085;winter;48;20;4.79900674170395;TRUE;4.79900674170395</v>
      </c>
    </row>
    <row r="1952" spans="1:9" x14ac:dyDescent="0.25">
      <c r="A1952">
        <f t="shared" si="145"/>
        <v>91.3125</v>
      </c>
      <c r="B1952" t="s">
        <v>25</v>
      </c>
      <c r="C1952" t="s">
        <v>7</v>
      </c>
      <c r="D1952">
        <v>48</v>
      </c>
      <c r="E1952">
        <f t="shared" ref="E1952:E1968" si="148">E1951+5</f>
        <v>25</v>
      </c>
      <c r="F1952" s="22">
        <f>'2085WL_W'!$J6</f>
        <v>2.594828486991501</v>
      </c>
      <c r="G1952" s="22" t="s">
        <v>33</v>
      </c>
      <c r="H1952" s="22">
        <f>'2085WL_W'!$J6</f>
        <v>2.594828486991501</v>
      </c>
      <c r="I1952" t="str">
        <f t="shared" si="146"/>
        <v>WL2085;winter;48;25;2.5948284869915;TRUE;2.5948284869915</v>
      </c>
    </row>
    <row r="1953" spans="1:9" x14ac:dyDescent="0.25">
      <c r="A1953">
        <f t="shared" si="145"/>
        <v>91.3125</v>
      </c>
      <c r="B1953" t="s">
        <v>25</v>
      </c>
      <c r="C1953" t="s">
        <v>7</v>
      </c>
      <c r="D1953">
        <v>48</v>
      </c>
      <c r="E1953">
        <f t="shared" si="148"/>
        <v>30</v>
      </c>
      <c r="F1953" s="22">
        <f>'2085WL_W'!$J7</f>
        <v>1.4305826976494094</v>
      </c>
      <c r="G1953" s="22" t="s">
        <v>33</v>
      </c>
      <c r="H1953" s="22">
        <f>'2085WL_W'!$J7</f>
        <v>1.4305826976494094</v>
      </c>
      <c r="I1953" t="str">
        <f t="shared" si="146"/>
        <v>WL2085;winter;48;30;1.43058269764941;TRUE;1.43058269764941</v>
      </c>
    </row>
    <row r="1954" spans="1:9" x14ac:dyDescent="0.25">
      <c r="A1954">
        <f t="shared" si="145"/>
        <v>91.3125</v>
      </c>
      <c r="B1954" t="s">
        <v>25</v>
      </c>
      <c r="C1954" t="s">
        <v>7</v>
      </c>
      <c r="D1954">
        <v>48</v>
      </c>
      <c r="E1954">
        <f t="shared" si="148"/>
        <v>35</v>
      </c>
      <c r="F1954" s="22">
        <f>'2085WL_W'!$J8</f>
        <v>0.80324028400685399</v>
      </c>
      <c r="G1954" s="22" t="s">
        <v>33</v>
      </c>
      <c r="H1954" s="22">
        <f>'2085WL_W'!$J8</f>
        <v>0.80324028400685399</v>
      </c>
      <c r="I1954" t="str">
        <f t="shared" si="146"/>
        <v>WL2085;winter;48;35;0.803240284006854;TRUE;0.803240284006854</v>
      </c>
    </row>
    <row r="1955" spans="1:9" x14ac:dyDescent="0.25">
      <c r="A1955">
        <f t="shared" si="145"/>
        <v>91.3125</v>
      </c>
      <c r="B1955" t="s">
        <v>25</v>
      </c>
      <c r="C1955" t="s">
        <v>7</v>
      </c>
      <c r="D1955">
        <v>48</v>
      </c>
      <c r="E1955">
        <f t="shared" si="148"/>
        <v>40</v>
      </c>
      <c r="F1955" s="22">
        <f>'2085WL_W'!$J9</f>
        <v>0.45881100261848384</v>
      </c>
      <c r="G1955" s="22" t="s">
        <v>33</v>
      </c>
      <c r="H1955" s="22">
        <f>'2085WL_W'!$J9</f>
        <v>0.45881100261848384</v>
      </c>
      <c r="I1955" t="str">
        <f t="shared" si="146"/>
        <v>WL2085;winter;48;40;0.458811002618484;TRUE;0.458811002618484</v>
      </c>
    </row>
    <row r="1956" spans="1:9" x14ac:dyDescent="0.25">
      <c r="A1956">
        <f t="shared" si="145"/>
        <v>91.3125</v>
      </c>
      <c r="B1956" t="s">
        <v>25</v>
      </c>
      <c r="C1956" t="s">
        <v>7</v>
      </c>
      <c r="D1956">
        <v>48</v>
      </c>
      <c r="E1956">
        <f t="shared" si="148"/>
        <v>45</v>
      </c>
      <c r="F1956" s="22">
        <f>'2085WL_W'!$J10</f>
        <v>0.26634630510591512</v>
      </c>
      <c r="G1956" s="22" t="s">
        <v>33</v>
      </c>
      <c r="H1956" s="22">
        <f>'2085WL_W'!$J10</f>
        <v>0.26634630510591512</v>
      </c>
      <c r="I1956" t="str">
        <f t="shared" si="146"/>
        <v>WL2085;winter;48;45;0.266346305105915;TRUE;0.266346305105915</v>
      </c>
    </row>
    <row r="1957" spans="1:9" x14ac:dyDescent="0.25">
      <c r="A1957">
        <f t="shared" si="145"/>
        <v>91.3125</v>
      </c>
      <c r="B1957" t="s">
        <v>25</v>
      </c>
      <c r="C1957" t="s">
        <v>7</v>
      </c>
      <c r="D1957">
        <v>48</v>
      </c>
      <c r="E1957">
        <f t="shared" si="148"/>
        <v>50</v>
      </c>
      <c r="F1957" s="22">
        <f>'2085WL_W'!$J11</f>
        <v>0.1569961997097668</v>
      </c>
      <c r="G1957" s="22" t="s">
        <v>33</v>
      </c>
      <c r="H1957" s="22">
        <f>'2085WL_W'!$J11</f>
        <v>0.1569961997097668</v>
      </c>
      <c r="I1957" t="str">
        <f t="shared" si="146"/>
        <v>WL2085;winter;48;50;0.156996199709767;TRUE;0.156996199709767</v>
      </c>
    </row>
    <row r="1958" spans="1:9" x14ac:dyDescent="0.25">
      <c r="A1958">
        <f t="shared" si="145"/>
        <v>91.3125</v>
      </c>
      <c r="B1958" t="s">
        <v>25</v>
      </c>
      <c r="C1958" t="s">
        <v>7</v>
      </c>
      <c r="D1958">
        <v>48</v>
      </c>
      <c r="E1958">
        <f t="shared" si="148"/>
        <v>55</v>
      </c>
      <c r="F1958" s="22">
        <f>'2085WL_W'!$J12</f>
        <v>9.3885547997565294E-2</v>
      </c>
      <c r="G1958" s="22" t="s">
        <v>33</v>
      </c>
      <c r="H1958" s="22">
        <f>'2085WL_W'!$J12</f>
        <v>9.3885547997565294E-2</v>
      </c>
      <c r="I1958" t="str">
        <f t="shared" si="146"/>
        <v>WL2085;winter;48;55;9.38855479975653E-02;TRUE;9.38855479975653E-02</v>
      </c>
    </row>
    <row r="1959" spans="1:9" x14ac:dyDescent="0.25">
      <c r="A1959">
        <f t="shared" si="145"/>
        <v>91.3125</v>
      </c>
      <c r="B1959" t="s">
        <v>25</v>
      </c>
      <c r="C1959" t="s">
        <v>7</v>
      </c>
      <c r="D1959">
        <v>48</v>
      </c>
      <c r="E1959">
        <f t="shared" si="148"/>
        <v>60</v>
      </c>
      <c r="F1959" s="22">
        <f>'2085WL_W'!$J13</f>
        <v>5.6916999006598759E-2</v>
      </c>
      <c r="G1959" s="22" t="s">
        <v>33</v>
      </c>
      <c r="H1959" s="22">
        <f>'2085WL_W'!$J13</f>
        <v>5.6916999006598759E-2</v>
      </c>
      <c r="I1959" t="str">
        <f t="shared" si="146"/>
        <v>WL2085;winter;48;60;5.69169990065988E-02;TRUE;5.69169990065988E-02</v>
      </c>
    </row>
    <row r="1960" spans="1:9" x14ac:dyDescent="0.25">
      <c r="A1960">
        <f t="shared" si="145"/>
        <v>91.3125</v>
      </c>
      <c r="B1960" t="s">
        <v>25</v>
      </c>
      <c r="C1960" t="s">
        <v>7</v>
      </c>
      <c r="D1960">
        <v>48</v>
      </c>
      <c r="E1960">
        <f t="shared" si="148"/>
        <v>65</v>
      </c>
      <c r="F1960" s="22">
        <f>'2085WL_W'!$J14</f>
        <v>3.4955163911158431E-2</v>
      </c>
      <c r="G1960" s="22" t="s">
        <v>33</v>
      </c>
      <c r="H1960" s="22">
        <f>'2085WL_W'!$J14</f>
        <v>3.4955163911158431E-2</v>
      </c>
      <c r="I1960" t="str">
        <f t="shared" si="146"/>
        <v>WL2085;winter;48;65;3.49551639111584E-02;TRUE;3.49551639111584E-02</v>
      </c>
    </row>
    <row r="1961" spans="1:9" x14ac:dyDescent="0.25">
      <c r="A1961">
        <f t="shared" si="145"/>
        <v>91.3125</v>
      </c>
      <c r="B1961" t="s">
        <v>25</v>
      </c>
      <c r="C1961" t="s">
        <v>7</v>
      </c>
      <c r="D1961">
        <v>48</v>
      </c>
      <c r="E1961">
        <f t="shared" si="148"/>
        <v>70</v>
      </c>
      <c r="F1961" s="22">
        <f>'2085WL_W'!$J15</f>
        <v>2.1733145292832011E-2</v>
      </c>
      <c r="G1961" s="22" t="s">
        <v>33</v>
      </c>
      <c r="H1961" s="22">
        <f>'2085WL_W'!$J15</f>
        <v>2.1733145292832011E-2</v>
      </c>
      <c r="I1961" t="str">
        <f t="shared" si="146"/>
        <v>WL2085;winter;48;70;0.021733145292832;TRUE;0.021733145292832</v>
      </c>
    </row>
    <row r="1962" spans="1:9" x14ac:dyDescent="0.25">
      <c r="A1962">
        <f t="shared" si="145"/>
        <v>91.3125</v>
      </c>
      <c r="B1962" t="s">
        <v>25</v>
      </c>
      <c r="C1962" t="s">
        <v>7</v>
      </c>
      <c r="D1962">
        <v>48</v>
      </c>
      <c r="E1962">
        <f t="shared" si="148"/>
        <v>75</v>
      </c>
      <c r="F1962" s="22">
        <f>'2085WL_W'!$J16</f>
        <v>1.3671385540390241E-2</v>
      </c>
      <c r="G1962" s="22" t="s">
        <v>33</v>
      </c>
      <c r="H1962" s="22">
        <f>'2085WL_W'!$J16</f>
        <v>1.3671385540390241E-2</v>
      </c>
      <c r="I1962" t="str">
        <f t="shared" si="146"/>
        <v>WL2085;winter;48;75;1.36713855403902E-02;TRUE;1.36713855403902E-02</v>
      </c>
    </row>
    <row r="1963" spans="1:9" x14ac:dyDescent="0.25">
      <c r="A1963">
        <f t="shared" si="145"/>
        <v>91.3125</v>
      </c>
      <c r="B1963" t="s">
        <v>25</v>
      </c>
      <c r="C1963" t="s">
        <v>7</v>
      </c>
      <c r="D1963">
        <v>48</v>
      </c>
      <c r="E1963">
        <f t="shared" si="148"/>
        <v>80</v>
      </c>
      <c r="F1963" s="22">
        <f>'2085WL_W'!$J17</f>
        <v>8.696349822591324E-3</v>
      </c>
      <c r="G1963" s="22" t="s">
        <v>33</v>
      </c>
      <c r="H1963" s="22">
        <f>'2085WL_W'!$J17</f>
        <v>8.696349822591324E-3</v>
      </c>
      <c r="I1963" t="str">
        <f t="shared" si="146"/>
        <v>WL2085;winter;48;80;8.69634982259132E-03;TRUE;8.69634982259132E-03</v>
      </c>
    </row>
    <row r="1964" spans="1:9" x14ac:dyDescent="0.25">
      <c r="A1964">
        <f t="shared" si="145"/>
        <v>91.3125</v>
      </c>
      <c r="B1964" t="s">
        <v>25</v>
      </c>
      <c r="C1964" t="s">
        <v>7</v>
      </c>
      <c r="D1964">
        <v>48</v>
      </c>
      <c r="E1964">
        <f t="shared" si="148"/>
        <v>85</v>
      </c>
      <c r="F1964" s="22">
        <f>'2085WL_W'!$J18</f>
        <v>5.5907365117833872E-3</v>
      </c>
      <c r="G1964" s="22" t="s">
        <v>33</v>
      </c>
      <c r="H1964" s="22">
        <f>'2085WL_W'!$J18</f>
        <v>5.5907365117833872E-3</v>
      </c>
      <c r="I1964" t="str">
        <f t="shared" si="146"/>
        <v>WL2085;winter;48;85;5.59073651178339E-03;TRUE;5.59073651178339E-03</v>
      </c>
    </row>
    <row r="1965" spans="1:9" x14ac:dyDescent="0.25">
      <c r="A1965">
        <f t="shared" si="145"/>
        <v>91.3125</v>
      </c>
      <c r="B1965" t="s">
        <v>25</v>
      </c>
      <c r="C1965" t="s">
        <v>7</v>
      </c>
      <c r="D1965">
        <v>48</v>
      </c>
      <c r="E1965">
        <f t="shared" si="148"/>
        <v>90</v>
      </c>
      <c r="F1965" s="22">
        <f>'2085WL_W'!$J19</f>
        <v>3.6307576431686738E-3</v>
      </c>
      <c r="G1965" s="22" t="s">
        <v>33</v>
      </c>
      <c r="H1965" s="22">
        <f>'2085WL_W'!$J19</f>
        <v>3.6307576431686738E-3</v>
      </c>
      <c r="I1965" t="str">
        <f t="shared" si="146"/>
        <v>WL2085;winter;48;90;3.63075764316867E-03;TRUE;3.63075764316867E-03</v>
      </c>
    </row>
    <row r="1966" spans="1:9" x14ac:dyDescent="0.25">
      <c r="A1966">
        <f t="shared" si="145"/>
        <v>91.3125</v>
      </c>
      <c r="B1966" t="s">
        <v>25</v>
      </c>
      <c r="C1966" t="s">
        <v>7</v>
      </c>
      <c r="D1966">
        <v>48</v>
      </c>
      <c r="E1966">
        <f t="shared" si="148"/>
        <v>95</v>
      </c>
      <c r="F1966" s="22">
        <f>'2085WL_W'!$J20</f>
        <v>2.3808092149832242E-3</v>
      </c>
      <c r="G1966" s="22" t="s">
        <v>33</v>
      </c>
      <c r="H1966" s="22">
        <f>'2085WL_W'!$J20</f>
        <v>2.3808092149832242E-3</v>
      </c>
      <c r="I1966" t="str">
        <f t="shared" si="146"/>
        <v>WL2085;winter;48;95;2.38080921498322E-03;TRUE;2.38080921498322E-03</v>
      </c>
    </row>
    <row r="1967" spans="1:9" x14ac:dyDescent="0.25">
      <c r="A1967">
        <f t="shared" si="145"/>
        <v>91.3125</v>
      </c>
      <c r="B1967" t="s">
        <v>25</v>
      </c>
      <c r="C1967" t="s">
        <v>7</v>
      </c>
      <c r="D1967">
        <v>48</v>
      </c>
      <c r="E1967">
        <f t="shared" si="148"/>
        <v>100</v>
      </c>
      <c r="F1967" s="22">
        <f>'2085WL_W'!$J21</f>
        <v>1.5756758966257427E-3</v>
      </c>
      <c r="G1967" s="22" t="s">
        <v>33</v>
      </c>
      <c r="H1967" s="22">
        <f>'2085WL_W'!$J21</f>
        <v>1.5756758966257427E-3</v>
      </c>
      <c r="I1967" t="str">
        <f t="shared" si="146"/>
        <v>WL2085;winter;48;100;1.57567589662574E-03;TRUE;1.57567589662574E-03</v>
      </c>
    </row>
    <row r="1968" spans="1:9" x14ac:dyDescent="0.25">
      <c r="A1968">
        <f t="shared" si="145"/>
        <v>91.3125</v>
      </c>
      <c r="B1968" t="s">
        <v>25</v>
      </c>
      <c r="C1968" t="s">
        <v>7</v>
      </c>
      <c r="D1968">
        <v>48</v>
      </c>
      <c r="E1968">
        <f t="shared" si="148"/>
        <v>105</v>
      </c>
      <c r="F1968" s="22">
        <f>'2085WL_W'!$J22</f>
        <v>3.3412973834175391E-3</v>
      </c>
      <c r="G1968" s="22" t="s">
        <v>33</v>
      </c>
      <c r="H1968" s="22">
        <f>'2085WL_W'!$J22</f>
        <v>3.3412973834175391E-3</v>
      </c>
      <c r="I1968" t="str">
        <f t="shared" si="146"/>
        <v>WL2085;winter;48;105;3.34129738341754E-03;TRUE;3.34129738341754E-03</v>
      </c>
    </row>
    <row r="1969" spans="1:9" x14ac:dyDescent="0.25">
      <c r="A1969">
        <f t="shared" si="145"/>
        <v>45.65625</v>
      </c>
      <c r="B1969" t="s">
        <v>25</v>
      </c>
      <c r="C1969" t="s">
        <v>7</v>
      </c>
      <c r="D1969">
        <v>96</v>
      </c>
      <c r="E1969">
        <v>20</v>
      </c>
      <c r="F1969" s="22">
        <f>'2085WL_W'!$N5</f>
        <v>80.428772620587083</v>
      </c>
      <c r="G1969" s="22" t="s">
        <v>33</v>
      </c>
      <c r="H1969" s="22">
        <f>'2085WL_W'!$N5</f>
        <v>80.428772620587083</v>
      </c>
      <c r="I1969" t="str">
        <f t="shared" si="146"/>
        <v>WL2085;winter;96;20;80.4287726205871;TRUE;80.4287726205871</v>
      </c>
    </row>
    <row r="1970" spans="1:9" x14ac:dyDescent="0.25">
      <c r="A1970">
        <f t="shared" si="145"/>
        <v>45.65625</v>
      </c>
      <c r="B1970" t="s">
        <v>25</v>
      </c>
      <c r="C1970" t="s">
        <v>7</v>
      </c>
      <c r="D1970">
        <v>96</v>
      </c>
      <c r="E1970">
        <f>E1969+5</f>
        <v>25</v>
      </c>
      <c r="F1970" s="22">
        <f>'2085WL_W'!$N6</f>
        <v>3.6285747614523682</v>
      </c>
      <c r="G1970" s="22" t="s">
        <v>33</v>
      </c>
      <c r="H1970" s="22">
        <f>'2085WL_W'!$N6</f>
        <v>3.6285747614523682</v>
      </c>
      <c r="I1970" t="str">
        <f t="shared" si="146"/>
        <v>WL2085;winter;96;25;3.62857476145237;TRUE;3.62857476145237</v>
      </c>
    </row>
    <row r="1971" spans="1:9" x14ac:dyDescent="0.25">
      <c r="A1971">
        <f t="shared" si="145"/>
        <v>45.65625</v>
      </c>
      <c r="B1971" t="s">
        <v>25</v>
      </c>
      <c r="C1971" t="s">
        <v>7</v>
      </c>
      <c r="D1971">
        <v>96</v>
      </c>
      <c r="E1971">
        <f t="shared" ref="E1971:E1989" si="149">E1970+5</f>
        <v>30</v>
      </c>
      <c r="F1971" s="22">
        <f>'2085WL_W'!$N7</f>
        <v>2.4014512830050458</v>
      </c>
      <c r="G1971" s="22" t="s">
        <v>33</v>
      </c>
      <c r="H1971" s="22">
        <f>'2085WL_W'!$N7</f>
        <v>2.4014512830050458</v>
      </c>
      <c r="I1971" t="str">
        <f t="shared" si="146"/>
        <v>WL2085;winter;96;30;2.40145128300505;TRUE;2.40145128300505</v>
      </c>
    </row>
    <row r="1972" spans="1:9" x14ac:dyDescent="0.25">
      <c r="A1972">
        <f t="shared" si="145"/>
        <v>45.65625</v>
      </c>
      <c r="B1972" t="s">
        <v>25</v>
      </c>
      <c r="C1972" t="s">
        <v>7</v>
      </c>
      <c r="D1972">
        <v>96</v>
      </c>
      <c r="E1972">
        <f t="shared" si="149"/>
        <v>35</v>
      </c>
      <c r="F1972" s="22">
        <f>'2085WL_W'!$N8</f>
        <v>1.5951104608106625</v>
      </c>
      <c r="G1972" s="22" t="s">
        <v>33</v>
      </c>
      <c r="H1972" s="22">
        <f>'2085WL_W'!$N8</f>
        <v>1.5951104608106625</v>
      </c>
      <c r="I1972" t="str">
        <f t="shared" si="146"/>
        <v>WL2085;winter;96;35;1.59511046081066;TRUE;1.59511046081066</v>
      </c>
    </row>
    <row r="1973" spans="1:9" x14ac:dyDescent="0.25">
      <c r="A1973">
        <f t="shared" si="145"/>
        <v>45.65625</v>
      </c>
      <c r="B1973" t="s">
        <v>25</v>
      </c>
      <c r="C1973" t="s">
        <v>7</v>
      </c>
      <c r="D1973">
        <v>96</v>
      </c>
      <c r="E1973">
        <f t="shared" si="149"/>
        <v>40</v>
      </c>
      <c r="F1973" s="22">
        <f>'2085WL_W'!$N9</f>
        <v>1.0633088558759303</v>
      </c>
      <c r="G1973" s="22" t="s">
        <v>33</v>
      </c>
      <c r="H1973" s="22">
        <f>'2085WL_W'!$N9</f>
        <v>1.0633088558759303</v>
      </c>
      <c r="I1973" t="str">
        <f t="shared" si="146"/>
        <v>WL2085;winter;96;40;1.06330885587593;TRUE;1.06330885587593</v>
      </c>
    </row>
    <row r="1974" spans="1:9" x14ac:dyDescent="0.25">
      <c r="A1974">
        <f t="shared" si="145"/>
        <v>45.65625</v>
      </c>
      <c r="B1974" t="s">
        <v>25</v>
      </c>
      <c r="C1974" t="s">
        <v>7</v>
      </c>
      <c r="D1974">
        <v>96</v>
      </c>
      <c r="E1974">
        <f t="shared" si="149"/>
        <v>45</v>
      </c>
      <c r="F1974" s="22">
        <f>'2085WL_W'!$N10</f>
        <v>0.71130016491396386</v>
      </c>
      <c r="G1974" s="22" t="s">
        <v>33</v>
      </c>
      <c r="H1974" s="22">
        <f>'2085WL_W'!$N10</f>
        <v>0.71130016491396386</v>
      </c>
      <c r="I1974" t="str">
        <f t="shared" si="146"/>
        <v>WL2085;winter;96;45;0.711300164913964;TRUE;0.711300164913964</v>
      </c>
    </row>
    <row r="1975" spans="1:9" x14ac:dyDescent="0.25">
      <c r="A1975">
        <f t="shared" si="145"/>
        <v>45.65625</v>
      </c>
      <c r="B1975" t="s">
        <v>25</v>
      </c>
      <c r="C1975" t="s">
        <v>7</v>
      </c>
      <c r="D1975">
        <v>96</v>
      </c>
      <c r="E1975">
        <f t="shared" si="149"/>
        <v>50</v>
      </c>
      <c r="F1975" s="22">
        <f>'2085WL_W'!$N11</f>
        <v>0.47746881985785827</v>
      </c>
      <c r="G1975" s="22" t="s">
        <v>33</v>
      </c>
      <c r="H1975" s="22">
        <f>'2085WL_W'!$N11</f>
        <v>0.47746881985785827</v>
      </c>
      <c r="I1975" t="str">
        <f t="shared" si="146"/>
        <v>WL2085;winter;96;50;0.477468819857858;TRUE;0.477468819857858</v>
      </c>
    </row>
    <row r="1976" spans="1:9" x14ac:dyDescent="0.25">
      <c r="A1976">
        <f t="shared" si="145"/>
        <v>45.65625</v>
      </c>
      <c r="B1976" t="s">
        <v>25</v>
      </c>
      <c r="C1976" t="s">
        <v>7</v>
      </c>
      <c r="D1976">
        <v>96</v>
      </c>
      <c r="E1976">
        <f t="shared" si="149"/>
        <v>55</v>
      </c>
      <c r="F1976" s="22">
        <f>'2085WL_W'!$N12</f>
        <v>0.3215957032378578</v>
      </c>
      <c r="G1976" s="22" t="s">
        <v>33</v>
      </c>
      <c r="H1976" s="22">
        <f>'2085WL_W'!$N12</f>
        <v>0.3215957032378578</v>
      </c>
      <c r="I1976" t="str">
        <f t="shared" si="146"/>
        <v>WL2085;winter;96;55;0.321595703237858;TRUE;0.321595703237858</v>
      </c>
    </row>
    <row r="1977" spans="1:9" x14ac:dyDescent="0.25">
      <c r="A1977">
        <f t="shared" si="145"/>
        <v>45.65625</v>
      </c>
      <c r="B1977" t="s">
        <v>25</v>
      </c>
      <c r="C1977" t="s">
        <v>7</v>
      </c>
      <c r="D1977">
        <v>96</v>
      </c>
      <c r="E1977">
        <f t="shared" si="149"/>
        <v>60</v>
      </c>
      <c r="F1977" s="22">
        <f>'2085WL_W'!$N13</f>
        <v>0.21733201498188875</v>
      </c>
      <c r="G1977" s="22" t="s">
        <v>33</v>
      </c>
      <c r="H1977" s="22">
        <f>'2085WL_W'!$N13</f>
        <v>0.21733201498188875</v>
      </c>
      <c r="I1977" t="str">
        <f t="shared" si="146"/>
        <v>WL2085;winter;96;60;0.217332014981889;TRUE;0.217332014981889</v>
      </c>
    </row>
    <row r="1978" spans="1:9" x14ac:dyDescent="0.25">
      <c r="A1978">
        <f t="shared" si="145"/>
        <v>45.65625</v>
      </c>
      <c r="B1978" t="s">
        <v>25</v>
      </c>
      <c r="C1978" t="s">
        <v>7</v>
      </c>
      <c r="D1978">
        <v>96</v>
      </c>
      <c r="E1978">
        <f t="shared" si="149"/>
        <v>65</v>
      </c>
      <c r="F1978" s="22">
        <f>'2085WL_W'!$N14</f>
        <v>0.14735374577377353</v>
      </c>
      <c r="G1978" s="22" t="s">
        <v>33</v>
      </c>
      <c r="H1978" s="22">
        <f>'2085WL_W'!$N14</f>
        <v>0.14735374577377353</v>
      </c>
      <c r="I1978" t="str">
        <f t="shared" si="146"/>
        <v>WL2085;winter;96;65;0.147353745773774;TRUE;0.147353745773774</v>
      </c>
    </row>
    <row r="1979" spans="1:9" x14ac:dyDescent="0.25">
      <c r="A1979">
        <f t="shared" si="145"/>
        <v>45.65625</v>
      </c>
      <c r="B1979" t="s">
        <v>25</v>
      </c>
      <c r="C1979" t="s">
        <v>7</v>
      </c>
      <c r="D1979">
        <v>96</v>
      </c>
      <c r="E1979">
        <f t="shared" si="149"/>
        <v>70</v>
      </c>
      <c r="F1979" s="22">
        <f>'2085WL_W'!$N15</f>
        <v>0.10023029755547169</v>
      </c>
      <c r="G1979" s="22" t="s">
        <v>33</v>
      </c>
      <c r="H1979" s="22">
        <f>'2085WL_W'!$N15</f>
        <v>0.10023029755547169</v>
      </c>
      <c r="I1979" t="str">
        <f t="shared" si="146"/>
        <v>WL2085;winter;96;70;0.100230297555472;TRUE;0.100230297555472</v>
      </c>
    </row>
    <row r="1980" spans="1:9" x14ac:dyDescent="0.25">
      <c r="A1980">
        <f t="shared" si="145"/>
        <v>45.65625</v>
      </c>
      <c r="B1980" t="s">
        <v>25</v>
      </c>
      <c r="C1980" t="s">
        <v>7</v>
      </c>
      <c r="D1980">
        <v>96</v>
      </c>
      <c r="E1980">
        <f t="shared" si="149"/>
        <v>75</v>
      </c>
      <c r="F1980" s="22">
        <f>'2085WL_W'!$N16</f>
        <v>6.8393396190063016E-2</v>
      </c>
      <c r="G1980" s="22" t="s">
        <v>33</v>
      </c>
      <c r="H1980" s="22">
        <f>'2085WL_W'!$N16</f>
        <v>6.8393396190063016E-2</v>
      </c>
      <c r="I1980" t="str">
        <f t="shared" si="146"/>
        <v>WL2085;winter;96;75;0.068393396190063;TRUE;0.068393396190063</v>
      </c>
    </row>
    <row r="1981" spans="1:9" x14ac:dyDescent="0.25">
      <c r="A1981">
        <f t="shared" si="145"/>
        <v>45.65625</v>
      </c>
      <c r="B1981" t="s">
        <v>25</v>
      </c>
      <c r="C1981" t="s">
        <v>7</v>
      </c>
      <c r="D1981">
        <v>96</v>
      </c>
      <c r="E1981">
        <f t="shared" si="149"/>
        <v>80</v>
      </c>
      <c r="F1981" s="22">
        <f>'2085WL_W'!$N17</f>
        <v>4.6814904393270157E-2</v>
      </c>
      <c r="G1981" s="22" t="s">
        <v>33</v>
      </c>
      <c r="H1981" s="22">
        <f>'2085WL_W'!$N17</f>
        <v>4.6814904393270157E-2</v>
      </c>
      <c r="I1981" t="str">
        <f t="shared" si="146"/>
        <v>WL2085;winter;96;80;4.68149043932702E-02;TRUE;4.68149043932702E-02</v>
      </c>
    </row>
    <row r="1982" spans="1:9" x14ac:dyDescent="0.25">
      <c r="A1982">
        <f t="shared" si="145"/>
        <v>45.65625</v>
      </c>
      <c r="B1982" t="s">
        <v>25</v>
      </c>
      <c r="C1982" t="s">
        <v>7</v>
      </c>
      <c r="D1982">
        <v>96</v>
      </c>
      <c r="E1982">
        <f t="shared" si="149"/>
        <v>85</v>
      </c>
      <c r="F1982" s="22">
        <f>'2085WL_W'!$N18</f>
        <v>3.2143042960788099E-2</v>
      </c>
      <c r="G1982" s="22" t="s">
        <v>33</v>
      </c>
      <c r="H1982" s="22">
        <f>'2085WL_W'!$N18</f>
        <v>3.2143042960788099E-2</v>
      </c>
      <c r="I1982" t="str">
        <f t="shared" si="146"/>
        <v>WL2085;winter;96;85;3.21430429607881E-02;TRUE;3.21430429607881E-02</v>
      </c>
    </row>
    <row r="1983" spans="1:9" x14ac:dyDescent="0.25">
      <c r="A1983">
        <f t="shared" si="145"/>
        <v>45.65625</v>
      </c>
      <c r="B1983" t="s">
        <v>25</v>
      </c>
      <c r="C1983" t="s">
        <v>7</v>
      </c>
      <c r="D1983">
        <v>96</v>
      </c>
      <c r="E1983">
        <f t="shared" si="149"/>
        <v>90</v>
      </c>
      <c r="F1983" s="22">
        <f>'2085WL_W'!$N19</f>
        <v>2.2136109738717984E-2</v>
      </c>
      <c r="G1983" s="22" t="s">
        <v>33</v>
      </c>
      <c r="H1983" s="22">
        <f>'2085WL_W'!$N19</f>
        <v>2.2136109738717984E-2</v>
      </c>
      <c r="I1983" t="str">
        <f t="shared" si="146"/>
        <v>WL2085;winter;96;90;0.022136109738718;TRUE;0.022136109738718</v>
      </c>
    </row>
    <row r="1984" spans="1:9" x14ac:dyDescent="0.25">
      <c r="A1984">
        <f t="shared" si="145"/>
        <v>45.65625</v>
      </c>
      <c r="B1984" t="s">
        <v>25</v>
      </c>
      <c r="C1984" t="s">
        <v>7</v>
      </c>
      <c r="D1984">
        <v>96</v>
      </c>
      <c r="E1984">
        <f t="shared" si="149"/>
        <v>95</v>
      </c>
      <c r="F1984" s="22">
        <f>'2085WL_W'!$N20</f>
        <v>1.5289953668699827E-2</v>
      </c>
      <c r="G1984" s="22" t="s">
        <v>33</v>
      </c>
      <c r="H1984" s="22">
        <f>'2085WL_W'!$N20</f>
        <v>1.5289953668699827E-2</v>
      </c>
      <c r="I1984" t="str">
        <f t="shared" si="146"/>
        <v>WL2085;winter;96;95;1.52899536686998E-02;TRUE;1.52899536686998E-02</v>
      </c>
    </row>
    <row r="1985" spans="1:9" x14ac:dyDescent="0.25">
      <c r="A1985">
        <f t="shared" si="145"/>
        <v>45.65625</v>
      </c>
      <c r="B1985" t="s">
        <v>25</v>
      </c>
      <c r="C1985" t="s">
        <v>7</v>
      </c>
      <c r="D1985">
        <v>96</v>
      </c>
      <c r="E1985">
        <f t="shared" si="149"/>
        <v>100</v>
      </c>
      <c r="F1985" s="22">
        <f>'2085WL_W'!$N21</f>
        <v>1.0592078554744071E-2</v>
      </c>
      <c r="G1985" s="22" t="s">
        <v>33</v>
      </c>
      <c r="H1985" s="22">
        <f>'2085WL_W'!$N21</f>
        <v>1.0592078554744071E-2</v>
      </c>
      <c r="I1985" t="str">
        <f t="shared" si="146"/>
        <v>WL2085;winter;96;100;1.05920785547441E-02;TRUE;1.05920785547441E-02</v>
      </c>
    </row>
    <row r="1986" spans="1:9" x14ac:dyDescent="0.25">
      <c r="A1986">
        <f t="shared" ref="A1986:A2049" si="150">IF(C1986="zomer",24/D1986*365.25 * 6/12,24/D1986*365.25 * 6/12)</f>
        <v>45.65625</v>
      </c>
      <c r="B1986" t="s">
        <v>25</v>
      </c>
      <c r="C1986" t="s">
        <v>7</v>
      </c>
      <c r="D1986">
        <v>96</v>
      </c>
      <c r="E1986">
        <f t="shared" si="149"/>
        <v>105</v>
      </c>
      <c r="F1986" s="22">
        <f>'2085WL_W'!$N22</f>
        <v>7.3587905767454678E-3</v>
      </c>
      <c r="G1986" s="22" t="s">
        <v>33</v>
      </c>
      <c r="H1986" s="22">
        <f>'2085WL_W'!$N22</f>
        <v>7.3587905767454678E-3</v>
      </c>
      <c r="I1986" t="str">
        <f t="shared" ref="I1986:I2049" si="151">CONCATENATEWITHDELIMITER(B1986:H1986,";")</f>
        <v>WL2085;winter;96;105;7.35879057674547E-03;TRUE;7.35879057674547E-03</v>
      </c>
    </row>
    <row r="1987" spans="1:9" x14ac:dyDescent="0.25">
      <c r="A1987">
        <f t="shared" si="150"/>
        <v>45.65625</v>
      </c>
      <c r="B1987" t="s">
        <v>25</v>
      </c>
      <c r="C1987" t="s">
        <v>7</v>
      </c>
      <c r="D1987">
        <v>96</v>
      </c>
      <c r="E1987">
        <f t="shared" si="149"/>
        <v>110</v>
      </c>
      <c r="F1987" s="22">
        <f>'2085WL_W'!$N23</f>
        <v>5.1269898795065095E-3</v>
      </c>
      <c r="G1987" s="22" t="s">
        <v>33</v>
      </c>
      <c r="H1987" s="22">
        <f>'2085WL_W'!$N23</f>
        <v>5.1269898795065095E-3</v>
      </c>
      <c r="I1987" t="str">
        <f t="shared" si="151"/>
        <v>WL2085;winter;96;110;5.12698987950651E-03;TRUE;5.12698987950651E-03</v>
      </c>
    </row>
    <row r="1988" spans="1:9" x14ac:dyDescent="0.25">
      <c r="A1988">
        <f t="shared" si="150"/>
        <v>45.65625</v>
      </c>
      <c r="B1988" t="s">
        <v>25</v>
      </c>
      <c r="C1988" t="s">
        <v>7</v>
      </c>
      <c r="D1988">
        <v>96</v>
      </c>
      <c r="E1988">
        <f t="shared" si="149"/>
        <v>115</v>
      </c>
      <c r="F1988" s="22">
        <f>'2085WL_W'!$N24</f>
        <v>3.5820383641028825E-3</v>
      </c>
      <c r="G1988" s="22" t="s">
        <v>33</v>
      </c>
      <c r="H1988" s="22">
        <f>'2085WL_W'!$N24</f>
        <v>3.5820383641028825E-3</v>
      </c>
      <c r="I1988" t="str">
        <f t="shared" si="151"/>
        <v>WL2085;winter;96;115;3.58203836410288E-03;TRUE;3.58203836410288E-03</v>
      </c>
    </row>
    <row r="1989" spans="1:9" x14ac:dyDescent="0.25">
      <c r="A1989">
        <f t="shared" si="150"/>
        <v>45.65625</v>
      </c>
      <c r="B1989" t="s">
        <v>25</v>
      </c>
      <c r="C1989" t="s">
        <v>7</v>
      </c>
      <c r="D1989">
        <v>96</v>
      </c>
      <c r="E1989">
        <f t="shared" si="149"/>
        <v>120</v>
      </c>
      <c r="F1989" s="22">
        <f>'2085WL_W'!$N25</f>
        <v>8.5639676214550892E-3</v>
      </c>
      <c r="G1989" s="22" t="s">
        <v>33</v>
      </c>
      <c r="H1989" s="22">
        <f>'2085WL_W'!$N25</f>
        <v>8.5639676214550892E-3</v>
      </c>
      <c r="I1989" t="str">
        <f t="shared" si="151"/>
        <v>WL2085;winter;96;120;8.56396762145509E-03;TRUE;8.56396762145509E-03</v>
      </c>
    </row>
    <row r="1990" spans="1:9" x14ac:dyDescent="0.25">
      <c r="A1990">
        <f t="shared" si="150"/>
        <v>22.828125</v>
      </c>
      <c r="B1990" t="s">
        <v>25</v>
      </c>
      <c r="C1990" t="s">
        <v>7</v>
      </c>
      <c r="D1990">
        <v>192</v>
      </c>
      <c r="E1990">
        <v>25</v>
      </c>
      <c r="F1990" s="22">
        <f>'2085WL_W'!$R6</f>
        <v>34.700541679583466</v>
      </c>
      <c r="G1990" s="22" t="s">
        <v>33</v>
      </c>
      <c r="H1990" s="22">
        <f>'2085WL_W'!$R6</f>
        <v>34.700541679583466</v>
      </c>
      <c r="I1990" t="str">
        <f t="shared" si="151"/>
        <v>WL2085;winter;192;25;34.7005416795835;TRUE;34.7005416795835</v>
      </c>
    </row>
    <row r="1991" spans="1:9" x14ac:dyDescent="0.25">
      <c r="A1991">
        <f t="shared" si="150"/>
        <v>22.828125</v>
      </c>
      <c r="B1991" t="s">
        <v>25</v>
      </c>
      <c r="C1991" t="s">
        <v>7</v>
      </c>
      <c r="D1991">
        <v>192</v>
      </c>
      <c r="E1991">
        <f>E1990+5</f>
        <v>30</v>
      </c>
      <c r="F1991" s="22">
        <f>'2085WL_W'!$R7</f>
        <v>2.4348186870697184</v>
      </c>
      <c r="G1991" s="22" t="s">
        <v>33</v>
      </c>
      <c r="H1991" s="22">
        <f>'2085WL_W'!$R7</f>
        <v>2.4348186870697184</v>
      </c>
      <c r="I1991" t="str">
        <f t="shared" si="151"/>
        <v>WL2085;winter;192;30;2.43481868706972;TRUE;2.43481868706972</v>
      </c>
    </row>
    <row r="1992" spans="1:9" x14ac:dyDescent="0.25">
      <c r="A1992">
        <f t="shared" si="150"/>
        <v>22.828125</v>
      </c>
      <c r="B1992" t="s">
        <v>25</v>
      </c>
      <c r="C1992" t="s">
        <v>7</v>
      </c>
      <c r="D1992">
        <v>192</v>
      </c>
      <c r="E1992">
        <f t="shared" ref="E1992:E2016" si="152">E1991+5</f>
        <v>35</v>
      </c>
      <c r="F1992" s="22">
        <f>'2085WL_W'!$R8</f>
        <v>1.913154494666478</v>
      </c>
      <c r="G1992" s="22" t="s">
        <v>33</v>
      </c>
      <c r="H1992" s="22">
        <f>'2085WL_W'!$R8</f>
        <v>1.913154494666478</v>
      </c>
      <c r="I1992" t="str">
        <f t="shared" si="151"/>
        <v>WL2085;winter;192;35;1.91315449466648;TRUE;1.91315449466648</v>
      </c>
    </row>
    <row r="1993" spans="1:9" x14ac:dyDescent="0.25">
      <c r="A1993">
        <f t="shared" si="150"/>
        <v>22.828125</v>
      </c>
      <c r="B1993" t="s">
        <v>25</v>
      </c>
      <c r="C1993" t="s">
        <v>7</v>
      </c>
      <c r="D1993">
        <v>192</v>
      </c>
      <c r="E1993">
        <f t="shared" si="152"/>
        <v>40</v>
      </c>
      <c r="F1993" s="22">
        <f>'2085WL_W'!$R9</f>
        <v>1.4990010570988739</v>
      </c>
      <c r="G1993" s="22" t="s">
        <v>33</v>
      </c>
      <c r="H1993" s="22">
        <f>'2085WL_W'!$R9</f>
        <v>1.4990010570988739</v>
      </c>
      <c r="I1993" t="str">
        <f t="shared" si="151"/>
        <v>WL2085;winter;192;40;1.49900105709887;TRUE;1.49900105709887</v>
      </c>
    </row>
    <row r="1994" spans="1:9" x14ac:dyDescent="0.25">
      <c r="A1994">
        <f t="shared" si="150"/>
        <v>22.828125</v>
      </c>
      <c r="B1994" t="s">
        <v>25</v>
      </c>
      <c r="C1994" t="s">
        <v>7</v>
      </c>
      <c r="D1994">
        <v>192</v>
      </c>
      <c r="E1994">
        <f t="shared" si="152"/>
        <v>45</v>
      </c>
      <c r="F1994" s="22">
        <f>'2085WL_W'!$R10</f>
        <v>1.1710973858852829</v>
      </c>
      <c r="G1994" s="22" t="s">
        <v>33</v>
      </c>
      <c r="H1994" s="22">
        <f>'2085WL_W'!$R10</f>
        <v>1.1710973858852829</v>
      </c>
      <c r="I1994" t="str">
        <f t="shared" si="151"/>
        <v>WL2085;winter;192;45;1.17109738588528;TRUE;1.17109738588528</v>
      </c>
    </row>
    <row r="1995" spans="1:9" x14ac:dyDescent="0.25">
      <c r="A1995">
        <f t="shared" si="150"/>
        <v>22.828125</v>
      </c>
      <c r="B1995" t="s">
        <v>25</v>
      </c>
      <c r="C1995" t="s">
        <v>7</v>
      </c>
      <c r="D1995">
        <v>192</v>
      </c>
      <c r="E1995">
        <f t="shared" si="152"/>
        <v>50</v>
      </c>
      <c r="F1995" s="22">
        <f>'2085WL_W'!$R11</f>
        <v>0.91220594132846688</v>
      </c>
      <c r="G1995" s="22" t="s">
        <v>33</v>
      </c>
      <c r="H1995" s="22">
        <f>'2085WL_W'!$R11</f>
        <v>0.91220594132846688</v>
      </c>
      <c r="I1995" t="str">
        <f t="shared" si="151"/>
        <v>WL2085;winter;192;50;0.912205941328467;TRUE;0.912205941328467</v>
      </c>
    </row>
    <row r="1996" spans="1:9" x14ac:dyDescent="0.25">
      <c r="A1996">
        <f t="shared" si="150"/>
        <v>22.828125</v>
      </c>
      <c r="B1996" t="s">
        <v>25</v>
      </c>
      <c r="C1996" t="s">
        <v>7</v>
      </c>
      <c r="D1996">
        <v>192</v>
      </c>
      <c r="E1996">
        <f t="shared" si="152"/>
        <v>55</v>
      </c>
      <c r="F1996" s="22">
        <f>'2085WL_W'!$R12</f>
        <v>0.70838624701076958</v>
      </c>
      <c r="G1996" s="22" t="s">
        <v>33</v>
      </c>
      <c r="H1996" s="22">
        <f>'2085WL_W'!$R12</f>
        <v>0.70838624701076958</v>
      </c>
      <c r="I1996" t="str">
        <f t="shared" si="151"/>
        <v>WL2085;winter;192;55;0.70838624701077;TRUE;0.70838624701077</v>
      </c>
    </row>
    <row r="1997" spans="1:9" x14ac:dyDescent="0.25">
      <c r="A1997">
        <f t="shared" si="150"/>
        <v>22.828125</v>
      </c>
      <c r="B1997" t="s">
        <v>25</v>
      </c>
      <c r="C1997" t="s">
        <v>7</v>
      </c>
      <c r="D1997">
        <v>192</v>
      </c>
      <c r="E1997">
        <f t="shared" si="152"/>
        <v>60</v>
      </c>
      <c r="F1997" s="22">
        <f>'2085WL_W'!$R13</f>
        <v>0.54839318248439262</v>
      </c>
      <c r="G1997" s="22" t="s">
        <v>33</v>
      </c>
      <c r="H1997" s="22">
        <f>'2085WL_W'!$R13</f>
        <v>0.54839318248439262</v>
      </c>
      <c r="I1997" t="str">
        <f t="shared" si="151"/>
        <v>WL2085;winter;192;60;0.548393182484393;TRUE;0.548393182484393</v>
      </c>
    </row>
    <row r="1998" spans="1:9" x14ac:dyDescent="0.25">
      <c r="A1998">
        <f t="shared" si="150"/>
        <v>22.828125</v>
      </c>
      <c r="B1998" t="s">
        <v>25</v>
      </c>
      <c r="C1998" t="s">
        <v>7</v>
      </c>
      <c r="D1998">
        <v>192</v>
      </c>
      <c r="E1998">
        <f t="shared" si="152"/>
        <v>65</v>
      </c>
      <c r="F1998" s="22">
        <f>'2085WL_W'!$R14</f>
        <v>0.4231796882188501</v>
      </c>
      <c r="G1998" s="22" t="s">
        <v>33</v>
      </c>
      <c r="H1998" s="22">
        <f>'2085WL_W'!$R14</f>
        <v>0.4231796882188501</v>
      </c>
      <c r="I1998" t="str">
        <f t="shared" si="151"/>
        <v>WL2085;winter;192;65;0.42317968821885;TRUE;0.42317968821885</v>
      </c>
    </row>
    <row r="1999" spans="1:9" x14ac:dyDescent="0.25">
      <c r="A1999">
        <f t="shared" si="150"/>
        <v>22.828125</v>
      </c>
      <c r="B1999" t="s">
        <v>25</v>
      </c>
      <c r="C1999" t="s">
        <v>7</v>
      </c>
      <c r="D1999">
        <v>192</v>
      </c>
      <c r="E1999">
        <f t="shared" si="152"/>
        <v>70</v>
      </c>
      <c r="F1999" s="22">
        <f>'2085WL_W'!$R15</f>
        <v>0.32548672248678923</v>
      </c>
      <c r="G1999" s="22" t="s">
        <v>33</v>
      </c>
      <c r="H1999" s="22">
        <f>'2085WL_W'!$R15</f>
        <v>0.32548672248678923</v>
      </c>
      <c r="I1999" t="str">
        <f t="shared" si="151"/>
        <v>WL2085;winter;192;70;0.325486722486789;TRUE;0.325486722486789</v>
      </c>
    </row>
    <row r="2000" spans="1:9" x14ac:dyDescent="0.25">
      <c r="A2000">
        <f t="shared" si="150"/>
        <v>22.828125</v>
      </c>
      <c r="B2000" t="s">
        <v>25</v>
      </c>
      <c r="C2000" t="s">
        <v>7</v>
      </c>
      <c r="D2000">
        <v>192</v>
      </c>
      <c r="E2000">
        <f t="shared" si="152"/>
        <v>75</v>
      </c>
      <c r="F2000" s="22">
        <f>'2085WL_W'!$R16</f>
        <v>0.24950596912799028</v>
      </c>
      <c r="G2000" s="22" t="s">
        <v>33</v>
      </c>
      <c r="H2000" s="22">
        <f>'2085WL_W'!$R16</f>
        <v>0.24950596912799028</v>
      </c>
      <c r="I2000" t="str">
        <f t="shared" si="151"/>
        <v>WL2085;winter;192;75;0.24950596912799;TRUE;0.24950596912799</v>
      </c>
    </row>
    <row r="2001" spans="1:9" x14ac:dyDescent="0.25">
      <c r="A2001">
        <f t="shared" si="150"/>
        <v>22.828125</v>
      </c>
      <c r="B2001" t="s">
        <v>25</v>
      </c>
      <c r="C2001" t="s">
        <v>7</v>
      </c>
      <c r="D2001">
        <v>192</v>
      </c>
      <c r="E2001">
        <f t="shared" si="152"/>
        <v>80</v>
      </c>
      <c r="F2001" s="22">
        <f>'2085WL_W'!$R17</f>
        <v>0.19060306783808945</v>
      </c>
      <c r="G2001" s="22" t="s">
        <v>33</v>
      </c>
      <c r="H2001" s="22">
        <f>'2085WL_W'!$R17</f>
        <v>0.19060306783808945</v>
      </c>
      <c r="I2001" t="str">
        <f t="shared" si="151"/>
        <v>WL2085;winter;192;80;0.190603067838089;TRUE;0.190603067838089</v>
      </c>
    </row>
    <row r="2002" spans="1:9" x14ac:dyDescent="0.25">
      <c r="A2002">
        <f t="shared" si="150"/>
        <v>22.828125</v>
      </c>
      <c r="B2002" t="s">
        <v>25</v>
      </c>
      <c r="C2002" t="s">
        <v>7</v>
      </c>
      <c r="D2002">
        <v>192</v>
      </c>
      <c r="E2002">
        <f t="shared" si="152"/>
        <v>85</v>
      </c>
      <c r="F2002" s="22">
        <f>'2085WL_W'!$R18</f>
        <v>0.14509107717033592</v>
      </c>
      <c r="G2002" s="22" t="s">
        <v>33</v>
      </c>
      <c r="H2002" s="22">
        <f>'2085WL_W'!$R18</f>
        <v>0.14509107717033592</v>
      </c>
      <c r="I2002" t="str">
        <f t="shared" si="151"/>
        <v>WL2085;winter;192;85;0.145091077170336;TRUE;0.145091077170336</v>
      </c>
    </row>
    <row r="2003" spans="1:9" x14ac:dyDescent="0.25">
      <c r="A2003">
        <f t="shared" si="150"/>
        <v>22.828125</v>
      </c>
      <c r="B2003" t="s">
        <v>25</v>
      </c>
      <c r="C2003" t="s">
        <v>7</v>
      </c>
      <c r="D2003">
        <v>192</v>
      </c>
      <c r="E2003">
        <f t="shared" si="152"/>
        <v>90</v>
      </c>
      <c r="F2003" s="22">
        <f>'2085WL_W'!$R19</f>
        <v>0.11004553063470501</v>
      </c>
      <c r="G2003" s="22" t="s">
        <v>33</v>
      </c>
      <c r="H2003" s="22">
        <f>'2085WL_W'!$R19</f>
        <v>0.11004553063470501</v>
      </c>
      <c r="I2003" t="str">
        <f t="shared" si="151"/>
        <v>WL2085;winter;192;90;0.110045530634705;TRUE;0.110045530634705</v>
      </c>
    </row>
    <row r="2004" spans="1:9" x14ac:dyDescent="0.25">
      <c r="A2004">
        <f t="shared" si="150"/>
        <v>22.828125</v>
      </c>
      <c r="B2004" t="s">
        <v>25</v>
      </c>
      <c r="C2004" t="s">
        <v>7</v>
      </c>
      <c r="D2004">
        <v>192</v>
      </c>
      <c r="E2004">
        <f t="shared" si="152"/>
        <v>95</v>
      </c>
      <c r="F2004" s="22">
        <f>'2085WL_W'!$R20</f>
        <v>8.3153848127976243E-2</v>
      </c>
      <c r="G2004" s="22" t="s">
        <v>33</v>
      </c>
      <c r="H2004" s="22">
        <f>'2085WL_W'!$R20</f>
        <v>8.3153848127976243E-2</v>
      </c>
      <c r="I2004" t="str">
        <f t="shared" si="151"/>
        <v>WL2085;winter;192;95;8.31538481279762E-02;TRUE;8.31538481279762E-02</v>
      </c>
    </row>
    <row r="2005" spans="1:9" x14ac:dyDescent="0.25">
      <c r="A2005">
        <f t="shared" si="150"/>
        <v>22.828125</v>
      </c>
      <c r="B2005" t="s">
        <v>25</v>
      </c>
      <c r="C2005" t="s">
        <v>7</v>
      </c>
      <c r="D2005">
        <v>192</v>
      </c>
      <c r="E2005">
        <f t="shared" si="152"/>
        <v>100</v>
      </c>
      <c r="F2005" s="22">
        <f>'2085WL_W'!$R21</f>
        <v>6.2593053293941714E-2</v>
      </c>
      <c r="G2005" s="22" t="s">
        <v>33</v>
      </c>
      <c r="H2005" s="22">
        <f>'2085WL_W'!$R21</f>
        <v>6.2593053293941714E-2</v>
      </c>
      <c r="I2005" t="str">
        <f t="shared" si="151"/>
        <v>WL2085;winter;192;100;6.25930532939417E-02;TRUE;6.25930532939417E-02</v>
      </c>
    </row>
    <row r="2006" spans="1:9" x14ac:dyDescent="0.25">
      <c r="A2006">
        <f t="shared" si="150"/>
        <v>22.828125</v>
      </c>
      <c r="B2006" t="s">
        <v>25</v>
      </c>
      <c r="C2006" t="s">
        <v>7</v>
      </c>
      <c r="D2006">
        <v>192</v>
      </c>
      <c r="E2006">
        <f t="shared" si="152"/>
        <v>105</v>
      </c>
      <c r="F2006" s="22">
        <f>'2085WL_W'!$R22</f>
        <v>4.6930752623961125E-2</v>
      </c>
      <c r="G2006" s="22" t="s">
        <v>33</v>
      </c>
      <c r="H2006" s="22">
        <f>'2085WL_W'!$R22</f>
        <v>4.6930752623961125E-2</v>
      </c>
      <c r="I2006" t="str">
        <f t="shared" si="151"/>
        <v>WL2085;winter;192;105;4.69307526239611E-02;TRUE;4.69307526239611E-02</v>
      </c>
    </row>
    <row r="2007" spans="1:9" x14ac:dyDescent="0.25">
      <c r="A2007">
        <f t="shared" si="150"/>
        <v>22.828125</v>
      </c>
      <c r="B2007" t="s">
        <v>25</v>
      </c>
      <c r="C2007" t="s">
        <v>7</v>
      </c>
      <c r="D2007">
        <v>192</v>
      </c>
      <c r="E2007">
        <f t="shared" si="152"/>
        <v>110</v>
      </c>
      <c r="F2007" s="22">
        <f>'2085WL_W'!$R23</f>
        <v>3.504518050330728E-2</v>
      </c>
      <c r="G2007" s="22" t="s">
        <v>33</v>
      </c>
      <c r="H2007" s="22">
        <f>'2085WL_W'!$R23</f>
        <v>3.504518050330728E-2</v>
      </c>
      <c r="I2007" t="str">
        <f t="shared" si="151"/>
        <v>WL2085;winter;192;110;3.50451805033073E-02;TRUE;3.50451805033073E-02</v>
      </c>
    </row>
    <row r="2008" spans="1:9" x14ac:dyDescent="0.25">
      <c r="A2008">
        <f t="shared" si="150"/>
        <v>22.828125</v>
      </c>
      <c r="B2008" t="s">
        <v>25</v>
      </c>
      <c r="C2008" t="s">
        <v>7</v>
      </c>
      <c r="D2008">
        <v>192</v>
      </c>
      <c r="E2008">
        <f t="shared" si="152"/>
        <v>115</v>
      </c>
      <c r="F2008" s="22">
        <f>'2085WL_W'!$R24</f>
        <v>2.6060828817598386E-2</v>
      </c>
      <c r="G2008" s="22" t="s">
        <v>33</v>
      </c>
      <c r="H2008" s="22">
        <f>'2085WL_W'!$R24</f>
        <v>2.6060828817598386E-2</v>
      </c>
      <c r="I2008" t="str">
        <f t="shared" si="151"/>
        <v>WL2085;winter;192;115;2.60608288175984E-02;TRUE;2.60608288175984E-02</v>
      </c>
    </row>
    <row r="2009" spans="1:9" x14ac:dyDescent="0.25">
      <c r="A2009">
        <f t="shared" si="150"/>
        <v>22.828125</v>
      </c>
      <c r="B2009" t="s">
        <v>25</v>
      </c>
      <c r="C2009" t="s">
        <v>7</v>
      </c>
      <c r="D2009">
        <v>192</v>
      </c>
      <c r="E2009">
        <f t="shared" si="152"/>
        <v>120</v>
      </c>
      <c r="F2009" s="22">
        <f>'2085WL_W'!$R25</f>
        <v>1.9296779905953756E-2</v>
      </c>
      <c r="G2009" s="22" t="s">
        <v>33</v>
      </c>
      <c r="H2009" s="22">
        <f>'2085WL_W'!$R25</f>
        <v>1.9296779905953756E-2</v>
      </c>
      <c r="I2009" t="str">
        <f t="shared" si="151"/>
        <v>WL2085;winter;192;120;1.92967799059538E-02;TRUE;1.92967799059538E-02</v>
      </c>
    </row>
    <row r="2010" spans="1:9" x14ac:dyDescent="0.25">
      <c r="A2010">
        <f t="shared" si="150"/>
        <v>22.828125</v>
      </c>
      <c r="B2010" t="s">
        <v>25</v>
      </c>
      <c r="C2010" t="s">
        <v>7</v>
      </c>
      <c r="D2010">
        <v>192</v>
      </c>
      <c r="E2010">
        <f t="shared" si="152"/>
        <v>125</v>
      </c>
      <c r="F2010" s="22">
        <f>'2085WL_W'!$R26</f>
        <v>1.4225364635496451E-2</v>
      </c>
      <c r="G2010" s="22" t="s">
        <v>33</v>
      </c>
      <c r="H2010" s="22">
        <f>'2085WL_W'!$R26</f>
        <v>1.4225364635496451E-2</v>
      </c>
      <c r="I2010" t="str">
        <f t="shared" si="151"/>
        <v>WL2085;winter;192;125;1.42253646354965E-02;TRUE;1.42253646354965E-02</v>
      </c>
    </row>
    <row r="2011" spans="1:9" x14ac:dyDescent="0.25">
      <c r="A2011">
        <f t="shared" si="150"/>
        <v>22.828125</v>
      </c>
      <c r="B2011" t="s">
        <v>25</v>
      </c>
      <c r="C2011" t="s">
        <v>7</v>
      </c>
      <c r="D2011">
        <v>192</v>
      </c>
      <c r="E2011">
        <f t="shared" si="152"/>
        <v>130</v>
      </c>
      <c r="F2011" s="22">
        <f>'2085WL_W'!$R27</f>
        <v>1.0439187868243403E-2</v>
      </c>
      <c r="G2011" s="22" t="s">
        <v>33</v>
      </c>
      <c r="H2011" s="22">
        <f>'2085WL_W'!$R27</f>
        <v>1.0439187868243403E-2</v>
      </c>
      <c r="I2011" t="str">
        <f t="shared" si="151"/>
        <v>WL2085;winter;192;130;1.04391878682434E-02;TRUE;1.04391878682434E-02</v>
      </c>
    </row>
    <row r="2012" spans="1:9" x14ac:dyDescent="0.25">
      <c r="A2012">
        <f t="shared" si="150"/>
        <v>22.828125</v>
      </c>
      <c r="B2012" t="s">
        <v>25</v>
      </c>
      <c r="C2012" t="s">
        <v>7</v>
      </c>
      <c r="D2012">
        <v>192</v>
      </c>
      <c r="E2012">
        <f t="shared" si="152"/>
        <v>135</v>
      </c>
      <c r="F2012" s="22">
        <f>'2085WL_W'!$R28</f>
        <v>7.6249142297621642E-3</v>
      </c>
      <c r="G2012" s="22" t="s">
        <v>33</v>
      </c>
      <c r="H2012" s="22">
        <f>'2085WL_W'!$R28</f>
        <v>7.6249142297621642E-3</v>
      </c>
      <c r="I2012" t="str">
        <f t="shared" si="151"/>
        <v>WL2085;winter;192;135;7.62491422976216E-03;TRUE;7.62491422976216E-03</v>
      </c>
    </row>
    <row r="2013" spans="1:9" x14ac:dyDescent="0.25">
      <c r="A2013">
        <f t="shared" si="150"/>
        <v>22.828125</v>
      </c>
      <c r="B2013" t="s">
        <v>25</v>
      </c>
      <c r="C2013" t="s">
        <v>7</v>
      </c>
      <c r="D2013">
        <v>192</v>
      </c>
      <c r="E2013">
        <f t="shared" si="152"/>
        <v>140</v>
      </c>
      <c r="F2013" s="22">
        <f>'2085WL_W'!$R29</f>
        <v>5.5424987087916728E-3</v>
      </c>
      <c r="G2013" s="22" t="s">
        <v>33</v>
      </c>
      <c r="H2013" s="22">
        <f>'2085WL_W'!$R29</f>
        <v>5.5424987087916728E-3</v>
      </c>
      <c r="I2013" t="str">
        <f t="shared" si="151"/>
        <v>WL2085;winter;192;140;5.54249870879167E-03;TRUE;5.54249870879167E-03</v>
      </c>
    </row>
    <row r="2014" spans="1:9" x14ac:dyDescent="0.25">
      <c r="A2014">
        <f t="shared" si="150"/>
        <v>22.828125</v>
      </c>
      <c r="B2014" t="s">
        <v>25</v>
      </c>
      <c r="C2014" t="s">
        <v>7</v>
      </c>
      <c r="D2014">
        <v>192</v>
      </c>
      <c r="E2014">
        <f t="shared" si="152"/>
        <v>145</v>
      </c>
      <c r="F2014" s="22">
        <f>'2085WL_W'!$R30</f>
        <v>4.0087884981059915E-3</v>
      </c>
      <c r="G2014" s="22" t="s">
        <v>33</v>
      </c>
      <c r="H2014" s="22">
        <f>'2085WL_W'!$R30</f>
        <v>4.0087884981059915E-3</v>
      </c>
      <c r="I2014" t="str">
        <f t="shared" si="151"/>
        <v>WL2085;winter;192;145;4.00878849810599E-03;TRUE;4.00878849810599E-03</v>
      </c>
    </row>
    <row r="2015" spans="1:9" x14ac:dyDescent="0.25">
      <c r="A2015">
        <f t="shared" si="150"/>
        <v>22.828125</v>
      </c>
      <c r="B2015" t="s">
        <v>25</v>
      </c>
      <c r="C2015" t="s">
        <v>7</v>
      </c>
      <c r="D2015">
        <v>192</v>
      </c>
      <c r="E2015">
        <f t="shared" si="152"/>
        <v>150</v>
      </c>
      <c r="F2015" s="22">
        <f>'2085WL_W'!$R31</f>
        <v>2.8846225555442936E-3</v>
      </c>
      <c r="G2015" s="22" t="s">
        <v>33</v>
      </c>
      <c r="H2015" s="22">
        <f>'2085WL_W'!$R31</f>
        <v>2.8846225555442936E-3</v>
      </c>
      <c r="I2015" t="str">
        <f t="shared" si="151"/>
        <v>WL2085;winter;192;150;2.88462255554429E-03;TRUE;2.88462255554429E-03</v>
      </c>
    </row>
    <row r="2016" spans="1:9" x14ac:dyDescent="0.25">
      <c r="A2016">
        <f t="shared" si="150"/>
        <v>22.828125</v>
      </c>
      <c r="B2016" t="s">
        <v>25</v>
      </c>
      <c r="C2016" t="s">
        <v>7</v>
      </c>
      <c r="D2016">
        <v>192</v>
      </c>
      <c r="E2016">
        <f t="shared" si="152"/>
        <v>155</v>
      </c>
      <c r="F2016" s="22">
        <f>'2085WL_W'!$R32</f>
        <v>6.9334496271108029E-3</v>
      </c>
      <c r="G2016" s="22" t="s">
        <v>33</v>
      </c>
      <c r="H2016" s="22">
        <f>'2085WL_W'!$R32</f>
        <v>6.9334496271108029E-3</v>
      </c>
      <c r="I2016" t="str">
        <f t="shared" si="151"/>
        <v>WL2085;winter;192;155;6.9334496271108E-03;TRUE;6.9334496271108E-03</v>
      </c>
    </row>
    <row r="2017" spans="1:9" x14ac:dyDescent="0.25">
      <c r="A2017">
        <f t="shared" si="150"/>
        <v>20.291666666666664</v>
      </c>
      <c r="B2017" t="s">
        <v>25</v>
      </c>
      <c r="C2017" t="s">
        <v>7</v>
      </c>
      <c r="D2017">
        <v>216</v>
      </c>
      <c r="E2017">
        <v>25</v>
      </c>
      <c r="F2017" s="22">
        <f>'2085WL_W'!$V6</f>
        <v>29.318610061416159</v>
      </c>
      <c r="G2017" s="22" t="s">
        <v>33</v>
      </c>
      <c r="H2017" s="22">
        <f>'2085WL_W'!$V6</f>
        <v>29.318610061416159</v>
      </c>
      <c r="I2017" t="str">
        <f t="shared" si="151"/>
        <v>WL2085;winter;216;25;29.3186100614162;TRUE;29.3186100614162</v>
      </c>
    </row>
    <row r="2018" spans="1:9" x14ac:dyDescent="0.25">
      <c r="A2018">
        <f t="shared" si="150"/>
        <v>20.291666666666664</v>
      </c>
      <c r="B2018" t="s">
        <v>25</v>
      </c>
      <c r="C2018" t="s">
        <v>7</v>
      </c>
      <c r="D2018">
        <v>216</v>
      </c>
      <c r="E2018">
        <f>E2017+5</f>
        <v>30</v>
      </c>
      <c r="F2018" s="22">
        <f>'2085WL_W'!$V7</f>
        <v>2.2946524123026801</v>
      </c>
      <c r="G2018" s="22" t="s">
        <v>33</v>
      </c>
      <c r="H2018" s="22">
        <f>'2085WL_W'!$V7</f>
        <v>2.2946524123026801</v>
      </c>
      <c r="I2018" t="str">
        <f t="shared" si="151"/>
        <v>WL2085;winter;216;30;2.29465241230268;TRUE;2.29465241230268</v>
      </c>
    </row>
    <row r="2019" spans="1:9" x14ac:dyDescent="0.25">
      <c r="A2019">
        <f t="shared" si="150"/>
        <v>20.291666666666664</v>
      </c>
      <c r="B2019" t="s">
        <v>25</v>
      </c>
      <c r="C2019" t="s">
        <v>7</v>
      </c>
      <c r="D2019">
        <v>216</v>
      </c>
      <c r="E2019">
        <f t="shared" ref="E2019:E2044" si="153">E2018+5</f>
        <v>35</v>
      </c>
      <c r="F2019" s="22">
        <f>'2085WL_W'!$V8</f>
        <v>1.8508752036726879</v>
      </c>
      <c r="G2019" s="22" t="s">
        <v>33</v>
      </c>
      <c r="H2019" s="22">
        <f>'2085WL_W'!$V8</f>
        <v>1.8508752036726879</v>
      </c>
      <c r="I2019" t="str">
        <f t="shared" si="151"/>
        <v>WL2085;winter;216;35;1.85087520367269;TRUE;1.85087520367269</v>
      </c>
    </row>
    <row r="2020" spans="1:9" x14ac:dyDescent="0.25">
      <c r="A2020">
        <f t="shared" si="150"/>
        <v>20.291666666666664</v>
      </c>
      <c r="B2020" t="s">
        <v>25</v>
      </c>
      <c r="C2020" t="s">
        <v>7</v>
      </c>
      <c r="D2020">
        <v>216</v>
      </c>
      <c r="E2020">
        <f t="shared" si="153"/>
        <v>40</v>
      </c>
      <c r="F2020" s="22">
        <f>'2085WL_W'!$V9</f>
        <v>1.4882267128253597</v>
      </c>
      <c r="G2020" s="22" t="s">
        <v>33</v>
      </c>
      <c r="H2020" s="22">
        <f>'2085WL_W'!$V9</f>
        <v>1.4882267128253597</v>
      </c>
      <c r="I2020" t="str">
        <f t="shared" si="151"/>
        <v>WL2085;winter;216;40;1.48822671282536;TRUE;1.48822671282536</v>
      </c>
    </row>
    <row r="2021" spans="1:9" x14ac:dyDescent="0.25">
      <c r="A2021">
        <f t="shared" si="150"/>
        <v>20.291666666666664</v>
      </c>
      <c r="B2021" t="s">
        <v>25</v>
      </c>
      <c r="C2021" t="s">
        <v>7</v>
      </c>
      <c r="D2021">
        <v>216</v>
      </c>
      <c r="E2021">
        <f t="shared" si="153"/>
        <v>45</v>
      </c>
      <c r="F2021" s="22">
        <f>'2085WL_W'!$V10</f>
        <v>1.1927572972728013</v>
      </c>
      <c r="G2021" s="22" t="s">
        <v>33</v>
      </c>
      <c r="H2021" s="22">
        <f>'2085WL_W'!$V10</f>
        <v>1.1927572972728013</v>
      </c>
      <c r="I2021" t="str">
        <f t="shared" si="151"/>
        <v>WL2085;winter;216;45;1.1927572972728;TRUE;1.1927572972728</v>
      </c>
    </row>
    <row r="2022" spans="1:9" x14ac:dyDescent="0.25">
      <c r="A2022">
        <f t="shared" si="150"/>
        <v>20.291666666666664</v>
      </c>
      <c r="B2022" t="s">
        <v>25</v>
      </c>
      <c r="C2022" t="s">
        <v>7</v>
      </c>
      <c r="D2022">
        <v>216</v>
      </c>
      <c r="E2022">
        <f t="shared" si="153"/>
        <v>50</v>
      </c>
      <c r="F2022" s="22">
        <f>'2085WL_W'!$V11</f>
        <v>0.95276007913059191</v>
      </c>
      <c r="G2022" s="22" t="s">
        <v>33</v>
      </c>
      <c r="H2022" s="22">
        <f>'2085WL_W'!$V11</f>
        <v>0.95276007913059191</v>
      </c>
      <c r="I2022" t="str">
        <f t="shared" si="151"/>
        <v>WL2085;winter;216;50;0.952760079130592;TRUE;0.952760079130592</v>
      </c>
    </row>
    <row r="2023" spans="1:9" x14ac:dyDescent="0.25">
      <c r="A2023">
        <f t="shared" si="150"/>
        <v>20.291666666666664</v>
      </c>
      <c r="B2023" t="s">
        <v>25</v>
      </c>
      <c r="C2023" t="s">
        <v>7</v>
      </c>
      <c r="D2023">
        <v>216</v>
      </c>
      <c r="E2023">
        <f t="shared" si="153"/>
        <v>55</v>
      </c>
      <c r="F2023" s="22">
        <f>'2085WL_W'!$V12</f>
        <v>0.75843611153029</v>
      </c>
      <c r="G2023" s="22" t="s">
        <v>33</v>
      </c>
      <c r="H2023" s="22">
        <f>'2085WL_W'!$V12</f>
        <v>0.75843611153029</v>
      </c>
      <c r="I2023" t="str">
        <f t="shared" si="151"/>
        <v>WL2085;winter;216;55;0.75843611153029;TRUE;0.75843611153029</v>
      </c>
    </row>
    <row r="2024" spans="1:9" x14ac:dyDescent="0.25">
      <c r="A2024">
        <f t="shared" si="150"/>
        <v>20.291666666666664</v>
      </c>
      <c r="B2024" t="s">
        <v>25</v>
      </c>
      <c r="C2024" t="s">
        <v>7</v>
      </c>
      <c r="D2024">
        <v>216</v>
      </c>
      <c r="E2024">
        <f t="shared" si="153"/>
        <v>60</v>
      </c>
      <c r="F2024" s="22">
        <f>'2085WL_W'!$V13</f>
        <v>0.60160558093502914</v>
      </c>
      <c r="G2024" s="22" t="s">
        <v>33</v>
      </c>
      <c r="H2024" s="22">
        <f>'2085WL_W'!$V13</f>
        <v>0.60160558093502914</v>
      </c>
      <c r="I2024" t="str">
        <f t="shared" si="151"/>
        <v>WL2085;winter;216;60;0.601605580935029;TRUE;0.601605580935029</v>
      </c>
    </row>
    <row r="2025" spans="1:9" x14ac:dyDescent="0.25">
      <c r="A2025">
        <f t="shared" si="150"/>
        <v>20.291666666666664</v>
      </c>
      <c r="B2025" t="s">
        <v>25</v>
      </c>
      <c r="C2025" t="s">
        <v>7</v>
      </c>
      <c r="D2025">
        <v>216</v>
      </c>
      <c r="E2025">
        <f t="shared" si="153"/>
        <v>65</v>
      </c>
      <c r="F2025" s="22">
        <f>'2085WL_W'!$V14</f>
        <v>0.47545927506750707</v>
      </c>
      <c r="G2025" s="22" t="s">
        <v>33</v>
      </c>
      <c r="H2025" s="22">
        <f>'2085WL_W'!$V14</f>
        <v>0.47545927506750707</v>
      </c>
      <c r="I2025" t="str">
        <f t="shared" si="151"/>
        <v>WL2085;winter;216;65;0.475459275067507;TRUE;0.475459275067507</v>
      </c>
    </row>
    <row r="2026" spans="1:9" x14ac:dyDescent="0.25">
      <c r="A2026">
        <f t="shared" si="150"/>
        <v>20.291666666666664</v>
      </c>
      <c r="B2026" t="s">
        <v>25</v>
      </c>
      <c r="C2026" t="s">
        <v>7</v>
      </c>
      <c r="D2026">
        <v>216</v>
      </c>
      <c r="E2026">
        <f t="shared" si="153"/>
        <v>70</v>
      </c>
      <c r="F2026" s="22">
        <f>'2085WL_W'!$V15</f>
        <v>0.37434519729891025</v>
      </c>
      <c r="G2026" s="22" t="s">
        <v>33</v>
      </c>
      <c r="H2026" s="22">
        <f>'2085WL_W'!$V15</f>
        <v>0.37434519729891025</v>
      </c>
      <c r="I2026" t="str">
        <f t="shared" si="151"/>
        <v>WL2085;winter;216;70;0.37434519729891;TRUE;0.37434519729891</v>
      </c>
    </row>
    <row r="2027" spans="1:9" x14ac:dyDescent="0.25">
      <c r="A2027">
        <f t="shared" si="150"/>
        <v>20.291666666666664</v>
      </c>
      <c r="B2027" t="s">
        <v>25</v>
      </c>
      <c r="C2027" t="s">
        <v>7</v>
      </c>
      <c r="D2027">
        <v>216</v>
      </c>
      <c r="E2027">
        <f t="shared" si="153"/>
        <v>75</v>
      </c>
      <c r="F2027" s="22">
        <f>'2085WL_W'!$V16</f>
        <v>0.29358579438742005</v>
      </c>
      <c r="G2027" s="22" t="s">
        <v>33</v>
      </c>
      <c r="H2027" s="22">
        <f>'2085WL_W'!$V16</f>
        <v>0.29358579438742005</v>
      </c>
      <c r="I2027" t="str">
        <f t="shared" si="151"/>
        <v>WL2085;winter;216;75;0.29358579438742;TRUE;0.29358579438742</v>
      </c>
    </row>
    <row r="2028" spans="1:9" x14ac:dyDescent="0.25">
      <c r="A2028">
        <f t="shared" si="150"/>
        <v>20.291666666666664</v>
      </c>
      <c r="B2028" t="s">
        <v>25</v>
      </c>
      <c r="C2028" t="s">
        <v>7</v>
      </c>
      <c r="D2028">
        <v>216</v>
      </c>
      <c r="E2028">
        <f t="shared" si="153"/>
        <v>80</v>
      </c>
      <c r="F2028" s="22">
        <f>'2085WL_W'!$V17</f>
        <v>0.22932179104564643</v>
      </c>
      <c r="G2028" s="22" t="s">
        <v>33</v>
      </c>
      <c r="H2028" s="22">
        <f>'2085WL_W'!$V17</f>
        <v>0.22932179104564643</v>
      </c>
      <c r="I2028" t="str">
        <f t="shared" si="151"/>
        <v>WL2085;winter;216;80;0.229321791045646;TRUE;0.229321791045646</v>
      </c>
    </row>
    <row r="2029" spans="1:9" x14ac:dyDescent="0.25">
      <c r="A2029">
        <f t="shared" si="150"/>
        <v>20.291666666666664</v>
      </c>
      <c r="B2029" t="s">
        <v>25</v>
      </c>
      <c r="C2029" t="s">
        <v>7</v>
      </c>
      <c r="D2029">
        <v>216</v>
      </c>
      <c r="E2029">
        <f t="shared" si="153"/>
        <v>85</v>
      </c>
      <c r="F2029" s="22">
        <f>'2085WL_W'!$V18</f>
        <v>0.17837909718752165</v>
      </c>
      <c r="G2029" s="22" t="s">
        <v>33</v>
      </c>
      <c r="H2029" s="22">
        <f>'2085WL_W'!$V18</f>
        <v>0.17837909718752165</v>
      </c>
      <c r="I2029" t="str">
        <f t="shared" si="151"/>
        <v>WL2085;winter;216;85;0.178379097187522;TRUE;0.178379097187522</v>
      </c>
    </row>
    <row r="2030" spans="1:9" x14ac:dyDescent="0.25">
      <c r="A2030">
        <f t="shared" si="150"/>
        <v>20.291666666666664</v>
      </c>
      <c r="B2030" t="s">
        <v>25</v>
      </c>
      <c r="C2030" t="s">
        <v>7</v>
      </c>
      <c r="D2030">
        <v>216</v>
      </c>
      <c r="E2030">
        <f t="shared" si="153"/>
        <v>90</v>
      </c>
      <c r="F2030" s="22">
        <f>'2085WL_W'!$V19</f>
        <v>0.13815567670302908</v>
      </c>
      <c r="G2030" s="22" t="s">
        <v>33</v>
      </c>
      <c r="H2030" s="22">
        <f>'2085WL_W'!$V19</f>
        <v>0.13815567670302908</v>
      </c>
      <c r="I2030" t="str">
        <f t="shared" si="151"/>
        <v>WL2085;winter;216;90;0.138155676703029;TRUE;0.138155676703029</v>
      </c>
    </row>
    <row r="2031" spans="1:9" x14ac:dyDescent="0.25">
      <c r="A2031">
        <f t="shared" si="150"/>
        <v>20.291666666666664</v>
      </c>
      <c r="B2031" t="s">
        <v>25</v>
      </c>
      <c r="C2031" t="s">
        <v>7</v>
      </c>
      <c r="D2031">
        <v>216</v>
      </c>
      <c r="E2031">
        <f t="shared" si="153"/>
        <v>95</v>
      </c>
      <c r="F2031" s="22">
        <f>'2085WL_W'!$V20</f>
        <v>0.10652564471157494</v>
      </c>
      <c r="G2031" s="22" t="s">
        <v>33</v>
      </c>
      <c r="H2031" s="22">
        <f>'2085WL_W'!$V20</f>
        <v>0.10652564471157494</v>
      </c>
      <c r="I2031" t="str">
        <f t="shared" si="151"/>
        <v>WL2085;winter;216;95;0.106525644711575;TRUE;0.106525644711575</v>
      </c>
    </row>
    <row r="2032" spans="1:9" x14ac:dyDescent="0.25">
      <c r="A2032">
        <f t="shared" si="150"/>
        <v>20.291666666666664</v>
      </c>
      <c r="B2032" t="s">
        <v>25</v>
      </c>
      <c r="C2032" t="s">
        <v>7</v>
      </c>
      <c r="D2032">
        <v>216</v>
      </c>
      <c r="E2032">
        <f t="shared" si="153"/>
        <v>100</v>
      </c>
      <c r="F2032" s="22">
        <f>'2085WL_W'!$V21</f>
        <v>8.175819758985603E-2</v>
      </c>
      <c r="G2032" s="22" t="s">
        <v>33</v>
      </c>
      <c r="H2032" s="22">
        <f>'2085WL_W'!$V21</f>
        <v>8.175819758985603E-2</v>
      </c>
      <c r="I2032" t="str">
        <f t="shared" si="151"/>
        <v>WL2085;winter;216;100;0.081758197589856;TRUE;0.081758197589856</v>
      </c>
    </row>
    <row r="2033" spans="1:9" x14ac:dyDescent="0.25">
      <c r="A2033">
        <f t="shared" si="150"/>
        <v>20.291666666666664</v>
      </c>
      <c r="B2033" t="s">
        <v>25</v>
      </c>
      <c r="C2033" t="s">
        <v>7</v>
      </c>
      <c r="D2033">
        <v>216</v>
      </c>
      <c r="E2033">
        <f t="shared" si="153"/>
        <v>105</v>
      </c>
      <c r="F2033" s="22">
        <f>'2085WL_W'!$V22</f>
        <v>6.2449280472682417E-2</v>
      </c>
      <c r="G2033" s="22" t="s">
        <v>33</v>
      </c>
      <c r="H2033" s="22">
        <f>'2085WL_W'!$V22</f>
        <v>6.2449280472682417E-2</v>
      </c>
      <c r="I2033" t="str">
        <f t="shared" si="151"/>
        <v>WL2085;winter;216;105;6.24492804726824E-02;TRUE;6.24492804726824E-02</v>
      </c>
    </row>
    <row r="2034" spans="1:9" x14ac:dyDescent="0.25">
      <c r="A2034">
        <f t="shared" si="150"/>
        <v>20.291666666666664</v>
      </c>
      <c r="B2034" t="s">
        <v>25</v>
      </c>
      <c r="C2034" t="s">
        <v>7</v>
      </c>
      <c r="D2034">
        <v>216</v>
      </c>
      <c r="E2034">
        <f t="shared" si="153"/>
        <v>110</v>
      </c>
      <c r="F2034" s="22">
        <f>'2085WL_W'!$V23</f>
        <v>4.7464163899606476E-2</v>
      </c>
      <c r="G2034" s="22" t="s">
        <v>33</v>
      </c>
      <c r="H2034" s="22">
        <f>'2085WL_W'!$V23</f>
        <v>4.7464163899606476E-2</v>
      </c>
      <c r="I2034" t="str">
        <f t="shared" si="151"/>
        <v>WL2085;winter;216;110;4.74641638996065E-02;TRUE;4.74641638996065E-02</v>
      </c>
    </row>
    <row r="2035" spans="1:9" x14ac:dyDescent="0.25">
      <c r="A2035">
        <f t="shared" si="150"/>
        <v>20.291666666666664</v>
      </c>
      <c r="B2035" t="s">
        <v>25</v>
      </c>
      <c r="C2035" t="s">
        <v>7</v>
      </c>
      <c r="D2035">
        <v>216</v>
      </c>
      <c r="E2035">
        <f t="shared" si="153"/>
        <v>115</v>
      </c>
      <c r="F2035" s="22">
        <f>'2085WL_W'!$V24</f>
        <v>3.5889338058586934E-2</v>
      </c>
      <c r="G2035" s="22" t="s">
        <v>33</v>
      </c>
      <c r="H2035" s="22">
        <f>'2085WL_W'!$V24</f>
        <v>3.5889338058586934E-2</v>
      </c>
      <c r="I2035" t="str">
        <f t="shared" si="151"/>
        <v>WL2085;winter;216;115;3.58893380585869E-02;TRUE;3.58893380585869E-02</v>
      </c>
    </row>
    <row r="2036" spans="1:9" x14ac:dyDescent="0.25">
      <c r="A2036">
        <f t="shared" si="150"/>
        <v>20.291666666666664</v>
      </c>
      <c r="B2036" t="s">
        <v>25</v>
      </c>
      <c r="C2036" t="s">
        <v>7</v>
      </c>
      <c r="D2036">
        <v>216</v>
      </c>
      <c r="E2036">
        <f t="shared" si="153"/>
        <v>120</v>
      </c>
      <c r="F2036" s="22">
        <f>'2085WL_W'!$V25</f>
        <v>2.6992342628702121E-2</v>
      </c>
      <c r="G2036" s="22" t="s">
        <v>33</v>
      </c>
      <c r="H2036" s="22">
        <f>'2085WL_W'!$V25</f>
        <v>2.6992342628702121E-2</v>
      </c>
      <c r="I2036" t="str">
        <f t="shared" si="151"/>
        <v>WL2085;winter;216;120;2.69923426287021E-02;TRUE;2.69923426287021E-02</v>
      </c>
    </row>
    <row r="2037" spans="1:9" x14ac:dyDescent="0.25">
      <c r="A2037">
        <f t="shared" si="150"/>
        <v>20.291666666666664</v>
      </c>
      <c r="B2037" t="s">
        <v>25</v>
      </c>
      <c r="C2037" t="s">
        <v>7</v>
      </c>
      <c r="D2037">
        <v>216</v>
      </c>
      <c r="E2037">
        <f t="shared" si="153"/>
        <v>125</v>
      </c>
      <c r="F2037" s="22">
        <f>'2085WL_W'!$V26</f>
        <v>2.0188335269034283E-2</v>
      </c>
      <c r="G2037" s="22" t="s">
        <v>33</v>
      </c>
      <c r="H2037" s="22">
        <f>'2085WL_W'!$V26</f>
        <v>2.0188335269034283E-2</v>
      </c>
      <c r="I2037" t="str">
        <f t="shared" si="151"/>
        <v>WL2085;winter;216;125;2.01883352690343E-02;TRUE;2.01883352690343E-02</v>
      </c>
    </row>
    <row r="2038" spans="1:9" x14ac:dyDescent="0.25">
      <c r="A2038">
        <f t="shared" si="150"/>
        <v>20.291666666666664</v>
      </c>
      <c r="B2038" t="s">
        <v>25</v>
      </c>
      <c r="C2038" t="s">
        <v>7</v>
      </c>
      <c r="D2038">
        <v>216</v>
      </c>
      <c r="E2038">
        <f t="shared" si="153"/>
        <v>130</v>
      </c>
      <c r="F2038" s="22">
        <f>'2085WL_W'!$V27</f>
        <v>1.5012364832680508E-2</v>
      </c>
      <c r="G2038" s="22" t="s">
        <v>33</v>
      </c>
      <c r="H2038" s="22">
        <f>'2085WL_W'!$V27</f>
        <v>1.5012364832680508E-2</v>
      </c>
      <c r="I2038" t="str">
        <f t="shared" si="151"/>
        <v>WL2085;winter;216;130;1.50123648326805E-02;TRUE;1.50123648326805E-02</v>
      </c>
    </row>
    <row r="2039" spans="1:9" x14ac:dyDescent="0.25">
      <c r="A2039">
        <f t="shared" si="150"/>
        <v>20.291666666666664</v>
      </c>
      <c r="B2039" t="s">
        <v>25</v>
      </c>
      <c r="C2039" t="s">
        <v>7</v>
      </c>
      <c r="D2039">
        <v>216</v>
      </c>
      <c r="E2039">
        <f t="shared" si="153"/>
        <v>135</v>
      </c>
      <c r="F2039" s="22">
        <f>'2085WL_W'!$V28</f>
        <v>1.1096458681413037E-2</v>
      </c>
      <c r="G2039" s="22" t="s">
        <v>33</v>
      </c>
      <c r="H2039" s="22">
        <f>'2085WL_W'!$V28</f>
        <v>1.1096458681413037E-2</v>
      </c>
      <c r="I2039" t="str">
        <f t="shared" si="151"/>
        <v>WL2085;winter;216;135;0.011096458681413;TRUE;0.011096458681413</v>
      </c>
    </row>
    <row r="2040" spans="1:9" x14ac:dyDescent="0.25">
      <c r="A2040">
        <f t="shared" si="150"/>
        <v>20.291666666666664</v>
      </c>
      <c r="B2040" t="s">
        <v>25</v>
      </c>
      <c r="C2040" t="s">
        <v>7</v>
      </c>
      <c r="D2040">
        <v>216</v>
      </c>
      <c r="E2040">
        <f t="shared" si="153"/>
        <v>140</v>
      </c>
      <c r="F2040" s="22">
        <f>'2085WL_W'!$V29</f>
        <v>8.1507591168336821E-3</v>
      </c>
      <c r="G2040" s="22" t="s">
        <v>33</v>
      </c>
      <c r="H2040" s="22">
        <f>'2085WL_W'!$V29</f>
        <v>8.1507591168336821E-3</v>
      </c>
      <c r="I2040" t="str">
        <f t="shared" si="151"/>
        <v>WL2085;winter;216;140;8.15075911683368E-03;TRUE;8.15075911683368E-03</v>
      </c>
    </row>
    <row r="2041" spans="1:9" x14ac:dyDescent="0.25">
      <c r="A2041">
        <f t="shared" si="150"/>
        <v>20.291666666666664</v>
      </c>
      <c r="B2041" t="s">
        <v>25</v>
      </c>
      <c r="C2041" t="s">
        <v>7</v>
      </c>
      <c r="D2041">
        <v>216</v>
      </c>
      <c r="E2041">
        <f t="shared" si="153"/>
        <v>145</v>
      </c>
      <c r="F2041" s="22">
        <f>'2085WL_W'!$V30</f>
        <v>5.948053821676241E-3</v>
      </c>
      <c r="G2041" s="22" t="s">
        <v>33</v>
      </c>
      <c r="H2041" s="22">
        <f>'2085WL_W'!$V30</f>
        <v>5.948053821676241E-3</v>
      </c>
      <c r="I2041" t="str">
        <f t="shared" si="151"/>
        <v>WL2085;winter;216;145;5.94805382167624E-03;TRUE;5.94805382167624E-03</v>
      </c>
    </row>
    <row r="2042" spans="1:9" x14ac:dyDescent="0.25">
      <c r="A2042">
        <f t="shared" si="150"/>
        <v>20.291666666666664</v>
      </c>
      <c r="B2042" t="s">
        <v>25</v>
      </c>
      <c r="C2042" t="s">
        <v>7</v>
      </c>
      <c r="D2042">
        <v>216</v>
      </c>
      <c r="E2042">
        <f t="shared" si="153"/>
        <v>150</v>
      </c>
      <c r="F2042" s="22">
        <f>'2085WL_W'!$V31</f>
        <v>4.3111410423087287E-3</v>
      </c>
      <c r="G2042" s="22" t="s">
        <v>33</v>
      </c>
      <c r="H2042" s="22">
        <f>'2085WL_W'!$V31</f>
        <v>4.3111410423087287E-3</v>
      </c>
      <c r="I2042" t="str">
        <f t="shared" si="151"/>
        <v>WL2085;winter;216;150;4.31114104230873E-03;TRUE;4.31114104230873E-03</v>
      </c>
    </row>
    <row r="2043" spans="1:9" x14ac:dyDescent="0.25">
      <c r="A2043">
        <f t="shared" si="150"/>
        <v>20.291666666666664</v>
      </c>
      <c r="B2043" t="s">
        <v>25</v>
      </c>
      <c r="C2043" t="s">
        <v>7</v>
      </c>
      <c r="D2043">
        <v>216</v>
      </c>
      <c r="E2043">
        <f t="shared" si="153"/>
        <v>155</v>
      </c>
      <c r="F2043" s="22">
        <f>'2085WL_W'!$V32</f>
        <v>3.1025536033577423E-3</v>
      </c>
      <c r="G2043" s="22" t="s">
        <v>33</v>
      </c>
      <c r="H2043" s="22">
        <f>'2085WL_W'!$V32</f>
        <v>3.1025536033577423E-3</v>
      </c>
      <c r="I2043" t="str">
        <f t="shared" si="151"/>
        <v>WL2085;winter;216;155;3.10255360335774E-03;TRUE;3.10255360335774E-03</v>
      </c>
    </row>
    <row r="2044" spans="1:9" x14ac:dyDescent="0.25">
      <c r="A2044">
        <f t="shared" si="150"/>
        <v>20.291666666666664</v>
      </c>
      <c r="B2044" t="s">
        <v>25</v>
      </c>
      <c r="C2044" t="s">
        <v>7</v>
      </c>
      <c r="D2044">
        <v>216</v>
      </c>
      <c r="E2044">
        <f t="shared" si="153"/>
        <v>160</v>
      </c>
      <c r="F2044" s="22">
        <f>'2085WL_W'!$V33</f>
        <v>7.2744088293801969E-3</v>
      </c>
      <c r="G2044" s="22" t="s">
        <v>33</v>
      </c>
      <c r="H2044" s="22">
        <f>'2085WL_W'!$V33</f>
        <v>7.2744088293801969E-3</v>
      </c>
      <c r="I2044" t="str">
        <f t="shared" si="151"/>
        <v>WL2085;winter;216;160;7.2744088293802E-03;TRUE;7.2744088293802E-03</v>
      </c>
    </row>
    <row r="2045" spans="1:9" x14ac:dyDescent="0.25">
      <c r="A2045">
        <f t="shared" si="150"/>
        <v>182.625</v>
      </c>
      <c r="B2045" t="s">
        <v>26</v>
      </c>
      <c r="C2045" t="s">
        <v>11</v>
      </c>
      <c r="D2045">
        <v>24</v>
      </c>
      <c r="E2045">
        <v>15</v>
      </c>
      <c r="F2045" s="22">
        <f>'2085WH_Z'!$F4</f>
        <v>358.01591015982189</v>
      </c>
      <c r="G2045" s="22" t="s">
        <v>33</v>
      </c>
      <c r="H2045" s="22">
        <f>'2085WH_Z'!$F4</f>
        <v>358.01591015982189</v>
      </c>
      <c r="I2045" t="str">
        <f t="shared" si="151"/>
        <v>WH2085;zomer;24;15;358.015910159822;TRUE;358.015910159822</v>
      </c>
    </row>
    <row r="2046" spans="1:9" x14ac:dyDescent="0.25">
      <c r="A2046">
        <f t="shared" si="150"/>
        <v>182.625</v>
      </c>
      <c r="B2046" t="s">
        <v>26</v>
      </c>
      <c r="C2046" t="s">
        <v>11</v>
      </c>
      <c r="D2046">
        <v>24</v>
      </c>
      <c r="E2046">
        <f>E2045+5</f>
        <v>20</v>
      </c>
      <c r="F2046" s="22">
        <f>'2085WH_Z'!$F5</f>
        <v>2.7449594969275246</v>
      </c>
      <c r="G2046" s="22" t="s">
        <v>33</v>
      </c>
      <c r="H2046" s="22">
        <f>'2085WH_Z'!$F5</f>
        <v>2.7449594969275246</v>
      </c>
      <c r="I2046" t="str">
        <f t="shared" si="151"/>
        <v>WH2085;zomer;24;20;2.74495949692752;TRUE;2.74495949692752</v>
      </c>
    </row>
    <row r="2047" spans="1:9" x14ac:dyDescent="0.25">
      <c r="A2047">
        <f t="shared" si="150"/>
        <v>182.625</v>
      </c>
      <c r="B2047" t="s">
        <v>26</v>
      </c>
      <c r="C2047" t="s">
        <v>11</v>
      </c>
      <c r="D2047">
        <v>24</v>
      </c>
      <c r="E2047">
        <f t="shared" ref="E2047:E2063" si="154">E2046+5</f>
        <v>25</v>
      </c>
      <c r="F2047" s="22">
        <f>'2085WH_Z'!$F6</f>
        <v>1.6582852058494968</v>
      </c>
      <c r="G2047" s="22" t="s">
        <v>33</v>
      </c>
      <c r="H2047" s="22">
        <f>'2085WH_Z'!$F6</f>
        <v>1.6582852058494968</v>
      </c>
      <c r="I2047" t="str">
        <f t="shared" si="151"/>
        <v>WH2085;zomer;24;25;1.6582852058495;TRUE;1.6582852058495</v>
      </c>
    </row>
    <row r="2048" spans="1:9" x14ac:dyDescent="0.25">
      <c r="A2048">
        <f t="shared" si="150"/>
        <v>182.625</v>
      </c>
      <c r="B2048" t="s">
        <v>26</v>
      </c>
      <c r="C2048" t="s">
        <v>11</v>
      </c>
      <c r="D2048">
        <v>24</v>
      </c>
      <c r="E2048">
        <f t="shared" si="154"/>
        <v>30</v>
      </c>
      <c r="F2048" s="22">
        <f>'2085WH_Z'!$F7</f>
        <v>1.0187073718816437</v>
      </c>
      <c r="G2048" s="22" t="s">
        <v>33</v>
      </c>
      <c r="H2048" s="22">
        <f>'2085WH_Z'!$F7</f>
        <v>1.0187073718816437</v>
      </c>
      <c r="I2048" t="str">
        <f t="shared" si="151"/>
        <v>WH2085;zomer;24;30;1.01870737188164;TRUE;1.01870737188164</v>
      </c>
    </row>
    <row r="2049" spans="1:9" x14ac:dyDescent="0.25">
      <c r="A2049">
        <f t="shared" si="150"/>
        <v>182.625</v>
      </c>
      <c r="B2049" t="s">
        <v>26</v>
      </c>
      <c r="C2049" t="s">
        <v>11</v>
      </c>
      <c r="D2049">
        <v>24</v>
      </c>
      <c r="E2049">
        <f t="shared" si="154"/>
        <v>35</v>
      </c>
      <c r="F2049" s="22">
        <f>'2085WH_Z'!$F8</f>
        <v>0.63568055061840734</v>
      </c>
      <c r="G2049" s="22" t="s">
        <v>33</v>
      </c>
      <c r="H2049" s="22">
        <f>'2085WH_Z'!$F8</f>
        <v>0.63568055061840734</v>
      </c>
      <c r="I2049" t="str">
        <f t="shared" si="151"/>
        <v>WH2085;zomer;24;35;0.635680550618407;TRUE;0.635680550618407</v>
      </c>
    </row>
    <row r="2050" spans="1:9" x14ac:dyDescent="0.25">
      <c r="A2050">
        <f t="shared" ref="A2050:A2113" si="155">IF(C2050="zomer",24/D2050*365.25 * 6/12,24/D2050*365.25 * 6/12)</f>
        <v>182.625</v>
      </c>
      <c r="B2050" t="s">
        <v>26</v>
      </c>
      <c r="C2050" t="s">
        <v>11</v>
      </c>
      <c r="D2050">
        <v>24</v>
      </c>
      <c r="E2050">
        <f t="shared" si="154"/>
        <v>40</v>
      </c>
      <c r="F2050" s="22">
        <f>'2085WH_Z'!$F9</f>
        <v>0.4025351074263106</v>
      </c>
      <c r="G2050" s="22" t="s">
        <v>33</v>
      </c>
      <c r="H2050" s="22">
        <f>'2085WH_Z'!$F9</f>
        <v>0.4025351074263106</v>
      </c>
      <c r="I2050" t="str">
        <f t="shared" ref="I2050:I2113" si="156">CONCATENATEWITHDELIMITER(B2050:H2050,";")</f>
        <v>WH2085;zomer;24;40;0.402535107426311;TRUE;0.402535107426311</v>
      </c>
    </row>
    <row r="2051" spans="1:9" x14ac:dyDescent="0.25">
      <c r="A2051">
        <f t="shared" si="155"/>
        <v>182.625</v>
      </c>
      <c r="B2051" t="s">
        <v>26</v>
      </c>
      <c r="C2051" t="s">
        <v>11</v>
      </c>
      <c r="D2051">
        <v>24</v>
      </c>
      <c r="E2051">
        <f t="shared" si="154"/>
        <v>45</v>
      </c>
      <c r="F2051" s="22">
        <f>'2085WH_Z'!$F10</f>
        <v>0.25843930769587276</v>
      </c>
      <c r="G2051" s="22" t="s">
        <v>33</v>
      </c>
      <c r="H2051" s="22">
        <f>'2085WH_Z'!$F10</f>
        <v>0.25843930769587276</v>
      </c>
      <c r="I2051" t="str">
        <f t="shared" si="156"/>
        <v>WH2085;zomer;24;45;0.258439307695873;TRUE;0.258439307695873</v>
      </c>
    </row>
    <row r="2052" spans="1:9" x14ac:dyDescent="0.25">
      <c r="A2052">
        <f t="shared" si="155"/>
        <v>182.625</v>
      </c>
      <c r="B2052" t="s">
        <v>26</v>
      </c>
      <c r="C2052" t="s">
        <v>11</v>
      </c>
      <c r="D2052">
        <v>24</v>
      </c>
      <c r="E2052">
        <f t="shared" si="154"/>
        <v>50</v>
      </c>
      <c r="F2052" s="22">
        <f>'2085WH_Z'!$F11</f>
        <v>0.1680938795659998</v>
      </c>
      <c r="G2052" s="22" t="s">
        <v>33</v>
      </c>
      <c r="H2052" s="22">
        <f>'2085WH_Z'!$F11</f>
        <v>0.1680938795659998</v>
      </c>
      <c r="I2052" t="str">
        <f t="shared" si="156"/>
        <v>WH2085;zomer;24;50;0.168093879566;TRUE;0.168093879566</v>
      </c>
    </row>
    <row r="2053" spans="1:9" x14ac:dyDescent="0.25">
      <c r="A2053">
        <f t="shared" si="155"/>
        <v>182.625</v>
      </c>
      <c r="B2053" t="s">
        <v>26</v>
      </c>
      <c r="C2053" t="s">
        <v>11</v>
      </c>
      <c r="D2053">
        <v>24</v>
      </c>
      <c r="E2053">
        <f t="shared" si="154"/>
        <v>55</v>
      </c>
      <c r="F2053" s="22">
        <f>'2085WH_Z'!$F12</f>
        <v>0.110678279647731</v>
      </c>
      <c r="G2053" s="22" t="s">
        <v>33</v>
      </c>
      <c r="H2053" s="22">
        <f>'2085WH_Z'!$F12</f>
        <v>0.110678279647731</v>
      </c>
      <c r="I2053" t="str">
        <f t="shared" si="156"/>
        <v>WH2085;zomer;24;55;0.110678279647731;TRUE;0.110678279647731</v>
      </c>
    </row>
    <row r="2054" spans="1:9" x14ac:dyDescent="0.25">
      <c r="A2054">
        <f t="shared" si="155"/>
        <v>182.625</v>
      </c>
      <c r="B2054" t="s">
        <v>26</v>
      </c>
      <c r="C2054" t="s">
        <v>11</v>
      </c>
      <c r="D2054">
        <v>24</v>
      </c>
      <c r="E2054">
        <f t="shared" si="154"/>
        <v>60</v>
      </c>
      <c r="F2054" s="22">
        <f>'2085WH_Z'!$F13</f>
        <v>7.3721717938567549E-2</v>
      </c>
      <c r="G2054" s="22" t="s">
        <v>33</v>
      </c>
      <c r="H2054" s="22">
        <f>'2085WH_Z'!$F13</f>
        <v>7.3721717938567549E-2</v>
      </c>
      <c r="I2054" t="str">
        <f t="shared" si="156"/>
        <v>WH2085;zomer;24;60;7.37217179385675E-02;TRUE;7.37217179385675E-02</v>
      </c>
    </row>
    <row r="2055" spans="1:9" x14ac:dyDescent="0.25">
      <c r="A2055">
        <f t="shared" si="155"/>
        <v>182.625</v>
      </c>
      <c r="B2055" t="s">
        <v>26</v>
      </c>
      <c r="C2055" t="s">
        <v>11</v>
      </c>
      <c r="D2055">
        <v>24</v>
      </c>
      <c r="E2055">
        <f t="shared" si="154"/>
        <v>65</v>
      </c>
      <c r="F2055" s="22">
        <f>'2085WH_Z'!$F14</f>
        <v>4.9645543804492598E-2</v>
      </c>
      <c r="G2055" s="22" t="s">
        <v>33</v>
      </c>
      <c r="H2055" s="22">
        <f>'2085WH_Z'!$F14</f>
        <v>4.9645543804492598E-2</v>
      </c>
      <c r="I2055" t="str">
        <f t="shared" si="156"/>
        <v>WH2085;zomer;24;65;4.96455438044926E-02;TRUE;4.96455438044926E-02</v>
      </c>
    </row>
    <row r="2056" spans="1:9" x14ac:dyDescent="0.25">
      <c r="A2056">
        <f t="shared" si="155"/>
        <v>182.625</v>
      </c>
      <c r="B2056" t="s">
        <v>26</v>
      </c>
      <c r="C2056" t="s">
        <v>11</v>
      </c>
      <c r="D2056">
        <v>24</v>
      </c>
      <c r="E2056">
        <f t="shared" si="154"/>
        <v>70</v>
      </c>
      <c r="F2056" s="22">
        <f>'2085WH_Z'!$F15</f>
        <v>3.3780606827116533E-2</v>
      </c>
      <c r="G2056" s="22" t="s">
        <v>33</v>
      </c>
      <c r="H2056" s="22">
        <f>'2085WH_Z'!$F15</f>
        <v>3.3780606827116533E-2</v>
      </c>
      <c r="I2056" t="str">
        <f t="shared" si="156"/>
        <v>WH2085;zomer;24;70;3.37806068271165E-02;TRUE;3.37806068271165E-02</v>
      </c>
    </row>
    <row r="2057" spans="1:9" x14ac:dyDescent="0.25">
      <c r="A2057">
        <f t="shared" si="155"/>
        <v>182.625</v>
      </c>
      <c r="B2057" t="s">
        <v>26</v>
      </c>
      <c r="C2057" t="s">
        <v>11</v>
      </c>
      <c r="D2057">
        <v>24</v>
      </c>
      <c r="E2057">
        <f t="shared" si="154"/>
        <v>75</v>
      </c>
      <c r="F2057" s="22">
        <f>'2085WH_Z'!$F16</f>
        <v>2.3212755465083119E-2</v>
      </c>
      <c r="G2057" s="22" t="s">
        <v>33</v>
      </c>
      <c r="H2057" s="22">
        <f>'2085WH_Z'!$F16</f>
        <v>2.3212755465083119E-2</v>
      </c>
      <c r="I2057" t="str">
        <f t="shared" si="156"/>
        <v>WH2085;zomer;24;75;2.32127554650831E-02;TRUE;2.32127554650831E-02</v>
      </c>
    </row>
    <row r="2058" spans="1:9" x14ac:dyDescent="0.25">
      <c r="A2058">
        <f t="shared" si="155"/>
        <v>182.625</v>
      </c>
      <c r="B2058" t="s">
        <v>26</v>
      </c>
      <c r="C2058" t="s">
        <v>11</v>
      </c>
      <c r="D2058">
        <v>24</v>
      </c>
      <c r="E2058">
        <f t="shared" si="154"/>
        <v>80</v>
      </c>
      <c r="F2058" s="22">
        <f>'2085WH_Z'!$F17</f>
        <v>1.6100708457271906E-2</v>
      </c>
      <c r="G2058" s="22" t="s">
        <v>33</v>
      </c>
      <c r="H2058" s="22">
        <f>'2085WH_Z'!$F17</f>
        <v>1.6100708457271906E-2</v>
      </c>
      <c r="I2058" t="str">
        <f t="shared" si="156"/>
        <v>WH2085;zomer;24;80;1.61007084572719E-02;TRUE;1.61007084572719E-02</v>
      </c>
    </row>
    <row r="2059" spans="1:9" x14ac:dyDescent="0.25">
      <c r="A2059">
        <f t="shared" si="155"/>
        <v>182.625</v>
      </c>
      <c r="B2059" t="s">
        <v>26</v>
      </c>
      <c r="C2059" t="s">
        <v>11</v>
      </c>
      <c r="D2059">
        <v>24</v>
      </c>
      <c r="E2059">
        <f t="shared" si="154"/>
        <v>85</v>
      </c>
      <c r="F2059" s="22">
        <f>'2085WH_Z'!$F18</f>
        <v>1.1267429293343453E-2</v>
      </c>
      <c r="G2059" s="22" t="s">
        <v>33</v>
      </c>
      <c r="H2059" s="22">
        <f>'2085WH_Z'!$F18</f>
        <v>1.1267429293343453E-2</v>
      </c>
      <c r="I2059" t="str">
        <f t="shared" si="156"/>
        <v>WH2085;zomer;24;85;1.12674292933435E-02;TRUE;1.12674292933435E-02</v>
      </c>
    </row>
    <row r="2060" spans="1:9" x14ac:dyDescent="0.25">
      <c r="A2060">
        <f t="shared" si="155"/>
        <v>182.625</v>
      </c>
      <c r="B2060" t="s">
        <v>26</v>
      </c>
      <c r="C2060" t="s">
        <v>11</v>
      </c>
      <c r="D2060">
        <v>24</v>
      </c>
      <c r="E2060">
        <f t="shared" si="154"/>
        <v>90</v>
      </c>
      <c r="F2060" s="22">
        <f>'2085WH_Z'!$F19</f>
        <v>7.9521189346330595E-3</v>
      </c>
      <c r="G2060" s="22" t="s">
        <v>33</v>
      </c>
      <c r="H2060" s="22">
        <f>'2085WH_Z'!$F19</f>
        <v>7.9521189346330595E-3</v>
      </c>
      <c r="I2060" t="str">
        <f t="shared" si="156"/>
        <v>WH2085;zomer;24;90;7.95211893463306E-03;TRUE;7.95211893463306E-03</v>
      </c>
    </row>
    <row r="2061" spans="1:9" x14ac:dyDescent="0.25">
      <c r="A2061">
        <f t="shared" si="155"/>
        <v>182.625</v>
      </c>
      <c r="B2061" t="s">
        <v>26</v>
      </c>
      <c r="C2061" t="s">
        <v>11</v>
      </c>
      <c r="D2061">
        <v>24</v>
      </c>
      <c r="E2061">
        <f t="shared" si="154"/>
        <v>95</v>
      </c>
      <c r="F2061" s="22">
        <f>'2085WH_Z'!$F20</f>
        <v>5.6578110337059638E-3</v>
      </c>
      <c r="G2061" s="22" t="s">
        <v>33</v>
      </c>
      <c r="H2061" s="22">
        <f>'2085WH_Z'!$F20</f>
        <v>5.6578110337059638E-3</v>
      </c>
      <c r="I2061" t="str">
        <f t="shared" si="156"/>
        <v>WH2085;zomer;24;95;5.65781103370596E-03;TRUE;5.65781103370596E-03</v>
      </c>
    </row>
    <row r="2062" spans="1:9" x14ac:dyDescent="0.25">
      <c r="A2062">
        <f t="shared" si="155"/>
        <v>182.625</v>
      </c>
      <c r="B2062" t="s">
        <v>26</v>
      </c>
      <c r="C2062" t="s">
        <v>11</v>
      </c>
      <c r="D2062">
        <v>24</v>
      </c>
      <c r="E2062">
        <f t="shared" si="154"/>
        <v>100</v>
      </c>
      <c r="F2062" s="22">
        <f>'2085WH_Z'!$F21</f>
        <v>4.0566033289681606E-3</v>
      </c>
      <c r="G2062" s="22" t="s">
        <v>33</v>
      </c>
      <c r="H2062" s="22">
        <f>'2085WH_Z'!$F21</f>
        <v>4.0566033289681606E-3</v>
      </c>
      <c r="I2062" t="str">
        <f t="shared" si="156"/>
        <v>WH2085;zomer;24;100;4.05660332896816E-03;TRUE;4.05660332896816E-03</v>
      </c>
    </row>
    <row r="2063" spans="1:9" x14ac:dyDescent="0.25">
      <c r="A2063">
        <f t="shared" si="155"/>
        <v>182.625</v>
      </c>
      <c r="B2063" t="s">
        <v>26</v>
      </c>
      <c r="C2063" t="s">
        <v>11</v>
      </c>
      <c r="D2063">
        <v>24</v>
      </c>
      <c r="E2063">
        <f t="shared" si="154"/>
        <v>105</v>
      </c>
      <c r="F2063" s="22">
        <f>'2085WH_Z'!$F22</f>
        <v>1.1315345481960757E-2</v>
      </c>
      <c r="G2063" s="22" t="s">
        <v>33</v>
      </c>
      <c r="H2063" s="22">
        <f>'2085WH_Z'!$F22</f>
        <v>1.1315345481960757E-2</v>
      </c>
      <c r="I2063" t="str">
        <f t="shared" si="156"/>
        <v>WH2085;zomer;24;105;1.13153454819608E-02;TRUE;1.13153454819608E-02</v>
      </c>
    </row>
    <row r="2064" spans="1:9" x14ac:dyDescent="0.25">
      <c r="A2064">
        <f t="shared" si="155"/>
        <v>91.3125</v>
      </c>
      <c r="B2064" t="s">
        <v>26</v>
      </c>
      <c r="C2064" t="s">
        <v>11</v>
      </c>
      <c r="D2064">
        <v>48</v>
      </c>
      <c r="E2064">
        <v>15</v>
      </c>
      <c r="F2064" s="22">
        <f>'2085WH_Z'!$J4</f>
        <v>171.76135311543902</v>
      </c>
      <c r="G2064" s="22" t="s">
        <v>33</v>
      </c>
      <c r="H2064" s="22">
        <f>'2085WH_Z'!$J4</f>
        <v>171.76135311543902</v>
      </c>
      <c r="I2064" t="str">
        <f t="shared" si="156"/>
        <v>WH2085;zomer;48;15;171.761353115439;TRUE;171.761353115439</v>
      </c>
    </row>
    <row r="2065" spans="1:9" x14ac:dyDescent="0.25">
      <c r="A2065">
        <f t="shared" si="155"/>
        <v>91.3125</v>
      </c>
      <c r="B2065" t="s">
        <v>26</v>
      </c>
      <c r="C2065" t="s">
        <v>11</v>
      </c>
      <c r="D2065">
        <v>48</v>
      </c>
      <c r="E2065">
        <f>E2064+5</f>
        <v>20</v>
      </c>
      <c r="F2065" s="22">
        <f>'2085WH_Z'!$J5</f>
        <v>3.6132320535064038</v>
      </c>
      <c r="G2065" s="22" t="s">
        <v>33</v>
      </c>
      <c r="H2065" s="22">
        <f>'2085WH_Z'!$J5</f>
        <v>3.6132320535064038</v>
      </c>
      <c r="I2065" t="str">
        <f t="shared" si="156"/>
        <v>WH2085;zomer;48;20;3.6132320535064;TRUE;3.6132320535064</v>
      </c>
    </row>
    <row r="2066" spans="1:9" x14ac:dyDescent="0.25">
      <c r="A2066">
        <f t="shared" si="155"/>
        <v>91.3125</v>
      </c>
      <c r="B2066" t="s">
        <v>26</v>
      </c>
      <c r="C2066" t="s">
        <v>11</v>
      </c>
      <c r="D2066">
        <v>48</v>
      </c>
      <c r="E2066">
        <f t="shared" ref="E2066:E2083" si="157">E2065+5</f>
        <v>25</v>
      </c>
      <c r="F2066" s="22">
        <f>'2085WH_Z'!$J6</f>
        <v>2.3679535074119569</v>
      </c>
      <c r="G2066" s="22" t="s">
        <v>33</v>
      </c>
      <c r="H2066" s="22">
        <f>'2085WH_Z'!$J6</f>
        <v>2.3679535074119569</v>
      </c>
      <c r="I2066" t="str">
        <f t="shared" si="156"/>
        <v>WH2085;zomer;48;25;2.36795350741196;TRUE;2.36795350741196</v>
      </c>
    </row>
    <row r="2067" spans="1:9" x14ac:dyDescent="0.25">
      <c r="A2067">
        <f t="shared" si="155"/>
        <v>91.3125</v>
      </c>
      <c r="B2067" t="s">
        <v>26</v>
      </c>
      <c r="C2067" t="s">
        <v>11</v>
      </c>
      <c r="D2067">
        <v>48</v>
      </c>
      <c r="E2067">
        <f t="shared" si="157"/>
        <v>30</v>
      </c>
      <c r="F2067" s="22">
        <f>'2085WH_Z'!$J7</f>
        <v>1.5663048785313669</v>
      </c>
      <c r="G2067" s="22" t="s">
        <v>33</v>
      </c>
      <c r="H2067" s="22">
        <f>'2085WH_Z'!$J7</f>
        <v>1.5663048785313669</v>
      </c>
      <c r="I2067" t="str">
        <f t="shared" si="156"/>
        <v>WH2085;zomer;48;30;1.56630487853137;TRUE;1.56630487853137</v>
      </c>
    </row>
    <row r="2068" spans="1:9" x14ac:dyDescent="0.25">
      <c r="A2068">
        <f t="shared" si="155"/>
        <v>91.3125</v>
      </c>
      <c r="B2068" t="s">
        <v>26</v>
      </c>
      <c r="C2068" t="s">
        <v>11</v>
      </c>
      <c r="D2068">
        <v>48</v>
      </c>
      <c r="E2068">
        <f t="shared" si="157"/>
        <v>35</v>
      </c>
      <c r="F2068" s="22">
        <f>'2085WH_Z'!$J8</f>
        <v>1.0452791203224923</v>
      </c>
      <c r="G2068" s="22" t="s">
        <v>33</v>
      </c>
      <c r="H2068" s="22">
        <f>'2085WH_Z'!$J8</f>
        <v>1.0452791203224923</v>
      </c>
      <c r="I2068" t="str">
        <f t="shared" si="156"/>
        <v>WH2085;zomer;48;35;1.04527912032249;TRUE;1.04527912032249</v>
      </c>
    </row>
    <row r="2069" spans="1:9" x14ac:dyDescent="0.25">
      <c r="A2069">
        <f t="shared" si="155"/>
        <v>91.3125</v>
      </c>
      <c r="B2069" t="s">
        <v>26</v>
      </c>
      <c r="C2069" t="s">
        <v>11</v>
      </c>
      <c r="D2069">
        <v>48</v>
      </c>
      <c r="E2069">
        <f t="shared" si="157"/>
        <v>40</v>
      </c>
      <c r="F2069" s="22">
        <f>'2085WH_Z'!$J9</f>
        <v>0.70352421287916211</v>
      </c>
      <c r="G2069" s="22" t="s">
        <v>33</v>
      </c>
      <c r="H2069" s="22">
        <f>'2085WH_Z'!$J9</f>
        <v>0.70352421287916211</v>
      </c>
      <c r="I2069" t="str">
        <f t="shared" si="156"/>
        <v>WH2085;zomer;48;40;0.703524212879162;TRUE;0.703524212879162</v>
      </c>
    </row>
    <row r="2070" spans="1:9" x14ac:dyDescent="0.25">
      <c r="A2070">
        <f t="shared" si="155"/>
        <v>91.3125</v>
      </c>
      <c r="B2070" t="s">
        <v>26</v>
      </c>
      <c r="C2070" t="s">
        <v>11</v>
      </c>
      <c r="D2070">
        <v>48</v>
      </c>
      <c r="E2070">
        <f t="shared" si="157"/>
        <v>45</v>
      </c>
      <c r="F2070" s="22">
        <f>'2085WH_Z'!$J10</f>
        <v>0.47738041181293323</v>
      </c>
      <c r="G2070" s="22" t="s">
        <v>33</v>
      </c>
      <c r="H2070" s="22">
        <f>'2085WH_Z'!$J10</f>
        <v>0.47738041181293323</v>
      </c>
      <c r="I2070" t="str">
        <f t="shared" si="156"/>
        <v>WH2085;zomer;48;45;0.477380411812933;TRUE;0.477380411812933</v>
      </c>
    </row>
    <row r="2071" spans="1:9" x14ac:dyDescent="0.25">
      <c r="A2071">
        <f t="shared" si="155"/>
        <v>91.3125</v>
      </c>
      <c r="B2071" t="s">
        <v>26</v>
      </c>
      <c r="C2071" t="s">
        <v>11</v>
      </c>
      <c r="D2071">
        <v>48</v>
      </c>
      <c r="E2071">
        <f t="shared" si="157"/>
        <v>50</v>
      </c>
      <c r="F2071" s="22">
        <f>'2085WH_Z'!$J11</f>
        <v>0.32647211752776994</v>
      </c>
      <c r="G2071" s="22" t="s">
        <v>33</v>
      </c>
      <c r="H2071" s="22">
        <f>'2085WH_Z'!$J11</f>
        <v>0.32647211752776994</v>
      </c>
      <c r="I2071" t="str">
        <f t="shared" si="156"/>
        <v>WH2085;zomer;48;50;0.32647211752777;TRUE;0.32647211752777</v>
      </c>
    </row>
    <row r="2072" spans="1:9" x14ac:dyDescent="0.25">
      <c r="A2072">
        <f t="shared" si="155"/>
        <v>91.3125</v>
      </c>
      <c r="B2072" t="s">
        <v>26</v>
      </c>
      <c r="C2072" t="s">
        <v>11</v>
      </c>
      <c r="D2072">
        <v>48</v>
      </c>
      <c r="E2072">
        <f t="shared" si="157"/>
        <v>55</v>
      </c>
      <c r="F2072" s="22">
        <f>'2085WH_Z'!$J12</f>
        <v>0.22495166729827487</v>
      </c>
      <c r="G2072" s="22" t="s">
        <v>33</v>
      </c>
      <c r="H2072" s="22">
        <f>'2085WH_Z'!$J12</f>
        <v>0.22495166729827487</v>
      </c>
      <c r="I2072" t="str">
        <f t="shared" si="156"/>
        <v>WH2085;zomer;48;55;0.224951667298275;TRUE;0.224951667298275</v>
      </c>
    </row>
    <row r="2073" spans="1:9" x14ac:dyDescent="0.25">
      <c r="A2073">
        <f t="shared" si="155"/>
        <v>91.3125</v>
      </c>
      <c r="B2073" t="s">
        <v>26</v>
      </c>
      <c r="C2073" t="s">
        <v>11</v>
      </c>
      <c r="D2073">
        <v>48</v>
      </c>
      <c r="E2073">
        <f t="shared" si="157"/>
        <v>60</v>
      </c>
      <c r="F2073" s="22">
        <f>'2085WH_Z'!$J13</f>
        <v>0.15612319868280727</v>
      </c>
      <c r="G2073" s="22" t="s">
        <v>33</v>
      </c>
      <c r="H2073" s="22">
        <f>'2085WH_Z'!$J13</f>
        <v>0.15612319868280727</v>
      </c>
      <c r="I2073" t="str">
        <f t="shared" si="156"/>
        <v>WH2085;zomer;48;60;0.156123198682807;TRUE;0.156123198682807</v>
      </c>
    </row>
    <row r="2074" spans="1:9" x14ac:dyDescent="0.25">
      <c r="A2074">
        <f t="shared" si="155"/>
        <v>91.3125</v>
      </c>
      <c r="B2074" t="s">
        <v>26</v>
      </c>
      <c r="C2074" t="s">
        <v>11</v>
      </c>
      <c r="D2074">
        <v>48</v>
      </c>
      <c r="E2074">
        <f t="shared" si="157"/>
        <v>65</v>
      </c>
      <c r="F2074" s="22">
        <f>'2085WH_Z'!$J14</f>
        <v>0.1091092270242231</v>
      </c>
      <c r="G2074" s="22" t="s">
        <v>33</v>
      </c>
      <c r="H2074" s="22">
        <f>'2085WH_Z'!$J14</f>
        <v>0.1091092270242231</v>
      </c>
      <c r="I2074" t="str">
        <f t="shared" si="156"/>
        <v>WH2085;zomer;48;65;0.109109227024223;TRUE;0.109109227024223</v>
      </c>
    </row>
    <row r="2075" spans="1:9" x14ac:dyDescent="0.25">
      <c r="A2075">
        <f t="shared" si="155"/>
        <v>91.3125</v>
      </c>
      <c r="B2075" t="s">
        <v>26</v>
      </c>
      <c r="C2075" t="s">
        <v>11</v>
      </c>
      <c r="D2075">
        <v>48</v>
      </c>
      <c r="E2075">
        <f t="shared" si="157"/>
        <v>70</v>
      </c>
      <c r="F2075" s="22">
        <f>'2085WH_Z'!$J15</f>
        <v>7.6764199839104041E-2</v>
      </c>
      <c r="G2075" s="22" t="s">
        <v>33</v>
      </c>
      <c r="H2075" s="22">
        <f>'2085WH_Z'!$J15</f>
        <v>7.6764199839104041E-2</v>
      </c>
      <c r="I2075" t="str">
        <f t="shared" si="156"/>
        <v>WH2085;zomer;48;70;0.076764199839104;TRUE;0.076764199839104</v>
      </c>
    </row>
    <row r="2076" spans="1:9" x14ac:dyDescent="0.25">
      <c r="A2076">
        <f t="shared" si="155"/>
        <v>91.3125</v>
      </c>
      <c r="B2076" t="s">
        <v>26</v>
      </c>
      <c r="C2076" t="s">
        <v>11</v>
      </c>
      <c r="D2076">
        <v>48</v>
      </c>
      <c r="E2076">
        <f t="shared" si="157"/>
        <v>75</v>
      </c>
      <c r="F2076" s="22">
        <f>'2085WH_Z'!$J16</f>
        <v>5.4356661558510849E-2</v>
      </c>
      <c r="G2076" s="22" t="s">
        <v>33</v>
      </c>
      <c r="H2076" s="22">
        <f>'2085WH_Z'!$J16</f>
        <v>5.4356661558510849E-2</v>
      </c>
      <c r="I2076" t="str">
        <f t="shared" si="156"/>
        <v>WH2085;zomer;48;75;5.43566615585108E-02;TRUE;5.43566615585108E-02</v>
      </c>
    </row>
    <row r="2077" spans="1:9" x14ac:dyDescent="0.25">
      <c r="A2077">
        <f t="shared" si="155"/>
        <v>91.3125</v>
      </c>
      <c r="B2077" t="s">
        <v>26</v>
      </c>
      <c r="C2077" t="s">
        <v>11</v>
      </c>
      <c r="D2077">
        <v>48</v>
      </c>
      <c r="E2077">
        <f t="shared" si="157"/>
        <v>80</v>
      </c>
      <c r="F2077" s="22">
        <f>'2085WH_Z'!$J17</f>
        <v>3.8729595601947414E-2</v>
      </c>
      <c r="G2077" s="22" t="s">
        <v>33</v>
      </c>
      <c r="H2077" s="22">
        <f>'2085WH_Z'!$J17</f>
        <v>3.8729595601947414E-2</v>
      </c>
      <c r="I2077" t="str">
        <f t="shared" si="156"/>
        <v>WH2085;zomer;48;80;3.87295956019474E-02;TRUE;3.87295956019474E-02</v>
      </c>
    </row>
    <row r="2078" spans="1:9" x14ac:dyDescent="0.25">
      <c r="A2078">
        <f t="shared" si="155"/>
        <v>91.3125</v>
      </c>
      <c r="B2078" t="s">
        <v>26</v>
      </c>
      <c r="C2078" t="s">
        <v>11</v>
      </c>
      <c r="D2078">
        <v>48</v>
      </c>
      <c r="E2078">
        <f t="shared" si="157"/>
        <v>85</v>
      </c>
      <c r="F2078" s="22">
        <f>'2085WH_Z'!$J18</f>
        <v>2.7760927170860497E-2</v>
      </c>
      <c r="G2078" s="22" t="s">
        <v>33</v>
      </c>
      <c r="H2078" s="22">
        <f>'2085WH_Z'!$J18</f>
        <v>2.7760927170860497E-2</v>
      </c>
      <c r="I2078" t="str">
        <f t="shared" si="156"/>
        <v>WH2085;zomer;48;85;2.77609271708605E-02;TRUE;2.77609271708605E-02</v>
      </c>
    </row>
    <row r="2079" spans="1:9" x14ac:dyDescent="0.25">
      <c r="A2079">
        <f t="shared" si="155"/>
        <v>91.3125</v>
      </c>
      <c r="B2079" t="s">
        <v>26</v>
      </c>
      <c r="C2079" t="s">
        <v>11</v>
      </c>
      <c r="D2079">
        <v>48</v>
      </c>
      <c r="E2079">
        <f t="shared" si="157"/>
        <v>90</v>
      </c>
      <c r="F2079" s="22">
        <f>'2085WH_Z'!$J19</f>
        <v>2.0014071104998615E-2</v>
      </c>
      <c r="G2079" s="22" t="s">
        <v>33</v>
      </c>
      <c r="H2079" s="22">
        <f>'2085WH_Z'!$J19</f>
        <v>2.0014071104998615E-2</v>
      </c>
      <c r="I2079" t="str">
        <f t="shared" si="156"/>
        <v>WH2085;zomer;48;90;2.00140711049986E-02;TRUE;2.00140711049986E-02</v>
      </c>
    </row>
    <row r="2080" spans="1:9" x14ac:dyDescent="0.25">
      <c r="A2080">
        <f t="shared" si="155"/>
        <v>91.3125</v>
      </c>
      <c r="B2080" t="s">
        <v>26</v>
      </c>
      <c r="C2080" t="s">
        <v>11</v>
      </c>
      <c r="D2080">
        <v>48</v>
      </c>
      <c r="E2080">
        <f t="shared" si="157"/>
        <v>95</v>
      </c>
      <c r="F2080" s="22">
        <f>'2085WH_Z'!$J20</f>
        <v>1.4509807690153441E-2</v>
      </c>
      <c r="G2080" s="22" t="s">
        <v>33</v>
      </c>
      <c r="H2080" s="22">
        <f>'2085WH_Z'!$J20</f>
        <v>1.4509807690153441E-2</v>
      </c>
      <c r="I2080" t="str">
        <f t="shared" si="156"/>
        <v>WH2085;zomer;48;95;1.45098076901534E-02;TRUE;1.45098076901534E-02</v>
      </c>
    </row>
    <row r="2081" spans="1:9" x14ac:dyDescent="0.25">
      <c r="A2081">
        <f t="shared" si="155"/>
        <v>91.3125</v>
      </c>
      <c r="B2081" t="s">
        <v>26</v>
      </c>
      <c r="C2081" t="s">
        <v>11</v>
      </c>
      <c r="D2081">
        <v>48</v>
      </c>
      <c r="E2081">
        <f t="shared" si="157"/>
        <v>100</v>
      </c>
      <c r="F2081" s="22">
        <f>'2085WH_Z'!$J21</f>
        <v>1.0576238089591503E-2</v>
      </c>
      <c r="G2081" s="22" t="s">
        <v>33</v>
      </c>
      <c r="H2081" s="22">
        <f>'2085WH_Z'!$J21</f>
        <v>1.0576238089591503E-2</v>
      </c>
      <c r="I2081" t="str">
        <f t="shared" si="156"/>
        <v>WH2085;zomer;48;100;1.05762380895915E-02;TRUE;1.05762380895915E-02</v>
      </c>
    </row>
    <row r="2082" spans="1:9" x14ac:dyDescent="0.25">
      <c r="A2082">
        <f t="shared" si="155"/>
        <v>91.3125</v>
      </c>
      <c r="B2082" t="s">
        <v>26</v>
      </c>
      <c r="C2082" t="s">
        <v>11</v>
      </c>
      <c r="D2082">
        <v>48</v>
      </c>
      <c r="E2082">
        <f t="shared" si="157"/>
        <v>105</v>
      </c>
      <c r="F2082" s="22">
        <f>'2085WH_Z'!$J22</f>
        <v>7.749376429800562E-3</v>
      </c>
      <c r="G2082" s="22" t="s">
        <v>33</v>
      </c>
      <c r="H2082" s="22">
        <f>'2085WH_Z'!$J22</f>
        <v>7.749376429800562E-3</v>
      </c>
      <c r="I2082" t="str">
        <f t="shared" si="156"/>
        <v>WH2085;zomer;48;105;7.74937642980056E-03;TRUE;7.74937642980056E-03</v>
      </c>
    </row>
    <row r="2083" spans="1:9" x14ac:dyDescent="0.25">
      <c r="A2083">
        <f t="shared" si="155"/>
        <v>91.3125</v>
      </c>
      <c r="B2083" t="s">
        <v>26</v>
      </c>
      <c r="C2083" t="s">
        <v>11</v>
      </c>
      <c r="D2083">
        <v>48</v>
      </c>
      <c r="E2083">
        <f t="shared" si="157"/>
        <v>110</v>
      </c>
      <c r="F2083" s="22">
        <f>'2085WH_Z'!$J23</f>
        <v>2.2855612078621138E-2</v>
      </c>
      <c r="G2083" s="22" t="s">
        <v>33</v>
      </c>
      <c r="H2083" s="22">
        <f>'2085WH_Z'!$J23</f>
        <v>2.2855612078621138E-2</v>
      </c>
      <c r="I2083" t="str">
        <f t="shared" si="156"/>
        <v>WH2085;zomer;48;110;2.28556120786211E-02;TRUE;2.28556120786211E-02</v>
      </c>
    </row>
    <row r="2084" spans="1:9" x14ac:dyDescent="0.25">
      <c r="A2084">
        <f t="shared" si="155"/>
        <v>45.65625</v>
      </c>
      <c r="B2084" t="s">
        <v>26</v>
      </c>
      <c r="C2084" t="s">
        <v>11</v>
      </c>
      <c r="D2084">
        <v>96</v>
      </c>
      <c r="E2084">
        <v>20</v>
      </c>
      <c r="F2084" s="22">
        <f>'2085WH_Z'!$N5</f>
        <v>80.73183184635802</v>
      </c>
      <c r="G2084" s="22" t="s">
        <v>33</v>
      </c>
      <c r="H2084" s="22">
        <f>'2085WH_Z'!$N5</f>
        <v>80.73183184635802</v>
      </c>
      <c r="I2084" t="str">
        <f t="shared" si="156"/>
        <v>WH2085;zomer;96;20;80.731831846358;TRUE;80.731831846358</v>
      </c>
    </row>
    <row r="2085" spans="1:9" x14ac:dyDescent="0.25">
      <c r="A2085">
        <f t="shared" si="155"/>
        <v>45.65625</v>
      </c>
      <c r="B2085" t="s">
        <v>26</v>
      </c>
      <c r="C2085" t="s">
        <v>11</v>
      </c>
      <c r="D2085">
        <v>96</v>
      </c>
      <c r="E2085">
        <f>E2084+5</f>
        <v>25</v>
      </c>
      <c r="F2085" s="22">
        <f>'2085WH_Z'!$N6</f>
        <v>2.8083732749780816</v>
      </c>
      <c r="G2085" s="22" t="s">
        <v>33</v>
      </c>
      <c r="H2085" s="22">
        <f>'2085WH_Z'!$N6</f>
        <v>2.8083732749780816</v>
      </c>
      <c r="I2085" t="str">
        <f t="shared" si="156"/>
        <v>WH2085;zomer;96;25;2.80837327497808;TRUE;2.80837327497808</v>
      </c>
    </row>
    <row r="2086" spans="1:9" x14ac:dyDescent="0.25">
      <c r="A2086">
        <f t="shared" si="155"/>
        <v>45.65625</v>
      </c>
      <c r="B2086" t="s">
        <v>26</v>
      </c>
      <c r="C2086" t="s">
        <v>11</v>
      </c>
      <c r="D2086">
        <v>96</v>
      </c>
      <c r="E2086">
        <f t="shared" ref="E2086:E2104" si="158">E2085+5</f>
        <v>30</v>
      </c>
      <c r="F2086" s="22">
        <f>'2085WH_Z'!$N7</f>
        <v>2.0510778280969859</v>
      </c>
      <c r="G2086" s="22" t="s">
        <v>33</v>
      </c>
      <c r="H2086" s="22">
        <f>'2085WH_Z'!$N7</f>
        <v>2.0510778280969859</v>
      </c>
      <c r="I2086" t="str">
        <f t="shared" si="156"/>
        <v>WH2085;zomer;96;30;2.05107782809699;TRUE;2.05107782809699</v>
      </c>
    </row>
    <row r="2087" spans="1:9" x14ac:dyDescent="0.25">
      <c r="A2087">
        <f t="shared" si="155"/>
        <v>45.65625</v>
      </c>
      <c r="B2087" t="s">
        <v>26</v>
      </c>
      <c r="C2087" t="s">
        <v>11</v>
      </c>
      <c r="D2087">
        <v>96</v>
      </c>
      <c r="E2087">
        <f t="shared" si="158"/>
        <v>35</v>
      </c>
      <c r="F2087" s="22">
        <f>'2085WH_Z'!$N8</f>
        <v>1.5011585916619996</v>
      </c>
      <c r="G2087" s="22" t="s">
        <v>33</v>
      </c>
      <c r="H2087" s="22">
        <f>'2085WH_Z'!$N8</f>
        <v>1.5011585916619996</v>
      </c>
      <c r="I2087" t="str">
        <f t="shared" si="156"/>
        <v>WH2085;zomer;96;35;1.501158591662;TRUE;1.501158591662</v>
      </c>
    </row>
    <row r="2088" spans="1:9" x14ac:dyDescent="0.25">
      <c r="A2088">
        <f t="shared" si="155"/>
        <v>45.65625</v>
      </c>
      <c r="B2088" t="s">
        <v>26</v>
      </c>
      <c r="C2088" t="s">
        <v>11</v>
      </c>
      <c r="D2088">
        <v>96</v>
      </c>
      <c r="E2088">
        <f t="shared" si="158"/>
        <v>40</v>
      </c>
      <c r="F2088" s="22">
        <f>'2085WH_Z'!$N9</f>
        <v>1.100971035819744</v>
      </c>
      <c r="G2088" s="22" t="s">
        <v>33</v>
      </c>
      <c r="H2088" s="22">
        <f>'2085WH_Z'!$N9</f>
        <v>1.100971035819744</v>
      </c>
      <c r="I2088" t="str">
        <f t="shared" si="156"/>
        <v>WH2085;zomer;96;40;1.10097103581974;TRUE;1.10097103581974</v>
      </c>
    </row>
    <row r="2089" spans="1:9" x14ac:dyDescent="0.25">
      <c r="A2089">
        <f t="shared" si="155"/>
        <v>45.65625</v>
      </c>
      <c r="B2089" t="s">
        <v>26</v>
      </c>
      <c r="C2089" t="s">
        <v>11</v>
      </c>
      <c r="D2089">
        <v>96</v>
      </c>
      <c r="E2089">
        <f t="shared" si="158"/>
        <v>45</v>
      </c>
      <c r="F2089" s="22">
        <f>'2085WH_Z'!$N10</f>
        <v>0.80912960143790258</v>
      </c>
      <c r="G2089" s="22" t="s">
        <v>33</v>
      </c>
      <c r="H2089" s="22">
        <f>'2085WH_Z'!$N10</f>
        <v>0.80912960143790258</v>
      </c>
      <c r="I2089" t="str">
        <f t="shared" si="156"/>
        <v>WH2085;zomer;96;45;0.809129601437903;TRUE;0.809129601437903</v>
      </c>
    </row>
    <row r="2090" spans="1:9" x14ac:dyDescent="0.25">
      <c r="A2090">
        <f t="shared" si="155"/>
        <v>45.65625</v>
      </c>
      <c r="B2090" t="s">
        <v>26</v>
      </c>
      <c r="C2090" t="s">
        <v>11</v>
      </c>
      <c r="D2090">
        <v>96</v>
      </c>
      <c r="E2090">
        <f t="shared" si="158"/>
        <v>50</v>
      </c>
      <c r="F2090" s="22">
        <f>'2085WH_Z'!$N11</f>
        <v>0.59585611251275639</v>
      </c>
      <c r="G2090" s="22" t="s">
        <v>33</v>
      </c>
      <c r="H2090" s="22">
        <f>'2085WH_Z'!$N11</f>
        <v>0.59585611251275639</v>
      </c>
      <c r="I2090" t="str">
        <f t="shared" si="156"/>
        <v>WH2085;zomer;96;50;0.595856112512756;TRUE;0.595856112512756</v>
      </c>
    </row>
    <row r="2091" spans="1:9" x14ac:dyDescent="0.25">
      <c r="A2091">
        <f t="shared" si="155"/>
        <v>45.65625</v>
      </c>
      <c r="B2091" t="s">
        <v>26</v>
      </c>
      <c r="C2091" t="s">
        <v>11</v>
      </c>
      <c r="D2091">
        <v>96</v>
      </c>
      <c r="E2091">
        <f t="shared" si="158"/>
        <v>55</v>
      </c>
      <c r="F2091" s="22">
        <f>'2085WH_Z'!$N12</f>
        <v>0.43967754532176584</v>
      </c>
      <c r="G2091" s="22" t="s">
        <v>33</v>
      </c>
      <c r="H2091" s="22">
        <f>'2085WH_Z'!$N12</f>
        <v>0.43967754532176584</v>
      </c>
      <c r="I2091" t="str">
        <f t="shared" si="156"/>
        <v>WH2085;zomer;96;55;0.439677545321766;TRUE;0.439677545321766</v>
      </c>
    </row>
    <row r="2092" spans="1:9" x14ac:dyDescent="0.25">
      <c r="A2092">
        <f t="shared" si="155"/>
        <v>45.65625</v>
      </c>
      <c r="B2092" t="s">
        <v>26</v>
      </c>
      <c r="C2092" t="s">
        <v>11</v>
      </c>
      <c r="D2092">
        <v>96</v>
      </c>
      <c r="E2092">
        <f t="shared" si="158"/>
        <v>60</v>
      </c>
      <c r="F2092" s="22">
        <f>'2085WH_Z'!$N13</f>
        <v>0.3250764011524131</v>
      </c>
      <c r="G2092" s="22" t="s">
        <v>33</v>
      </c>
      <c r="H2092" s="22">
        <f>'2085WH_Z'!$N13</f>
        <v>0.3250764011524131</v>
      </c>
      <c r="I2092" t="str">
        <f t="shared" si="156"/>
        <v>WH2085;zomer;96;60;0.325076401152413;TRUE;0.325076401152413</v>
      </c>
    </row>
    <row r="2093" spans="1:9" x14ac:dyDescent="0.25">
      <c r="A2093">
        <f t="shared" si="155"/>
        <v>45.65625</v>
      </c>
      <c r="B2093" t="s">
        <v>26</v>
      </c>
      <c r="C2093" t="s">
        <v>11</v>
      </c>
      <c r="D2093">
        <v>96</v>
      </c>
      <c r="E2093">
        <f t="shared" si="158"/>
        <v>65</v>
      </c>
      <c r="F2093" s="22">
        <f>'2085WH_Z'!$N14</f>
        <v>0.24081513521420173</v>
      </c>
      <c r="G2093" s="22" t="s">
        <v>33</v>
      </c>
      <c r="H2093" s="22">
        <f>'2085WH_Z'!$N14</f>
        <v>0.24081513521420173</v>
      </c>
      <c r="I2093" t="str">
        <f t="shared" si="156"/>
        <v>WH2085;zomer;96;65;0.240815135214202;TRUE;0.240815135214202</v>
      </c>
    </row>
    <row r="2094" spans="1:9" x14ac:dyDescent="0.25">
      <c r="A2094">
        <f t="shared" si="155"/>
        <v>45.65625</v>
      </c>
      <c r="B2094" t="s">
        <v>26</v>
      </c>
      <c r="C2094" t="s">
        <v>11</v>
      </c>
      <c r="D2094">
        <v>96</v>
      </c>
      <c r="E2094">
        <f t="shared" si="158"/>
        <v>70</v>
      </c>
      <c r="F2094" s="22">
        <f>'2085WH_Z'!$N15</f>
        <v>0.17873862675999352</v>
      </c>
      <c r="G2094" s="22" t="s">
        <v>33</v>
      </c>
      <c r="H2094" s="22">
        <f>'2085WH_Z'!$N15</f>
        <v>0.17873862675999352</v>
      </c>
      <c r="I2094" t="str">
        <f t="shared" si="156"/>
        <v>WH2085;zomer;96;70;0.178738626759994;TRUE;0.178738626759994</v>
      </c>
    </row>
    <row r="2095" spans="1:9" x14ac:dyDescent="0.25">
      <c r="A2095">
        <f t="shared" si="155"/>
        <v>45.65625</v>
      </c>
      <c r="B2095" t="s">
        <v>26</v>
      </c>
      <c r="C2095" t="s">
        <v>11</v>
      </c>
      <c r="D2095">
        <v>96</v>
      </c>
      <c r="E2095">
        <f t="shared" si="158"/>
        <v>75</v>
      </c>
      <c r="F2095" s="22">
        <f>'2085WH_Z'!$N16</f>
        <v>0.1329164364477754</v>
      </c>
      <c r="G2095" s="22" t="s">
        <v>33</v>
      </c>
      <c r="H2095" s="22">
        <f>'2085WH_Z'!$N16</f>
        <v>0.1329164364477754</v>
      </c>
      <c r="I2095" t="str">
        <f t="shared" si="156"/>
        <v>WH2085;zomer;96;75;0.132916436447775;TRUE;0.132916436447775</v>
      </c>
    </row>
    <row r="2096" spans="1:9" x14ac:dyDescent="0.25">
      <c r="A2096">
        <f t="shared" si="155"/>
        <v>45.65625</v>
      </c>
      <c r="B2096" t="s">
        <v>26</v>
      </c>
      <c r="C2096" t="s">
        <v>11</v>
      </c>
      <c r="D2096">
        <v>96</v>
      </c>
      <c r="E2096">
        <f t="shared" si="158"/>
        <v>80</v>
      </c>
      <c r="F2096" s="22">
        <f>'2085WH_Z'!$N17</f>
        <v>9.9027115704134916E-2</v>
      </c>
      <c r="G2096" s="22" t="s">
        <v>33</v>
      </c>
      <c r="H2096" s="22">
        <f>'2085WH_Z'!$N17</f>
        <v>9.9027115704134916E-2</v>
      </c>
      <c r="I2096" t="str">
        <f t="shared" si="156"/>
        <v>WH2085;zomer;96;80;9.90271157041349E-02;TRUE;9.90271157041349E-02</v>
      </c>
    </row>
    <row r="2097" spans="1:9" x14ac:dyDescent="0.25">
      <c r="A2097">
        <f t="shared" si="155"/>
        <v>45.65625</v>
      </c>
      <c r="B2097" t="s">
        <v>26</v>
      </c>
      <c r="C2097" t="s">
        <v>11</v>
      </c>
      <c r="D2097">
        <v>96</v>
      </c>
      <c r="E2097">
        <f t="shared" si="158"/>
        <v>85</v>
      </c>
      <c r="F2097" s="22">
        <f>'2085WH_Z'!$N18</f>
        <v>7.391532168547113E-2</v>
      </c>
      <c r="G2097" s="22" t="s">
        <v>33</v>
      </c>
      <c r="H2097" s="22">
        <f>'2085WH_Z'!$N18</f>
        <v>7.391532168547113E-2</v>
      </c>
      <c r="I2097" t="str">
        <f t="shared" si="156"/>
        <v>WH2085;zomer;96;85;7.39153216854711E-02;TRUE;7.39153216854711E-02</v>
      </c>
    </row>
    <row r="2098" spans="1:9" x14ac:dyDescent="0.25">
      <c r="A2098">
        <f t="shared" si="155"/>
        <v>45.65625</v>
      </c>
      <c r="B2098" t="s">
        <v>26</v>
      </c>
      <c r="C2098" t="s">
        <v>11</v>
      </c>
      <c r="D2098">
        <v>96</v>
      </c>
      <c r="E2098">
        <f t="shared" si="158"/>
        <v>90</v>
      </c>
      <c r="F2098" s="22">
        <f>'2085WH_Z'!$N19</f>
        <v>5.5272567492882813E-2</v>
      </c>
      <c r="G2098" s="22" t="s">
        <v>33</v>
      </c>
      <c r="H2098" s="22">
        <f>'2085WH_Z'!$N19</f>
        <v>5.5272567492882813E-2</v>
      </c>
      <c r="I2098" t="str">
        <f t="shared" si="156"/>
        <v>WH2085;zomer;96;90;5.52725674928828E-02;TRUE;5.52725674928828E-02</v>
      </c>
    </row>
    <row r="2099" spans="1:9" x14ac:dyDescent="0.25">
      <c r="A2099">
        <f t="shared" si="155"/>
        <v>45.65625</v>
      </c>
      <c r="B2099" t="s">
        <v>26</v>
      </c>
      <c r="C2099" t="s">
        <v>11</v>
      </c>
      <c r="D2099">
        <v>96</v>
      </c>
      <c r="E2099">
        <f t="shared" si="158"/>
        <v>95</v>
      </c>
      <c r="F2099" s="22">
        <f>'2085WH_Z'!$N20</f>
        <v>4.1406616589128725E-2</v>
      </c>
      <c r="G2099" s="22" t="s">
        <v>33</v>
      </c>
      <c r="H2099" s="22">
        <f>'2085WH_Z'!$N20</f>
        <v>4.1406616589128725E-2</v>
      </c>
      <c r="I2099" t="str">
        <f t="shared" si="156"/>
        <v>WH2085;zomer;96;95;4.14066165891287E-02;TRUE;4.14066165891287E-02</v>
      </c>
    </row>
    <row r="2100" spans="1:9" x14ac:dyDescent="0.25">
      <c r="A2100">
        <f t="shared" si="155"/>
        <v>45.65625</v>
      </c>
      <c r="B2100" t="s">
        <v>26</v>
      </c>
      <c r="C2100" t="s">
        <v>11</v>
      </c>
      <c r="D2100">
        <v>96</v>
      </c>
      <c r="E2100">
        <f t="shared" si="158"/>
        <v>100</v>
      </c>
      <c r="F2100" s="22">
        <f>'2085WH_Z'!$N21</f>
        <v>3.1074567057280608E-2</v>
      </c>
      <c r="G2100" s="22" t="s">
        <v>33</v>
      </c>
      <c r="H2100" s="22">
        <f>'2085WH_Z'!$N21</f>
        <v>3.1074567057280608E-2</v>
      </c>
      <c r="I2100" t="str">
        <f t="shared" si="156"/>
        <v>WH2085;zomer;96;100;3.10745670572806E-02;TRUE;3.10745670572806E-02</v>
      </c>
    </row>
    <row r="2101" spans="1:9" x14ac:dyDescent="0.25">
      <c r="A2101">
        <f t="shared" si="155"/>
        <v>45.65625</v>
      </c>
      <c r="B2101" t="s">
        <v>26</v>
      </c>
      <c r="C2101" t="s">
        <v>11</v>
      </c>
      <c r="D2101">
        <v>96</v>
      </c>
      <c r="E2101">
        <f t="shared" si="158"/>
        <v>105</v>
      </c>
      <c r="F2101" s="22">
        <f>'2085WH_Z'!$N22</f>
        <v>2.3361791247859809E-2</v>
      </c>
      <c r="G2101" s="22" t="s">
        <v>33</v>
      </c>
      <c r="H2101" s="22">
        <f>'2085WH_Z'!$N22</f>
        <v>2.3361791247859809E-2</v>
      </c>
      <c r="I2101" t="str">
        <f t="shared" si="156"/>
        <v>WH2085;zomer;96;105;2.33617912478598E-02;TRUE;2.33617912478598E-02</v>
      </c>
    </row>
    <row r="2102" spans="1:9" x14ac:dyDescent="0.25">
      <c r="A2102">
        <f t="shared" si="155"/>
        <v>45.65625</v>
      </c>
      <c r="B2102" t="s">
        <v>26</v>
      </c>
      <c r="C2102" t="s">
        <v>11</v>
      </c>
      <c r="D2102">
        <v>96</v>
      </c>
      <c r="E2102">
        <f t="shared" si="158"/>
        <v>110</v>
      </c>
      <c r="F2102" s="22">
        <f>'2085WH_Z'!$N23</f>
        <v>1.75939580327579E-2</v>
      </c>
      <c r="G2102" s="22" t="s">
        <v>33</v>
      </c>
      <c r="H2102" s="22">
        <f>'2085WH_Z'!$N23</f>
        <v>1.75939580327579E-2</v>
      </c>
      <c r="I2102" t="str">
        <f t="shared" si="156"/>
        <v>WH2085;zomer;96;110;1.75939580327579E-02;TRUE;1.75939580327579E-02</v>
      </c>
    </row>
    <row r="2103" spans="1:9" x14ac:dyDescent="0.25">
      <c r="A2103">
        <f t="shared" si="155"/>
        <v>45.65625</v>
      </c>
      <c r="B2103" t="s">
        <v>26</v>
      </c>
      <c r="C2103" t="s">
        <v>11</v>
      </c>
      <c r="D2103">
        <v>96</v>
      </c>
      <c r="E2103">
        <f t="shared" si="158"/>
        <v>115</v>
      </c>
      <c r="F2103" s="22">
        <f>'2085WH_Z'!$N24</f>
        <v>1.3272970984047755E-2</v>
      </c>
      <c r="G2103" s="22" t="s">
        <v>33</v>
      </c>
      <c r="H2103" s="22">
        <f>'2085WH_Z'!$N24</f>
        <v>1.3272970984047755E-2</v>
      </c>
      <c r="I2103" t="str">
        <f t="shared" si="156"/>
        <v>WH2085;zomer;96;115;1.32729709840478E-02;TRUE;1.32729709840478E-02</v>
      </c>
    </row>
    <row r="2104" spans="1:9" x14ac:dyDescent="0.25">
      <c r="A2104">
        <f t="shared" si="155"/>
        <v>45.65625</v>
      </c>
      <c r="B2104" t="s">
        <v>26</v>
      </c>
      <c r="C2104" t="s">
        <v>11</v>
      </c>
      <c r="D2104">
        <v>96</v>
      </c>
      <c r="E2104">
        <f t="shared" si="158"/>
        <v>120</v>
      </c>
      <c r="F2104" s="22">
        <f>'2085WH_Z'!$N25</f>
        <v>4.1952655444795081E-2</v>
      </c>
      <c r="G2104" s="22" t="s">
        <v>33</v>
      </c>
      <c r="H2104" s="22">
        <f>'2085WH_Z'!$N25</f>
        <v>4.1952655444795081E-2</v>
      </c>
      <c r="I2104" t="str">
        <f t="shared" si="156"/>
        <v>WH2085;zomer;96;120;4.19526554447951E-02;TRUE;4.19526554447951E-02</v>
      </c>
    </row>
    <row r="2105" spans="1:9" x14ac:dyDescent="0.25">
      <c r="A2105">
        <f t="shared" si="155"/>
        <v>22.828125</v>
      </c>
      <c r="B2105" t="s">
        <v>26</v>
      </c>
      <c r="C2105" t="s">
        <v>11</v>
      </c>
      <c r="D2105">
        <v>192</v>
      </c>
      <c r="E2105">
        <v>20</v>
      </c>
      <c r="F2105" s="22">
        <f>'2085WH_Z'!$R5</f>
        <v>33.23789439552592</v>
      </c>
      <c r="G2105" s="22" t="s">
        <v>33</v>
      </c>
      <c r="H2105" s="22">
        <f>'2085WH_Z'!$R5</f>
        <v>33.23789439552592</v>
      </c>
      <c r="I2105" t="str">
        <f t="shared" si="156"/>
        <v>WH2085;zomer;192;20;33.2378943955259;TRUE;33.2378943955259</v>
      </c>
    </row>
    <row r="2106" spans="1:9" x14ac:dyDescent="0.25">
      <c r="A2106">
        <f t="shared" si="155"/>
        <v>22.828125</v>
      </c>
      <c r="B2106" t="s">
        <v>26</v>
      </c>
      <c r="C2106" t="s">
        <v>11</v>
      </c>
      <c r="D2106">
        <v>192</v>
      </c>
      <c r="E2106">
        <f>E2105+5</f>
        <v>25</v>
      </c>
      <c r="F2106" s="22">
        <f>'2085WH_Z'!$R6</f>
        <v>2.3187270537573053</v>
      </c>
      <c r="G2106" s="22" t="s">
        <v>33</v>
      </c>
      <c r="H2106" s="22">
        <f>'2085WH_Z'!$R6</f>
        <v>2.3187270537573053</v>
      </c>
      <c r="I2106" t="str">
        <f t="shared" si="156"/>
        <v>WH2085;zomer;192;25;2.31872705375731;TRUE;2.31872705375731</v>
      </c>
    </row>
    <row r="2107" spans="1:9" x14ac:dyDescent="0.25">
      <c r="A2107">
        <f t="shared" si="155"/>
        <v>22.828125</v>
      </c>
      <c r="B2107" t="s">
        <v>26</v>
      </c>
      <c r="C2107" t="s">
        <v>11</v>
      </c>
      <c r="D2107">
        <v>192</v>
      </c>
      <c r="E2107">
        <f t="shared" ref="E2107:E2131" si="159">E2106+5</f>
        <v>30</v>
      </c>
      <c r="F2107" s="22">
        <f>'2085WH_Z'!$R7</f>
        <v>1.9020579672226869</v>
      </c>
      <c r="G2107" s="22" t="s">
        <v>33</v>
      </c>
      <c r="H2107" s="22">
        <f>'2085WH_Z'!$R7</f>
        <v>1.9020579672226869</v>
      </c>
      <c r="I2107" t="str">
        <f t="shared" si="156"/>
        <v>WH2085;zomer;192;30;1.90205796722269;TRUE;1.90205796722269</v>
      </c>
    </row>
    <row r="2108" spans="1:9" x14ac:dyDescent="0.25">
      <c r="A2108">
        <f t="shared" si="155"/>
        <v>22.828125</v>
      </c>
      <c r="B2108" t="s">
        <v>26</v>
      </c>
      <c r="C2108" t="s">
        <v>11</v>
      </c>
      <c r="D2108">
        <v>192</v>
      </c>
      <c r="E2108">
        <f t="shared" si="159"/>
        <v>35</v>
      </c>
      <c r="F2108" s="22">
        <f>'2085WH_Z'!$R8</f>
        <v>1.5572861498677888</v>
      </c>
      <c r="G2108" s="22" t="s">
        <v>33</v>
      </c>
      <c r="H2108" s="22">
        <f>'2085WH_Z'!$R8</f>
        <v>1.5572861498677888</v>
      </c>
      <c r="I2108" t="str">
        <f t="shared" si="156"/>
        <v>WH2085;zomer;192;35;1.55728614986779;TRUE;1.55728614986779</v>
      </c>
    </row>
    <row r="2109" spans="1:9" x14ac:dyDescent="0.25">
      <c r="A2109">
        <f t="shared" si="155"/>
        <v>22.828125</v>
      </c>
      <c r="B2109" t="s">
        <v>26</v>
      </c>
      <c r="C2109" t="s">
        <v>11</v>
      </c>
      <c r="D2109">
        <v>192</v>
      </c>
      <c r="E2109">
        <f t="shared" si="159"/>
        <v>40</v>
      </c>
      <c r="F2109" s="22">
        <f>'2085WH_Z'!$R9</f>
        <v>1.2725284458313819</v>
      </c>
      <c r="G2109" s="22" t="s">
        <v>33</v>
      </c>
      <c r="H2109" s="22">
        <f>'2085WH_Z'!$R9</f>
        <v>1.2725284458313819</v>
      </c>
      <c r="I2109" t="str">
        <f t="shared" si="156"/>
        <v>WH2085;zomer;192;40;1.27252844583138;TRUE;1.27252844583138</v>
      </c>
    </row>
    <row r="2110" spans="1:9" x14ac:dyDescent="0.25">
      <c r="A2110">
        <f t="shared" si="155"/>
        <v>22.828125</v>
      </c>
      <c r="B2110" t="s">
        <v>26</v>
      </c>
      <c r="C2110" t="s">
        <v>11</v>
      </c>
      <c r="D2110">
        <v>192</v>
      </c>
      <c r="E2110">
        <f t="shared" si="159"/>
        <v>45</v>
      </c>
      <c r="F2110" s="22">
        <f>'2085WH_Z'!$R10</f>
        <v>1.037777758159395</v>
      </c>
      <c r="G2110" s="22" t="s">
        <v>33</v>
      </c>
      <c r="H2110" s="22">
        <f>'2085WH_Z'!$R10</f>
        <v>1.037777758159395</v>
      </c>
      <c r="I2110" t="str">
        <f t="shared" si="156"/>
        <v>WH2085;zomer;192;45;1.03777775815939;TRUE;1.03777775815939</v>
      </c>
    </row>
    <row r="2111" spans="1:9" x14ac:dyDescent="0.25">
      <c r="A2111">
        <f t="shared" si="155"/>
        <v>22.828125</v>
      </c>
      <c r="B2111" t="s">
        <v>26</v>
      </c>
      <c r="C2111" t="s">
        <v>11</v>
      </c>
      <c r="D2111">
        <v>192</v>
      </c>
      <c r="E2111">
        <f t="shared" si="159"/>
        <v>50</v>
      </c>
      <c r="F2111" s="22">
        <f>'2085WH_Z'!$R11</f>
        <v>0.8446210090826165</v>
      </c>
      <c r="G2111" s="22" t="s">
        <v>33</v>
      </c>
      <c r="H2111" s="22">
        <f>'2085WH_Z'!$R11</f>
        <v>0.8446210090826165</v>
      </c>
      <c r="I2111" t="str">
        <f t="shared" si="156"/>
        <v>WH2085;zomer;192;50;0.844621009082617;TRUE;0.844621009082617</v>
      </c>
    </row>
    <row r="2112" spans="1:9" x14ac:dyDescent="0.25">
      <c r="A2112">
        <f t="shared" si="155"/>
        <v>22.828125</v>
      </c>
      <c r="B2112" t="s">
        <v>26</v>
      </c>
      <c r="C2112" t="s">
        <v>11</v>
      </c>
      <c r="D2112">
        <v>192</v>
      </c>
      <c r="E2112">
        <f t="shared" si="159"/>
        <v>55</v>
      </c>
      <c r="F2112" s="22">
        <f>'2085WH_Z'!$R12</f>
        <v>0.68599733560110421</v>
      </c>
      <c r="G2112" s="22" t="s">
        <v>33</v>
      </c>
      <c r="H2112" s="22">
        <f>'2085WH_Z'!$R12</f>
        <v>0.68599733560110421</v>
      </c>
      <c r="I2112" t="str">
        <f t="shared" si="156"/>
        <v>WH2085;zomer;192;55;0.685997335601104;TRUE;0.685997335601104</v>
      </c>
    </row>
    <row r="2113" spans="1:9" x14ac:dyDescent="0.25">
      <c r="A2113">
        <f t="shared" si="155"/>
        <v>22.828125</v>
      </c>
      <c r="B2113" t="s">
        <v>26</v>
      </c>
      <c r="C2113" t="s">
        <v>11</v>
      </c>
      <c r="D2113">
        <v>192</v>
      </c>
      <c r="E2113">
        <f t="shared" si="159"/>
        <v>60</v>
      </c>
      <c r="F2113" s="22">
        <f>'2085WH_Z'!$R13</f>
        <v>0.55599109514532241</v>
      </c>
      <c r="G2113" s="22" t="s">
        <v>33</v>
      </c>
      <c r="H2113" s="22">
        <f>'2085WH_Z'!$R13</f>
        <v>0.55599109514532241</v>
      </c>
      <c r="I2113" t="str">
        <f t="shared" si="156"/>
        <v>WH2085;zomer;192;60;0.555991095145322;TRUE;0.555991095145322</v>
      </c>
    </row>
    <row r="2114" spans="1:9" x14ac:dyDescent="0.25">
      <c r="A2114">
        <f t="shared" ref="A2114:A2177" si="160">IF(C2114="zomer",24/D2114*365.25 * 6/12,24/D2114*365.25 * 6/12)</f>
        <v>22.828125</v>
      </c>
      <c r="B2114" t="s">
        <v>26</v>
      </c>
      <c r="C2114" t="s">
        <v>11</v>
      </c>
      <c r="D2114">
        <v>192</v>
      </c>
      <c r="E2114">
        <f t="shared" si="159"/>
        <v>65</v>
      </c>
      <c r="F2114" s="22">
        <f>'2085WH_Z'!$R14</f>
        <v>0.44965494437960207</v>
      </c>
      <c r="G2114" s="22" t="s">
        <v>33</v>
      </c>
      <c r="H2114" s="22">
        <f>'2085WH_Z'!$R14</f>
        <v>0.44965494437960207</v>
      </c>
      <c r="I2114" t="str">
        <f t="shared" ref="I2114:I2177" si="161">CONCATENATEWITHDELIMITER(B2114:H2114,";")</f>
        <v>WH2085;zomer;192;65;0.449654944379602;TRUE;0.449654944379602</v>
      </c>
    </row>
    <row r="2115" spans="1:9" x14ac:dyDescent="0.25">
      <c r="A2115">
        <f t="shared" si="160"/>
        <v>22.828125</v>
      </c>
      <c r="B2115" t="s">
        <v>26</v>
      </c>
      <c r="C2115" t="s">
        <v>11</v>
      </c>
      <c r="D2115">
        <v>192</v>
      </c>
      <c r="E2115">
        <f t="shared" si="159"/>
        <v>70</v>
      </c>
      <c r="F2115" s="22">
        <f>'2085WH_Z'!$R15</f>
        <v>0.3628588607782024</v>
      </c>
      <c r="G2115" s="22" t="s">
        <v>33</v>
      </c>
      <c r="H2115" s="22">
        <f>'2085WH_Z'!$R15</f>
        <v>0.3628588607782024</v>
      </c>
      <c r="I2115" t="str">
        <f t="shared" si="161"/>
        <v>WH2085;zomer;192;70;0.362858860778202;TRUE;0.362858860778202</v>
      </c>
    </row>
    <row r="2116" spans="1:9" x14ac:dyDescent="0.25">
      <c r="A2116">
        <f t="shared" si="160"/>
        <v>22.828125</v>
      </c>
      <c r="B2116" t="s">
        <v>26</v>
      </c>
      <c r="C2116" t="s">
        <v>11</v>
      </c>
      <c r="D2116">
        <v>192</v>
      </c>
      <c r="E2116">
        <f t="shared" si="159"/>
        <v>75</v>
      </c>
      <c r="F2116" s="22">
        <f>'2085WH_Z'!$R16</f>
        <v>0.29216151046008498</v>
      </c>
      <c r="G2116" s="22" t="s">
        <v>33</v>
      </c>
      <c r="H2116" s="22">
        <f>'2085WH_Z'!$R16</f>
        <v>0.29216151046008498</v>
      </c>
      <c r="I2116" t="str">
        <f t="shared" si="161"/>
        <v>WH2085;zomer;192;75;0.292161510460085;TRUE;0.292161510460085</v>
      </c>
    </row>
    <row r="2117" spans="1:9" x14ac:dyDescent="0.25">
      <c r="A2117">
        <f t="shared" si="160"/>
        <v>22.828125</v>
      </c>
      <c r="B2117" t="s">
        <v>26</v>
      </c>
      <c r="C2117" t="s">
        <v>11</v>
      </c>
      <c r="D2117">
        <v>192</v>
      </c>
      <c r="E2117">
        <f t="shared" si="159"/>
        <v>80</v>
      </c>
      <c r="F2117" s="22">
        <f>'2085WH_Z'!$R17</f>
        <v>0.23470083502844663</v>
      </c>
      <c r="G2117" s="22" t="s">
        <v>33</v>
      </c>
      <c r="H2117" s="22">
        <f>'2085WH_Z'!$R17</f>
        <v>0.23470083502844663</v>
      </c>
      <c r="I2117" t="str">
        <f t="shared" si="161"/>
        <v>WH2085;zomer;192;80;0.234700835028447;TRUE;0.234700835028447</v>
      </c>
    </row>
    <row r="2118" spans="1:9" x14ac:dyDescent="0.25">
      <c r="A2118">
        <f t="shared" si="160"/>
        <v>22.828125</v>
      </c>
      <c r="B2118" t="s">
        <v>26</v>
      </c>
      <c r="C2118" t="s">
        <v>11</v>
      </c>
      <c r="D2118">
        <v>192</v>
      </c>
      <c r="E2118">
        <f t="shared" si="159"/>
        <v>85</v>
      </c>
      <c r="F2118" s="22">
        <f>'2085WH_Z'!$R18</f>
        <v>0.18810114209444018</v>
      </c>
      <c r="G2118" s="22" t="s">
        <v>33</v>
      </c>
      <c r="H2118" s="22">
        <f>'2085WH_Z'!$R18</f>
        <v>0.18810114209444018</v>
      </c>
      <c r="I2118" t="str">
        <f t="shared" si="161"/>
        <v>WH2085;zomer;192;85;0.18810114209444;TRUE;0.18810114209444</v>
      </c>
    </row>
    <row r="2119" spans="1:9" x14ac:dyDescent="0.25">
      <c r="A2119">
        <f t="shared" si="160"/>
        <v>22.828125</v>
      </c>
      <c r="B2119" t="s">
        <v>26</v>
      </c>
      <c r="C2119" t="s">
        <v>11</v>
      </c>
      <c r="D2119">
        <v>192</v>
      </c>
      <c r="E2119">
        <f t="shared" si="159"/>
        <v>90</v>
      </c>
      <c r="F2119" s="22">
        <f>'2085WH_Z'!$R19</f>
        <v>0.15039434529054185</v>
      </c>
      <c r="G2119" s="22" t="s">
        <v>33</v>
      </c>
      <c r="H2119" s="22">
        <f>'2085WH_Z'!$R19</f>
        <v>0.15039434529054185</v>
      </c>
      <c r="I2119" t="str">
        <f t="shared" si="161"/>
        <v>WH2085;zomer;192;90;0.150394345290542;TRUE;0.150394345290542</v>
      </c>
    </row>
    <row r="2120" spans="1:9" x14ac:dyDescent="0.25">
      <c r="A2120">
        <f t="shared" si="160"/>
        <v>22.828125</v>
      </c>
      <c r="B2120" t="s">
        <v>26</v>
      </c>
      <c r="C2120" t="s">
        <v>11</v>
      </c>
      <c r="D2120">
        <v>192</v>
      </c>
      <c r="E2120">
        <f t="shared" si="159"/>
        <v>95</v>
      </c>
      <c r="F2120" s="22">
        <f>'2085WH_Z'!$R20</f>
        <v>0.11995331572897555</v>
      </c>
      <c r="G2120" s="22" t="s">
        <v>33</v>
      </c>
      <c r="H2120" s="22">
        <f>'2085WH_Z'!$R20</f>
        <v>0.11995331572897555</v>
      </c>
      <c r="I2120" t="str">
        <f t="shared" si="161"/>
        <v>WH2085;zomer;192;95;0.119953315728976;TRUE;0.119953315728976</v>
      </c>
    </row>
    <row r="2121" spans="1:9" x14ac:dyDescent="0.25">
      <c r="A2121">
        <f t="shared" si="160"/>
        <v>22.828125</v>
      </c>
      <c r="B2121" t="s">
        <v>26</v>
      </c>
      <c r="C2121" t="s">
        <v>11</v>
      </c>
      <c r="D2121">
        <v>192</v>
      </c>
      <c r="E2121">
        <f t="shared" si="159"/>
        <v>100</v>
      </c>
      <c r="F2121" s="22">
        <f>'2085WH_Z'!$R21</f>
        <v>9.5435583248317746E-2</v>
      </c>
      <c r="G2121" s="22" t="s">
        <v>33</v>
      </c>
      <c r="H2121" s="22">
        <f>'2085WH_Z'!$R21</f>
        <v>9.5435583248317746E-2</v>
      </c>
      <c r="I2121" t="str">
        <f t="shared" si="161"/>
        <v>WH2085;zomer;192;100;9.54355832483177E-02;TRUE;9.54355832483177E-02</v>
      </c>
    </row>
    <row r="2122" spans="1:9" x14ac:dyDescent="0.25">
      <c r="A2122">
        <f t="shared" si="160"/>
        <v>22.828125</v>
      </c>
      <c r="B2122" t="s">
        <v>26</v>
      </c>
      <c r="C2122" t="s">
        <v>11</v>
      </c>
      <c r="D2122">
        <v>192</v>
      </c>
      <c r="E2122">
        <f t="shared" si="159"/>
        <v>105</v>
      </c>
      <c r="F2122" s="22">
        <f>'2085WH_Z'!$R22</f>
        <v>7.5735867072278806E-2</v>
      </c>
      <c r="G2122" s="22" t="s">
        <v>33</v>
      </c>
      <c r="H2122" s="22">
        <f>'2085WH_Z'!$R22</f>
        <v>7.5735867072278806E-2</v>
      </c>
      <c r="I2122" t="str">
        <f t="shared" si="161"/>
        <v>WH2085;zomer;192;105;7.57358670722788E-02;TRUE;7.57358670722788E-02</v>
      </c>
    </row>
    <row r="2123" spans="1:9" x14ac:dyDescent="0.25">
      <c r="A2123">
        <f t="shared" si="160"/>
        <v>22.828125</v>
      </c>
      <c r="B2123" t="s">
        <v>26</v>
      </c>
      <c r="C2123" t="s">
        <v>11</v>
      </c>
      <c r="D2123">
        <v>192</v>
      </c>
      <c r="E2123">
        <f t="shared" si="159"/>
        <v>110</v>
      </c>
      <c r="F2123" s="22">
        <f>'2085WH_Z'!$R23</f>
        <v>5.9946125829683672E-2</v>
      </c>
      <c r="G2123" s="22" t="s">
        <v>33</v>
      </c>
      <c r="H2123" s="22">
        <f>'2085WH_Z'!$R23</f>
        <v>5.9946125829683672E-2</v>
      </c>
      <c r="I2123" t="str">
        <f t="shared" si="161"/>
        <v>WH2085;zomer;192;110;5.99461258296837E-02;TRUE;5.99461258296837E-02</v>
      </c>
    </row>
    <row r="2124" spans="1:9" x14ac:dyDescent="0.25">
      <c r="A2124">
        <f t="shared" si="160"/>
        <v>22.828125</v>
      </c>
      <c r="B2124" t="s">
        <v>26</v>
      </c>
      <c r="C2124" t="s">
        <v>11</v>
      </c>
      <c r="D2124">
        <v>192</v>
      </c>
      <c r="E2124">
        <f t="shared" si="159"/>
        <v>115</v>
      </c>
      <c r="F2124" s="22">
        <f>'2085WH_Z'!$R24</f>
        <v>4.7321999952088328E-2</v>
      </c>
      <c r="G2124" s="22" t="s">
        <v>33</v>
      </c>
      <c r="H2124" s="22">
        <f>'2085WH_Z'!$R24</f>
        <v>4.7321999952088328E-2</v>
      </c>
      <c r="I2124" t="str">
        <f t="shared" si="161"/>
        <v>WH2085;zomer;192;115;4.73219999520883E-02;TRUE;4.73219999520883E-02</v>
      </c>
    </row>
    <row r="2125" spans="1:9" x14ac:dyDescent="0.25">
      <c r="A2125">
        <f t="shared" si="160"/>
        <v>22.828125</v>
      </c>
      <c r="B2125" t="s">
        <v>26</v>
      </c>
      <c r="C2125" t="s">
        <v>11</v>
      </c>
      <c r="D2125">
        <v>192</v>
      </c>
      <c r="E2125">
        <f t="shared" si="159"/>
        <v>120</v>
      </c>
      <c r="F2125" s="22">
        <f>'2085WH_Z'!$R25</f>
        <v>3.7254678564247579E-2</v>
      </c>
      <c r="G2125" s="22" t="s">
        <v>33</v>
      </c>
      <c r="H2125" s="22">
        <f>'2085WH_Z'!$R25</f>
        <v>3.7254678564247579E-2</v>
      </c>
      <c r="I2125" t="str">
        <f t="shared" si="161"/>
        <v>WH2085;zomer;192;120;3.72546785642476E-02;TRUE;3.72546785642476E-02</v>
      </c>
    </row>
    <row r="2126" spans="1:9" x14ac:dyDescent="0.25">
      <c r="A2126">
        <f t="shared" si="160"/>
        <v>22.828125</v>
      </c>
      <c r="B2126" t="s">
        <v>26</v>
      </c>
      <c r="C2126" t="s">
        <v>11</v>
      </c>
      <c r="D2126">
        <v>192</v>
      </c>
      <c r="E2126">
        <f t="shared" si="159"/>
        <v>125</v>
      </c>
      <c r="F2126" s="22">
        <f>'2085WH_Z'!$R26</f>
        <v>2.9247361035418751E-2</v>
      </c>
      <c r="G2126" s="22" t="s">
        <v>33</v>
      </c>
      <c r="H2126" s="22">
        <f>'2085WH_Z'!$R26</f>
        <v>2.9247361035418751E-2</v>
      </c>
      <c r="I2126" t="str">
        <f t="shared" si="161"/>
        <v>WH2085;zomer;192;125;2.92473610354188E-02;TRUE;2.92473610354188E-02</v>
      </c>
    </row>
    <row r="2127" spans="1:9" x14ac:dyDescent="0.25">
      <c r="A2127">
        <f t="shared" si="160"/>
        <v>22.828125</v>
      </c>
      <c r="B2127" t="s">
        <v>26</v>
      </c>
      <c r="C2127" t="s">
        <v>11</v>
      </c>
      <c r="D2127">
        <v>192</v>
      </c>
      <c r="E2127">
        <f t="shared" si="159"/>
        <v>130</v>
      </c>
      <c r="F2127" s="22">
        <f>'2085WH_Z'!$R27</f>
        <v>2.2895602959163791E-2</v>
      </c>
      <c r="G2127" s="22" t="s">
        <v>33</v>
      </c>
      <c r="H2127" s="22">
        <f>'2085WH_Z'!$R27</f>
        <v>2.2895602959163791E-2</v>
      </c>
      <c r="I2127" t="str">
        <f t="shared" si="161"/>
        <v>WH2085;zomer;192;130;2.28956029591638E-02;TRUE;2.28956029591638E-02</v>
      </c>
    </row>
    <row r="2128" spans="1:9" x14ac:dyDescent="0.25">
      <c r="A2128">
        <f t="shared" si="160"/>
        <v>22.828125</v>
      </c>
      <c r="B2128" t="s">
        <v>26</v>
      </c>
      <c r="C2128" t="s">
        <v>11</v>
      </c>
      <c r="D2128">
        <v>192</v>
      </c>
      <c r="E2128">
        <f t="shared" si="159"/>
        <v>135</v>
      </c>
      <c r="F2128" s="22">
        <f>'2085WH_Z'!$R28</f>
        <v>1.787093977336672E-2</v>
      </c>
      <c r="G2128" s="22" t="s">
        <v>33</v>
      </c>
      <c r="H2128" s="22">
        <f>'2085WH_Z'!$R28</f>
        <v>1.787093977336672E-2</v>
      </c>
      <c r="I2128" t="str">
        <f t="shared" si="161"/>
        <v>WH2085;zomer;192;135;1.78709397733667E-02;TRUE;1.78709397733667E-02</v>
      </c>
    </row>
    <row r="2129" spans="1:9" x14ac:dyDescent="0.25">
      <c r="A2129">
        <f t="shared" si="160"/>
        <v>22.828125</v>
      </c>
      <c r="B2129" t="s">
        <v>26</v>
      </c>
      <c r="C2129" t="s">
        <v>11</v>
      </c>
      <c r="D2129">
        <v>192</v>
      </c>
      <c r="E2129">
        <f t="shared" si="159"/>
        <v>140</v>
      </c>
      <c r="F2129" s="22">
        <f>'2085WH_Z'!$R29</f>
        <v>1.3907270553715864E-2</v>
      </c>
      <c r="G2129" s="22" t="s">
        <v>33</v>
      </c>
      <c r="H2129" s="22">
        <f>'2085WH_Z'!$R29</f>
        <v>1.3907270553715864E-2</v>
      </c>
      <c r="I2129" t="str">
        <f t="shared" si="161"/>
        <v>WH2085;zomer;192;140;1.39072705537159E-02;TRUE;1.39072705537159E-02</v>
      </c>
    </row>
    <row r="2130" spans="1:9" x14ac:dyDescent="0.25">
      <c r="A2130">
        <f t="shared" si="160"/>
        <v>22.828125</v>
      </c>
      <c r="B2130" t="s">
        <v>26</v>
      </c>
      <c r="C2130" t="s">
        <v>11</v>
      </c>
      <c r="D2130">
        <v>192</v>
      </c>
      <c r="E2130">
        <f t="shared" si="159"/>
        <v>145</v>
      </c>
      <c r="F2130" s="22">
        <f>'2085WH_Z'!$R30</f>
        <v>1.0789561509173269E-2</v>
      </c>
      <c r="G2130" s="22" t="s">
        <v>33</v>
      </c>
      <c r="H2130" s="22">
        <f>'2085WH_Z'!$R30</f>
        <v>1.0789561509173269E-2</v>
      </c>
      <c r="I2130" t="str">
        <f t="shared" si="161"/>
        <v>WH2085;zomer;192;145;1.07895615091733E-02;TRUE;1.07895615091733E-02</v>
      </c>
    </row>
    <row r="2131" spans="1:9" x14ac:dyDescent="0.25">
      <c r="A2131">
        <f t="shared" si="160"/>
        <v>22.828125</v>
      </c>
      <c r="B2131" t="s">
        <v>26</v>
      </c>
      <c r="C2131" t="s">
        <v>11</v>
      </c>
      <c r="D2131">
        <v>192</v>
      </c>
      <c r="E2131">
        <f t="shared" si="159"/>
        <v>150</v>
      </c>
      <c r="F2131" s="22">
        <f>'2085WH_Z'!$R31</f>
        <v>3.5138845548732277E-2</v>
      </c>
      <c r="G2131" s="22" t="s">
        <v>33</v>
      </c>
      <c r="H2131" s="22">
        <f>'2085WH_Z'!$R31</f>
        <v>3.5138845548732277E-2</v>
      </c>
      <c r="I2131" t="str">
        <f t="shared" si="161"/>
        <v>WH2085;zomer;192;150;3.51388455487323E-02;TRUE;3.51388455487323E-02</v>
      </c>
    </row>
    <row r="2132" spans="1:9" x14ac:dyDescent="0.25">
      <c r="A2132">
        <f t="shared" si="160"/>
        <v>20.291666666666664</v>
      </c>
      <c r="B2132" t="s">
        <v>26</v>
      </c>
      <c r="C2132" t="s">
        <v>11</v>
      </c>
      <c r="D2132">
        <v>216</v>
      </c>
      <c r="E2132">
        <v>20</v>
      </c>
      <c r="F2132" s="22">
        <f>'2085WH_Z'!$V5</f>
        <v>28.19249006416532</v>
      </c>
      <c r="G2132" s="22" t="s">
        <v>33</v>
      </c>
      <c r="H2132" s="22">
        <f>'2085WH_Z'!$V5</f>
        <v>28.19249006416532</v>
      </c>
      <c r="I2132" t="str">
        <f t="shared" si="161"/>
        <v>WH2085;zomer;216;20;28.1924900641653;TRUE;28.1924900641653</v>
      </c>
    </row>
    <row r="2133" spans="1:9" x14ac:dyDescent="0.25">
      <c r="A2133">
        <f t="shared" si="160"/>
        <v>20.291666666666664</v>
      </c>
      <c r="B2133" t="s">
        <v>26</v>
      </c>
      <c r="C2133" t="s">
        <v>11</v>
      </c>
      <c r="D2133">
        <v>216</v>
      </c>
      <c r="E2133">
        <f>E2132+5</f>
        <v>25</v>
      </c>
      <c r="F2133" s="22">
        <f>'2085WH_Z'!$V6</f>
        <v>2.1377464870966172</v>
      </c>
      <c r="G2133" s="22" t="s">
        <v>33</v>
      </c>
      <c r="H2133" s="22">
        <f>'2085WH_Z'!$V6</f>
        <v>2.1377464870966172</v>
      </c>
      <c r="I2133" t="str">
        <f t="shared" si="161"/>
        <v>WH2085;zomer;216;25;2.13774648709662;TRUE;2.13774648709662</v>
      </c>
    </row>
    <row r="2134" spans="1:9" x14ac:dyDescent="0.25">
      <c r="A2134">
        <f t="shared" si="160"/>
        <v>20.291666666666664</v>
      </c>
      <c r="B2134" t="s">
        <v>26</v>
      </c>
      <c r="C2134" t="s">
        <v>11</v>
      </c>
      <c r="D2134">
        <v>216</v>
      </c>
      <c r="E2134">
        <f t="shared" ref="E2134:E2159" si="162">E2133+5</f>
        <v>30</v>
      </c>
      <c r="F2134" s="22">
        <f>'2085WH_Z'!$V7</f>
        <v>1.7883079169416352</v>
      </c>
      <c r="G2134" s="22" t="s">
        <v>33</v>
      </c>
      <c r="H2134" s="22">
        <f>'2085WH_Z'!$V7</f>
        <v>1.7883079169416352</v>
      </c>
      <c r="I2134" t="str">
        <f t="shared" si="161"/>
        <v>WH2085;zomer;216;30;1.78830791694164;TRUE;1.78830791694164</v>
      </c>
    </row>
    <row r="2135" spans="1:9" x14ac:dyDescent="0.25">
      <c r="A2135">
        <f t="shared" si="160"/>
        <v>20.291666666666664</v>
      </c>
      <c r="B2135" t="s">
        <v>26</v>
      </c>
      <c r="C2135" t="s">
        <v>11</v>
      </c>
      <c r="D2135">
        <v>216</v>
      </c>
      <c r="E2135">
        <f t="shared" si="162"/>
        <v>35</v>
      </c>
      <c r="F2135" s="22">
        <f>'2085WH_Z'!$V8</f>
        <v>1.4927498920965991</v>
      </c>
      <c r="G2135" s="22" t="s">
        <v>33</v>
      </c>
      <c r="H2135" s="22">
        <f>'2085WH_Z'!$V8</f>
        <v>1.4927498920965991</v>
      </c>
      <c r="I2135" t="str">
        <f t="shared" si="161"/>
        <v>WH2085;zomer;216;35;1.4927498920966;TRUE;1.4927498920966</v>
      </c>
    </row>
    <row r="2136" spans="1:9" x14ac:dyDescent="0.25">
      <c r="A2136">
        <f t="shared" si="160"/>
        <v>20.291666666666664</v>
      </c>
      <c r="B2136" t="s">
        <v>26</v>
      </c>
      <c r="C2136" t="s">
        <v>11</v>
      </c>
      <c r="D2136">
        <v>216</v>
      </c>
      <c r="E2136">
        <f t="shared" si="162"/>
        <v>40</v>
      </c>
      <c r="F2136" s="22">
        <f>'2085WH_Z'!$V9</f>
        <v>1.2432753065277726</v>
      </c>
      <c r="G2136" s="22" t="s">
        <v>33</v>
      </c>
      <c r="H2136" s="22">
        <f>'2085WH_Z'!$V9</f>
        <v>1.2432753065277726</v>
      </c>
      <c r="I2136" t="str">
        <f t="shared" si="161"/>
        <v>WH2085;zomer;216;40;1.24327530652777;TRUE;1.24327530652777</v>
      </c>
    </row>
    <row r="2137" spans="1:9" x14ac:dyDescent="0.25">
      <c r="A2137">
        <f t="shared" si="160"/>
        <v>20.291666666666664</v>
      </c>
      <c r="B2137" t="s">
        <v>26</v>
      </c>
      <c r="C2137" t="s">
        <v>11</v>
      </c>
      <c r="D2137">
        <v>216</v>
      </c>
      <c r="E2137">
        <f t="shared" si="162"/>
        <v>45</v>
      </c>
      <c r="F2137" s="22">
        <f>'2085WH_Z'!$V10</f>
        <v>1.0331397529076813</v>
      </c>
      <c r="G2137" s="22" t="s">
        <v>33</v>
      </c>
      <c r="H2137" s="22">
        <f>'2085WH_Z'!$V10</f>
        <v>1.0331397529076813</v>
      </c>
      <c r="I2137" t="str">
        <f t="shared" si="161"/>
        <v>WH2085;zomer;216;45;1.03313975290768;TRUE;1.03313975290768</v>
      </c>
    </row>
    <row r="2138" spans="1:9" x14ac:dyDescent="0.25">
      <c r="A2138">
        <f t="shared" si="160"/>
        <v>20.291666666666664</v>
      </c>
      <c r="B2138" t="s">
        <v>26</v>
      </c>
      <c r="C2138" t="s">
        <v>11</v>
      </c>
      <c r="D2138">
        <v>216</v>
      </c>
      <c r="E2138">
        <f t="shared" si="162"/>
        <v>50</v>
      </c>
      <c r="F2138" s="22">
        <f>'2085WH_Z'!$V11</f>
        <v>0.85651984526048608</v>
      </c>
      <c r="G2138" s="22" t="s">
        <v>33</v>
      </c>
      <c r="H2138" s="22">
        <f>'2085WH_Z'!$V11</f>
        <v>0.85651984526048608</v>
      </c>
      <c r="I2138" t="str">
        <f t="shared" si="161"/>
        <v>WH2085;zomer;216;50;0.856519845260486;TRUE;0.856519845260486</v>
      </c>
    </row>
    <row r="2139" spans="1:9" x14ac:dyDescent="0.25">
      <c r="A2139">
        <f t="shared" si="160"/>
        <v>20.291666666666664</v>
      </c>
      <c r="B2139" t="s">
        <v>26</v>
      </c>
      <c r="C2139" t="s">
        <v>11</v>
      </c>
      <c r="D2139">
        <v>216</v>
      </c>
      <c r="E2139">
        <f t="shared" si="162"/>
        <v>55</v>
      </c>
      <c r="F2139" s="22">
        <f>'2085WH_Z'!$V12</f>
        <v>0.70839667463240419</v>
      </c>
      <c r="G2139" s="22" t="s">
        <v>33</v>
      </c>
      <c r="H2139" s="22">
        <f>'2085WH_Z'!$V12</f>
        <v>0.70839667463240419</v>
      </c>
      <c r="I2139" t="str">
        <f t="shared" si="161"/>
        <v>WH2085;zomer;216;55;0.708396674632404;TRUE;0.708396674632404</v>
      </c>
    </row>
    <row r="2140" spans="1:9" x14ac:dyDescent="0.25">
      <c r="A2140">
        <f t="shared" si="160"/>
        <v>20.291666666666664</v>
      </c>
      <c r="B2140" t="s">
        <v>26</v>
      </c>
      <c r="C2140" t="s">
        <v>11</v>
      </c>
      <c r="D2140">
        <v>216</v>
      </c>
      <c r="E2140">
        <f t="shared" si="162"/>
        <v>60</v>
      </c>
      <c r="F2140" s="22">
        <f>'2085WH_Z'!$V13</f>
        <v>0.58445281605529198</v>
      </c>
      <c r="G2140" s="22" t="s">
        <v>33</v>
      </c>
      <c r="H2140" s="22">
        <f>'2085WH_Z'!$V13</f>
        <v>0.58445281605529198</v>
      </c>
      <c r="I2140" t="str">
        <f t="shared" si="161"/>
        <v>WH2085;zomer;216;60;0.584452816055292;TRUE;0.584452816055292</v>
      </c>
    </row>
    <row r="2141" spans="1:9" x14ac:dyDescent="0.25">
      <c r="A2141">
        <f t="shared" si="160"/>
        <v>20.291666666666664</v>
      </c>
      <c r="B2141" t="s">
        <v>26</v>
      </c>
      <c r="C2141" t="s">
        <v>11</v>
      </c>
      <c r="D2141">
        <v>216</v>
      </c>
      <c r="E2141">
        <f t="shared" si="162"/>
        <v>65</v>
      </c>
      <c r="F2141" s="22">
        <f>'2085WH_Z'!$V14</f>
        <v>0.48098145354972566</v>
      </c>
      <c r="G2141" s="22" t="s">
        <v>33</v>
      </c>
      <c r="H2141" s="22">
        <f>'2085WH_Z'!$V14</f>
        <v>0.48098145354972566</v>
      </c>
      <c r="I2141" t="str">
        <f t="shared" si="161"/>
        <v>WH2085;zomer;216;65;0.480981453549726;TRUE;0.480981453549726</v>
      </c>
    </row>
    <row r="2142" spans="1:9" x14ac:dyDescent="0.25">
      <c r="A2142">
        <f t="shared" si="160"/>
        <v>20.291666666666664</v>
      </c>
      <c r="B2142" t="s">
        <v>26</v>
      </c>
      <c r="C2142" t="s">
        <v>11</v>
      </c>
      <c r="D2142">
        <v>216</v>
      </c>
      <c r="E2142">
        <f t="shared" si="162"/>
        <v>70</v>
      </c>
      <c r="F2142" s="22">
        <f>'2085WH_Z'!$V15</f>
        <v>0.39480632606680865</v>
      </c>
      <c r="G2142" s="22" t="s">
        <v>33</v>
      </c>
      <c r="H2142" s="22">
        <f>'2085WH_Z'!$V15</f>
        <v>0.39480632606680865</v>
      </c>
      <c r="I2142" t="str">
        <f t="shared" si="161"/>
        <v>WH2085;zomer;216;70;0.394806326066809;TRUE;0.394806326066809</v>
      </c>
    </row>
    <row r="2143" spans="1:9" x14ac:dyDescent="0.25">
      <c r="A2143">
        <f t="shared" si="160"/>
        <v>20.291666666666664</v>
      </c>
      <c r="B2143" t="s">
        <v>26</v>
      </c>
      <c r="C2143" t="s">
        <v>11</v>
      </c>
      <c r="D2143">
        <v>216</v>
      </c>
      <c r="E2143">
        <f t="shared" si="162"/>
        <v>75</v>
      </c>
      <c r="F2143" s="22">
        <f>'2085WH_Z'!$V16</f>
        <v>0.32321132199127378</v>
      </c>
      <c r="G2143" s="22" t="s">
        <v>33</v>
      </c>
      <c r="H2143" s="22">
        <f>'2085WH_Z'!$V16</f>
        <v>0.32321132199127378</v>
      </c>
      <c r="I2143" t="str">
        <f t="shared" si="161"/>
        <v>WH2085;zomer;216;75;0.323211321991274;TRUE;0.323211321991274</v>
      </c>
    </row>
    <row r="2144" spans="1:9" x14ac:dyDescent="0.25">
      <c r="A2144">
        <f t="shared" si="160"/>
        <v>20.291666666666664</v>
      </c>
      <c r="B2144" t="s">
        <v>26</v>
      </c>
      <c r="C2144" t="s">
        <v>11</v>
      </c>
      <c r="D2144">
        <v>216</v>
      </c>
      <c r="E2144">
        <f t="shared" si="162"/>
        <v>80</v>
      </c>
      <c r="F2144" s="22">
        <f>'2085WH_Z'!$V17</f>
        <v>0.26387866395028037</v>
      </c>
      <c r="G2144" s="22" t="s">
        <v>33</v>
      </c>
      <c r="H2144" s="22">
        <f>'2085WH_Z'!$V17</f>
        <v>0.26387866395028037</v>
      </c>
      <c r="I2144" t="str">
        <f t="shared" si="161"/>
        <v>WH2085;zomer;216;80;0.26387866395028;TRUE;0.26387866395028</v>
      </c>
    </row>
    <row r="2145" spans="1:9" x14ac:dyDescent="0.25">
      <c r="A2145">
        <f t="shared" si="160"/>
        <v>20.291666666666664</v>
      </c>
      <c r="B2145" t="s">
        <v>26</v>
      </c>
      <c r="C2145" t="s">
        <v>11</v>
      </c>
      <c r="D2145">
        <v>216</v>
      </c>
      <c r="E2145">
        <f t="shared" si="162"/>
        <v>85</v>
      </c>
      <c r="F2145" s="22">
        <f>'2085WH_Z'!$V18</f>
        <v>0.21483472997275566</v>
      </c>
      <c r="G2145" s="22" t="s">
        <v>33</v>
      </c>
      <c r="H2145" s="22">
        <f>'2085WH_Z'!$V18</f>
        <v>0.21483472997275566</v>
      </c>
      <c r="I2145" t="str">
        <f t="shared" si="161"/>
        <v>WH2085;zomer;216;85;0.214834729972756;TRUE;0.214834729972756</v>
      </c>
    </row>
    <row r="2146" spans="1:9" x14ac:dyDescent="0.25">
      <c r="A2146">
        <f t="shared" si="160"/>
        <v>20.291666666666664</v>
      </c>
      <c r="B2146" t="s">
        <v>26</v>
      </c>
      <c r="C2146" t="s">
        <v>11</v>
      </c>
      <c r="D2146">
        <v>216</v>
      </c>
      <c r="E2146">
        <f t="shared" si="162"/>
        <v>90</v>
      </c>
      <c r="F2146" s="22">
        <f>'2085WH_Z'!$V19</f>
        <v>0.1744026522543447</v>
      </c>
      <c r="G2146" s="22" t="s">
        <v>33</v>
      </c>
      <c r="H2146" s="22">
        <f>'2085WH_Z'!$V19</f>
        <v>0.1744026522543447</v>
      </c>
      <c r="I2146" t="str">
        <f t="shared" si="161"/>
        <v>WH2085;zomer;216;90;0.174402652254345;TRUE;0.174402652254345</v>
      </c>
    </row>
    <row r="2147" spans="1:9" x14ac:dyDescent="0.25">
      <c r="A2147">
        <f t="shared" si="160"/>
        <v>20.291666666666664</v>
      </c>
      <c r="B2147" t="s">
        <v>26</v>
      </c>
      <c r="C2147" t="s">
        <v>11</v>
      </c>
      <c r="D2147">
        <v>216</v>
      </c>
      <c r="E2147">
        <f t="shared" si="162"/>
        <v>95</v>
      </c>
      <c r="F2147" s="22">
        <f>'2085WH_Z'!$V20</f>
        <v>0.14116092158986915</v>
      </c>
      <c r="G2147" s="22" t="s">
        <v>33</v>
      </c>
      <c r="H2147" s="22">
        <f>'2085WH_Z'!$V20</f>
        <v>0.14116092158986915</v>
      </c>
      <c r="I2147" t="str">
        <f t="shared" si="161"/>
        <v>WH2085;zomer;216;95;0.141160921589869;TRUE;0.141160921589869</v>
      </c>
    </row>
    <row r="2148" spans="1:9" x14ac:dyDescent="0.25">
      <c r="A2148">
        <f t="shared" si="160"/>
        <v>20.291666666666664</v>
      </c>
      <c r="B2148" t="s">
        <v>26</v>
      </c>
      <c r="C2148" t="s">
        <v>11</v>
      </c>
      <c r="D2148">
        <v>216</v>
      </c>
      <c r="E2148">
        <f t="shared" si="162"/>
        <v>100</v>
      </c>
      <c r="F2148" s="22">
        <f>'2085WH_Z'!$V21</f>
        <v>0.11390730457952658</v>
      </c>
      <c r="G2148" s="22" t="s">
        <v>33</v>
      </c>
      <c r="H2148" s="22">
        <f>'2085WH_Z'!$V21</f>
        <v>0.11390730457952658</v>
      </c>
      <c r="I2148" t="str">
        <f t="shared" si="161"/>
        <v>WH2085;zomer;216;100;0.113907304579527;TRUE;0.113907304579527</v>
      </c>
    </row>
    <row r="2149" spans="1:9" x14ac:dyDescent="0.25">
      <c r="A2149">
        <f t="shared" si="160"/>
        <v>20.291666666666664</v>
      </c>
      <c r="B2149" t="s">
        <v>26</v>
      </c>
      <c r="C2149" t="s">
        <v>11</v>
      </c>
      <c r="D2149">
        <v>216</v>
      </c>
      <c r="E2149">
        <f t="shared" si="162"/>
        <v>105</v>
      </c>
      <c r="F2149" s="22">
        <f>'2085WH_Z'!$V22</f>
        <v>9.1627452599144232E-2</v>
      </c>
      <c r="G2149" s="22" t="s">
        <v>33</v>
      </c>
      <c r="H2149" s="22">
        <f>'2085WH_Z'!$V22</f>
        <v>9.1627452599144232E-2</v>
      </c>
      <c r="I2149" t="str">
        <f t="shared" si="161"/>
        <v>WH2085;zomer;216;105;9.16274525991442E-02;TRUE;9.16274525991442E-02</v>
      </c>
    </row>
    <row r="2150" spans="1:9" x14ac:dyDescent="0.25">
      <c r="A2150">
        <f t="shared" si="160"/>
        <v>20.291666666666664</v>
      </c>
      <c r="B2150" t="s">
        <v>26</v>
      </c>
      <c r="C2150" t="s">
        <v>11</v>
      </c>
      <c r="D2150">
        <v>216</v>
      </c>
      <c r="E2150">
        <f t="shared" si="162"/>
        <v>110</v>
      </c>
      <c r="F2150" s="22">
        <f>'2085WH_Z'!$V23</f>
        <v>7.3467646809693532E-2</v>
      </c>
      <c r="G2150" s="22" t="s">
        <v>33</v>
      </c>
      <c r="H2150" s="22">
        <f>'2085WH_Z'!$V23</f>
        <v>7.3467646809693532E-2</v>
      </c>
      <c r="I2150" t="str">
        <f t="shared" si="161"/>
        <v>WH2085;zomer;216;110;7.34676468096935E-02;TRUE;7.34676468096935E-02</v>
      </c>
    </row>
    <row r="2151" spans="1:9" x14ac:dyDescent="0.25">
      <c r="A2151">
        <f t="shared" si="160"/>
        <v>20.291666666666664</v>
      </c>
      <c r="B2151" t="s">
        <v>26</v>
      </c>
      <c r="C2151" t="s">
        <v>11</v>
      </c>
      <c r="D2151">
        <v>216</v>
      </c>
      <c r="E2151">
        <f t="shared" si="162"/>
        <v>115</v>
      </c>
      <c r="F2151" s="22">
        <f>'2085WH_Z'!$V24</f>
        <v>5.8711182692160968E-2</v>
      </c>
      <c r="G2151" s="22" t="s">
        <v>33</v>
      </c>
      <c r="H2151" s="22">
        <f>'2085WH_Z'!$V24</f>
        <v>5.8711182692160968E-2</v>
      </c>
      <c r="I2151" t="str">
        <f t="shared" si="161"/>
        <v>WH2085;zomer;216;115;0.058711182692161;TRUE;0.058711182692161</v>
      </c>
    </row>
    <row r="2152" spans="1:9" x14ac:dyDescent="0.25">
      <c r="A2152">
        <f t="shared" si="160"/>
        <v>20.291666666666664</v>
      </c>
      <c r="B2152" t="s">
        <v>26</v>
      </c>
      <c r="C2152" t="s">
        <v>11</v>
      </c>
      <c r="D2152">
        <v>216</v>
      </c>
      <c r="E2152">
        <f t="shared" si="162"/>
        <v>120</v>
      </c>
      <c r="F2152" s="22">
        <f>'2085WH_Z'!$V25</f>
        <v>4.6757951220208371E-2</v>
      </c>
      <c r="G2152" s="22" t="s">
        <v>33</v>
      </c>
      <c r="H2152" s="22">
        <f>'2085WH_Z'!$V25</f>
        <v>4.6757951220208371E-2</v>
      </c>
      <c r="I2152" t="str">
        <f t="shared" si="161"/>
        <v>WH2085;zomer;216;120;4.67579512202084E-02;TRUE;4.67579512202084E-02</v>
      </c>
    </row>
    <row r="2153" spans="1:9" x14ac:dyDescent="0.25">
      <c r="A2153">
        <f t="shared" si="160"/>
        <v>20.291666666666664</v>
      </c>
      <c r="B2153" t="s">
        <v>26</v>
      </c>
      <c r="C2153" t="s">
        <v>11</v>
      </c>
      <c r="D2153">
        <v>216</v>
      </c>
      <c r="E2153">
        <f t="shared" si="162"/>
        <v>125</v>
      </c>
      <c r="F2153" s="22">
        <f>'2085WH_Z'!$V26</f>
        <v>3.7106822281482432E-2</v>
      </c>
      <c r="G2153" s="22" t="s">
        <v>33</v>
      </c>
      <c r="H2153" s="22">
        <f>'2085WH_Z'!$V26</f>
        <v>3.7106822281482432E-2</v>
      </c>
      <c r="I2153" t="str">
        <f t="shared" si="161"/>
        <v>WH2085;zomer;216;125;3.71068222814824E-02;TRUE;3.71068222814824E-02</v>
      </c>
    </row>
    <row r="2154" spans="1:9" x14ac:dyDescent="0.25">
      <c r="A2154">
        <f t="shared" si="160"/>
        <v>20.291666666666664</v>
      </c>
      <c r="B2154" t="s">
        <v>26</v>
      </c>
      <c r="C2154" t="s">
        <v>11</v>
      </c>
      <c r="D2154">
        <v>216</v>
      </c>
      <c r="E2154">
        <f t="shared" si="162"/>
        <v>130</v>
      </c>
      <c r="F2154" s="22">
        <f>'2085WH_Z'!$V27</f>
        <v>2.9340479753805646E-2</v>
      </c>
      <c r="G2154" s="22" t="s">
        <v>33</v>
      </c>
      <c r="H2154" s="22">
        <f>'2085WH_Z'!$V27</f>
        <v>2.9340479753805646E-2</v>
      </c>
      <c r="I2154" t="str">
        <f t="shared" si="161"/>
        <v>WH2085;zomer;216;130;2.93404797538056E-02;TRUE;2.93404797538056E-02</v>
      </c>
    </row>
    <row r="2155" spans="1:9" x14ac:dyDescent="0.25">
      <c r="A2155">
        <f t="shared" si="160"/>
        <v>20.291666666666664</v>
      </c>
      <c r="B2155" t="s">
        <v>26</v>
      </c>
      <c r="C2155" t="s">
        <v>11</v>
      </c>
      <c r="D2155">
        <v>216</v>
      </c>
      <c r="E2155">
        <f t="shared" si="162"/>
        <v>135</v>
      </c>
      <c r="F2155" s="22">
        <f>'2085WH_Z'!$V28</f>
        <v>2.3112397130347143E-2</v>
      </c>
      <c r="G2155" s="22" t="s">
        <v>33</v>
      </c>
      <c r="H2155" s="22">
        <f>'2085WH_Z'!$V28</f>
        <v>2.3112397130347143E-2</v>
      </c>
      <c r="I2155" t="str">
        <f t="shared" si="161"/>
        <v>WH2085;zomer;216;135;2.31123971303471E-02;TRUE;2.31123971303471E-02</v>
      </c>
    </row>
    <row r="2156" spans="1:9" x14ac:dyDescent="0.25">
      <c r="A2156">
        <f t="shared" si="160"/>
        <v>20.291666666666664</v>
      </c>
      <c r="B2156" t="s">
        <v>26</v>
      </c>
      <c r="C2156" t="s">
        <v>11</v>
      </c>
      <c r="D2156">
        <v>216</v>
      </c>
      <c r="E2156">
        <f t="shared" si="162"/>
        <v>140</v>
      </c>
      <c r="F2156" s="22">
        <f>'2085WH_Z'!$V29</f>
        <v>1.8135678135528105E-2</v>
      </c>
      <c r="G2156" s="22" t="s">
        <v>33</v>
      </c>
      <c r="H2156" s="22">
        <f>'2085WH_Z'!$V29</f>
        <v>1.8135678135528105E-2</v>
      </c>
      <c r="I2156" t="str">
        <f t="shared" si="161"/>
        <v>WH2085;zomer;216;140;1.81356781355281E-02;TRUE;1.81356781355281E-02</v>
      </c>
    </row>
    <row r="2157" spans="1:9" x14ac:dyDescent="0.25">
      <c r="A2157">
        <f t="shared" si="160"/>
        <v>20.291666666666664</v>
      </c>
      <c r="B2157" t="s">
        <v>26</v>
      </c>
      <c r="C2157" t="s">
        <v>11</v>
      </c>
      <c r="D2157">
        <v>216</v>
      </c>
      <c r="E2157">
        <f t="shared" si="162"/>
        <v>145</v>
      </c>
      <c r="F2157" s="22">
        <f>'2085WH_Z'!$V30</f>
        <v>1.4173518721935015E-2</v>
      </c>
      <c r="G2157" s="22" t="s">
        <v>33</v>
      </c>
      <c r="H2157" s="22">
        <f>'2085WH_Z'!$V30</f>
        <v>1.4173518721935015E-2</v>
      </c>
      <c r="I2157" t="str">
        <f t="shared" si="161"/>
        <v>WH2085;zomer;216;145;0.014173518721935;TRUE;0.014173518721935</v>
      </c>
    </row>
    <row r="2158" spans="1:9" x14ac:dyDescent="0.25">
      <c r="A2158">
        <f t="shared" si="160"/>
        <v>20.291666666666664</v>
      </c>
      <c r="B2158" t="s">
        <v>26</v>
      </c>
      <c r="C2158" t="s">
        <v>11</v>
      </c>
      <c r="D2158">
        <v>216</v>
      </c>
      <c r="E2158">
        <f t="shared" si="162"/>
        <v>150</v>
      </c>
      <c r="F2158" s="22">
        <f>'2085WH_Z'!$V31</f>
        <v>1.1031075503996526E-2</v>
      </c>
      <c r="G2158" s="22" t="s">
        <v>33</v>
      </c>
      <c r="H2158" s="22">
        <f>'2085WH_Z'!$V31</f>
        <v>1.1031075503996526E-2</v>
      </c>
      <c r="I2158" t="str">
        <f t="shared" si="161"/>
        <v>WH2085;zomer;216;150;1.10310755039965E-02;TRUE;1.10310755039965E-02</v>
      </c>
    </row>
    <row r="2159" spans="1:9" x14ac:dyDescent="0.25">
      <c r="A2159">
        <f t="shared" si="160"/>
        <v>20.291666666666664</v>
      </c>
      <c r="B2159" t="s">
        <v>26</v>
      </c>
      <c r="C2159" t="s">
        <v>11</v>
      </c>
      <c r="D2159">
        <v>216</v>
      </c>
      <c r="E2159">
        <f t="shared" si="162"/>
        <v>155</v>
      </c>
      <c r="F2159" s="22">
        <f>'2085WH_Z'!$V32</f>
        <v>3.5606998846633049E-2</v>
      </c>
      <c r="G2159" s="22" t="s">
        <v>33</v>
      </c>
      <c r="H2159" s="22">
        <f>'2085WH_Z'!$V32</f>
        <v>3.5606998846633049E-2</v>
      </c>
      <c r="I2159" t="str">
        <f t="shared" si="161"/>
        <v>WH2085;zomer;216;155;0.035606998846633;TRUE;0.035606998846633</v>
      </c>
    </row>
    <row r="2160" spans="1:9" x14ac:dyDescent="0.25">
      <c r="A2160">
        <f t="shared" si="160"/>
        <v>182.625</v>
      </c>
      <c r="B2160" t="s">
        <v>26</v>
      </c>
      <c r="C2160" t="s">
        <v>7</v>
      </c>
      <c r="D2160">
        <v>24</v>
      </c>
      <c r="E2160">
        <v>15</v>
      </c>
      <c r="F2160" s="22">
        <f>'2085WH_W'!$F4</f>
        <v>358.70656267993252</v>
      </c>
      <c r="G2160" s="22" t="s">
        <v>33</v>
      </c>
      <c r="H2160" s="22">
        <f>'2085WH_W'!$F4</f>
        <v>358.70656267993252</v>
      </c>
      <c r="I2160" t="str">
        <f t="shared" si="161"/>
        <v>WH2085;winter;24;15;358.706562679933;TRUE;358.706562679933</v>
      </c>
    </row>
    <row r="2161" spans="1:9" x14ac:dyDescent="0.25">
      <c r="A2161">
        <f t="shared" si="160"/>
        <v>182.625</v>
      </c>
      <c r="B2161" t="s">
        <v>26</v>
      </c>
      <c r="C2161" t="s">
        <v>7</v>
      </c>
      <c r="D2161">
        <v>24</v>
      </c>
      <c r="E2161">
        <f>E2160+5</f>
        <v>20</v>
      </c>
      <c r="F2161" s="22">
        <f>'2085WH_W'!$F5</f>
        <v>3.5740739739328817</v>
      </c>
      <c r="G2161" s="22" t="s">
        <v>33</v>
      </c>
      <c r="H2161" s="22">
        <f>'2085WH_W'!$F5</f>
        <v>3.5740739739328817</v>
      </c>
      <c r="I2161" t="str">
        <f t="shared" si="161"/>
        <v>WH2085;winter;24;20;3.57407397393288;TRUE;3.57407397393288</v>
      </c>
    </row>
    <row r="2162" spans="1:9" x14ac:dyDescent="0.25">
      <c r="A2162">
        <f t="shared" si="160"/>
        <v>182.625</v>
      </c>
      <c r="B2162" t="s">
        <v>26</v>
      </c>
      <c r="C2162" t="s">
        <v>7</v>
      </c>
      <c r="D2162">
        <v>24</v>
      </c>
      <c r="E2162">
        <f t="shared" ref="E2162:E2176" si="163">E2161+5</f>
        <v>25</v>
      </c>
      <c r="F2162" s="22">
        <f>'2085WH_W'!$F6</f>
        <v>1.5625451387816827</v>
      </c>
      <c r="G2162" s="22" t="s">
        <v>33</v>
      </c>
      <c r="H2162" s="22">
        <f>'2085WH_W'!$F6</f>
        <v>1.5625451387816827</v>
      </c>
      <c r="I2162" t="str">
        <f t="shared" si="161"/>
        <v>WH2085;winter;24;25;1.56254513878168;TRUE;1.56254513878168</v>
      </c>
    </row>
    <row r="2163" spans="1:9" x14ac:dyDescent="0.25">
      <c r="A2163">
        <f t="shared" si="160"/>
        <v>182.625</v>
      </c>
      <c r="B2163" t="s">
        <v>26</v>
      </c>
      <c r="C2163" t="s">
        <v>7</v>
      </c>
      <c r="D2163">
        <v>24</v>
      </c>
      <c r="E2163">
        <f t="shared" si="163"/>
        <v>30</v>
      </c>
      <c r="F2163" s="22">
        <f>'2085WH_W'!$F7</f>
        <v>0.71404174477151905</v>
      </c>
      <c r="G2163" s="22" t="s">
        <v>33</v>
      </c>
      <c r="H2163" s="22">
        <f>'2085WH_W'!$F7</f>
        <v>0.71404174477151905</v>
      </c>
      <c r="I2163" t="str">
        <f t="shared" si="161"/>
        <v>WH2085;winter;24;30;0.714041744771519;TRUE;0.714041744771519</v>
      </c>
    </row>
    <row r="2164" spans="1:9" x14ac:dyDescent="0.25">
      <c r="A2164">
        <f t="shared" si="160"/>
        <v>182.625</v>
      </c>
      <c r="B2164" t="s">
        <v>26</v>
      </c>
      <c r="C2164" t="s">
        <v>7</v>
      </c>
      <c r="D2164">
        <v>24</v>
      </c>
      <c r="E2164">
        <f t="shared" si="163"/>
        <v>35</v>
      </c>
      <c r="F2164" s="22">
        <f>'2085WH_W'!$F8</f>
        <v>0.33952992765496254</v>
      </c>
      <c r="G2164" s="22" t="s">
        <v>33</v>
      </c>
      <c r="H2164" s="22">
        <f>'2085WH_W'!$F8</f>
        <v>0.33952992765496254</v>
      </c>
      <c r="I2164" t="str">
        <f t="shared" si="161"/>
        <v>WH2085;winter;24;35;0.339529927654963;TRUE;0.339529927654963</v>
      </c>
    </row>
    <row r="2165" spans="1:9" x14ac:dyDescent="0.25">
      <c r="A2165">
        <f t="shared" si="160"/>
        <v>182.625</v>
      </c>
      <c r="B2165" t="s">
        <v>26</v>
      </c>
      <c r="C2165" t="s">
        <v>7</v>
      </c>
      <c r="D2165">
        <v>24</v>
      </c>
      <c r="E2165">
        <f t="shared" si="163"/>
        <v>40</v>
      </c>
      <c r="F2165" s="22">
        <f>'2085WH_W'!$F9</f>
        <v>0.16734896397193749</v>
      </c>
      <c r="G2165" s="22" t="s">
        <v>33</v>
      </c>
      <c r="H2165" s="22">
        <f>'2085WH_W'!$F9</f>
        <v>0.16734896397193749</v>
      </c>
      <c r="I2165" t="str">
        <f t="shared" si="161"/>
        <v>WH2085;winter;24;40;0.167348963971937;TRUE;0.167348963971937</v>
      </c>
    </row>
    <row r="2166" spans="1:9" x14ac:dyDescent="0.25">
      <c r="A2166">
        <f t="shared" si="160"/>
        <v>182.625</v>
      </c>
      <c r="B2166" t="s">
        <v>26</v>
      </c>
      <c r="C2166" t="s">
        <v>7</v>
      </c>
      <c r="D2166">
        <v>24</v>
      </c>
      <c r="E2166">
        <f t="shared" si="163"/>
        <v>45</v>
      </c>
      <c r="F2166" s="22">
        <f>'2085WH_W'!$F10</f>
        <v>8.5215408571906168E-2</v>
      </c>
      <c r="G2166" s="22" t="s">
        <v>33</v>
      </c>
      <c r="H2166" s="22">
        <f>'2085WH_W'!$F10</f>
        <v>8.5215408571906168E-2</v>
      </c>
      <c r="I2166" t="str">
        <f t="shared" si="161"/>
        <v>WH2085;winter;24;45;8.52154085719062E-02;TRUE;8.52154085719062E-02</v>
      </c>
    </row>
    <row r="2167" spans="1:9" x14ac:dyDescent="0.25">
      <c r="A2167">
        <f t="shared" si="160"/>
        <v>182.625</v>
      </c>
      <c r="B2167" t="s">
        <v>26</v>
      </c>
      <c r="C2167" t="s">
        <v>7</v>
      </c>
      <c r="D2167">
        <v>24</v>
      </c>
      <c r="E2167">
        <f t="shared" si="163"/>
        <v>50</v>
      </c>
      <c r="F2167" s="22">
        <f>'2085WH_W'!$F11</f>
        <v>4.470069290882081E-2</v>
      </c>
      <c r="G2167" s="22" t="s">
        <v>33</v>
      </c>
      <c r="H2167" s="22">
        <f>'2085WH_W'!$F11</f>
        <v>4.470069290882081E-2</v>
      </c>
      <c r="I2167" t="str">
        <f t="shared" si="161"/>
        <v>WH2085;winter;24;50;4.47006929088208E-02;TRUE;4.47006929088208E-02</v>
      </c>
    </row>
    <row r="2168" spans="1:9" x14ac:dyDescent="0.25">
      <c r="A2168">
        <f t="shared" si="160"/>
        <v>182.625</v>
      </c>
      <c r="B2168" t="s">
        <v>26</v>
      </c>
      <c r="C2168" t="s">
        <v>7</v>
      </c>
      <c r="D2168">
        <v>24</v>
      </c>
      <c r="E2168">
        <f t="shared" si="163"/>
        <v>55</v>
      </c>
      <c r="F2168" s="22">
        <f>'2085WH_W'!$F12</f>
        <v>2.4094673905657095E-2</v>
      </c>
      <c r="G2168" s="22" t="s">
        <v>33</v>
      </c>
      <c r="H2168" s="22">
        <f>'2085WH_W'!$F12</f>
        <v>2.4094673905657095E-2</v>
      </c>
      <c r="I2168" t="str">
        <f t="shared" si="161"/>
        <v>WH2085;winter;24;55;2.40946739056571E-02;TRUE;2.40946739056571E-02</v>
      </c>
    </row>
    <row r="2169" spans="1:9" x14ac:dyDescent="0.25">
      <c r="A2169">
        <f t="shared" si="160"/>
        <v>182.625</v>
      </c>
      <c r="B2169" t="s">
        <v>26</v>
      </c>
      <c r="C2169" t="s">
        <v>7</v>
      </c>
      <c r="D2169">
        <v>24</v>
      </c>
      <c r="E2169">
        <f t="shared" si="163"/>
        <v>60</v>
      </c>
      <c r="F2169" s="22">
        <f>'2085WH_W'!$F13</f>
        <v>1.3316223512148326E-2</v>
      </c>
      <c r="G2169" s="22" t="s">
        <v>33</v>
      </c>
      <c r="H2169" s="22">
        <f>'2085WH_W'!$F13</f>
        <v>1.3316223512148326E-2</v>
      </c>
      <c r="I2169" t="str">
        <f t="shared" si="161"/>
        <v>WH2085;winter;24;60;1.33162235121483E-02;TRUE;1.33162235121483E-02</v>
      </c>
    </row>
    <row r="2170" spans="1:9" x14ac:dyDescent="0.25">
      <c r="A2170">
        <f t="shared" si="160"/>
        <v>182.625</v>
      </c>
      <c r="B2170" t="s">
        <v>26</v>
      </c>
      <c r="C2170" t="s">
        <v>7</v>
      </c>
      <c r="D2170">
        <v>24</v>
      </c>
      <c r="E2170">
        <f t="shared" si="163"/>
        <v>65</v>
      </c>
      <c r="F2170" s="22">
        <f>'2085WH_W'!$F14</f>
        <v>7.5309364727776419E-3</v>
      </c>
      <c r="G2170" s="22" t="s">
        <v>33</v>
      </c>
      <c r="H2170" s="22">
        <f>'2085WH_W'!$F14</f>
        <v>7.5309364727776419E-3</v>
      </c>
      <c r="I2170" t="str">
        <f t="shared" si="161"/>
        <v>WH2085;winter;24;65;7.53093647277764E-03;TRUE;7.53093647277764E-03</v>
      </c>
    </row>
    <row r="2171" spans="1:9" x14ac:dyDescent="0.25">
      <c r="A2171">
        <f t="shared" si="160"/>
        <v>182.625</v>
      </c>
      <c r="B2171" t="s">
        <v>26</v>
      </c>
      <c r="C2171" t="s">
        <v>7</v>
      </c>
      <c r="D2171">
        <v>24</v>
      </c>
      <c r="E2171">
        <f t="shared" si="163"/>
        <v>70</v>
      </c>
      <c r="F2171" s="22">
        <f>'2085WH_W'!$F15</f>
        <v>4.3508555982963593E-3</v>
      </c>
      <c r="G2171" s="22" t="s">
        <v>33</v>
      </c>
      <c r="H2171" s="22">
        <f>'2085WH_W'!$F15</f>
        <v>4.3508555982963593E-3</v>
      </c>
      <c r="I2171" t="str">
        <f t="shared" si="161"/>
        <v>WH2085;winter;24;70;4.35085559829636E-03;TRUE;4.35085559829636E-03</v>
      </c>
    </row>
    <row r="2172" spans="1:9" x14ac:dyDescent="0.25">
      <c r="A2172">
        <f t="shared" si="160"/>
        <v>182.625</v>
      </c>
      <c r="B2172" t="s">
        <v>26</v>
      </c>
      <c r="C2172" t="s">
        <v>7</v>
      </c>
      <c r="D2172">
        <v>24</v>
      </c>
      <c r="E2172">
        <f t="shared" si="163"/>
        <v>75</v>
      </c>
      <c r="F2172" s="22">
        <f>'2085WH_W'!$F16</f>
        <v>2.5638313230097525E-3</v>
      </c>
      <c r="G2172" s="22" t="s">
        <v>33</v>
      </c>
      <c r="H2172" s="22">
        <f>'2085WH_W'!$F16</f>
        <v>2.5638313230097525E-3</v>
      </c>
      <c r="I2172" t="str">
        <f t="shared" si="161"/>
        <v>WH2085;winter;24;75;2.56383132300975E-03;TRUE;2.56383132300975E-03</v>
      </c>
    </row>
    <row r="2173" spans="1:9" x14ac:dyDescent="0.25">
      <c r="A2173">
        <f t="shared" si="160"/>
        <v>182.625</v>
      </c>
      <c r="B2173" t="s">
        <v>26</v>
      </c>
      <c r="C2173" t="s">
        <v>7</v>
      </c>
      <c r="D2173">
        <v>24</v>
      </c>
      <c r="E2173">
        <f t="shared" si="163"/>
        <v>80</v>
      </c>
      <c r="F2173" s="22">
        <f>'2085WH_W'!$F17</f>
        <v>1.53884427235682E-3</v>
      </c>
      <c r="G2173" s="22" t="s">
        <v>33</v>
      </c>
      <c r="H2173" s="22">
        <f>'2085WH_W'!$F17</f>
        <v>1.53884427235682E-3</v>
      </c>
      <c r="I2173" t="str">
        <f t="shared" si="161"/>
        <v>WH2085;winter;24;80;1.53884427235682E-03;TRUE;1.53884427235682E-03</v>
      </c>
    </row>
    <row r="2174" spans="1:9" x14ac:dyDescent="0.25">
      <c r="A2174">
        <f t="shared" si="160"/>
        <v>182.625</v>
      </c>
      <c r="B2174" t="s">
        <v>26</v>
      </c>
      <c r="C2174" t="s">
        <v>7</v>
      </c>
      <c r="D2174">
        <v>24</v>
      </c>
      <c r="E2174">
        <f t="shared" si="163"/>
        <v>85</v>
      </c>
      <c r="F2174" s="22">
        <f>'2085WH_W'!$F18</f>
        <v>9.396200149138403E-4</v>
      </c>
      <c r="G2174" s="22" t="s">
        <v>33</v>
      </c>
      <c r="H2174" s="22">
        <f>'2085WH_W'!$F18</f>
        <v>9.396200149138403E-4</v>
      </c>
      <c r="I2174" t="str">
        <f t="shared" si="161"/>
        <v>WH2085;winter;24;85;9.3962001491384E-04;TRUE;9.3962001491384E-04</v>
      </c>
    </row>
    <row r="2175" spans="1:9" x14ac:dyDescent="0.25">
      <c r="A2175">
        <f t="shared" si="160"/>
        <v>182.625</v>
      </c>
      <c r="B2175" t="s">
        <v>26</v>
      </c>
      <c r="C2175" t="s">
        <v>7</v>
      </c>
      <c r="D2175">
        <v>24</v>
      </c>
      <c r="E2175">
        <f t="shared" si="163"/>
        <v>90</v>
      </c>
      <c r="F2175" s="22">
        <f>'2085WH_W'!$F19</f>
        <v>5.8301104671224738E-4</v>
      </c>
      <c r="G2175" s="22" t="s">
        <v>33</v>
      </c>
      <c r="H2175" s="22">
        <f>'2085WH_W'!$F19</f>
        <v>5.8301104671224738E-4</v>
      </c>
      <c r="I2175" t="str">
        <f t="shared" si="161"/>
        <v>WH2085;winter;24;90;5.83011046712247E-04;TRUE;5.83011046712247E-04</v>
      </c>
    </row>
    <row r="2176" spans="1:9" x14ac:dyDescent="0.25">
      <c r="A2176">
        <f t="shared" si="160"/>
        <v>182.625</v>
      </c>
      <c r="B2176" t="s">
        <v>26</v>
      </c>
      <c r="C2176" t="s">
        <v>7</v>
      </c>
      <c r="D2176">
        <v>24</v>
      </c>
      <c r="E2176">
        <f t="shared" si="163"/>
        <v>95</v>
      </c>
      <c r="F2176" s="22">
        <f>'2085WH_W'!$F20</f>
        <v>1.0634733279232462E-3</v>
      </c>
      <c r="G2176" s="22" t="s">
        <v>33</v>
      </c>
      <c r="H2176" s="22">
        <f>'2085WH_W'!$F20</f>
        <v>1.0634733279232462E-3</v>
      </c>
      <c r="I2176" t="str">
        <f t="shared" si="161"/>
        <v>WH2085;winter;24;95;1.06347332792325E-03;TRUE;1.06347332792325E-03</v>
      </c>
    </row>
    <row r="2177" spans="1:9" x14ac:dyDescent="0.25">
      <c r="A2177">
        <f t="shared" si="160"/>
        <v>91.3125</v>
      </c>
      <c r="B2177" t="s">
        <v>26</v>
      </c>
      <c r="C2177" t="s">
        <v>7</v>
      </c>
      <c r="D2177">
        <v>48</v>
      </c>
      <c r="E2177">
        <v>15</v>
      </c>
      <c r="F2177" s="22">
        <f>'2085WH_W'!$J4</f>
        <v>169.61209940836594</v>
      </c>
      <c r="G2177" s="22" t="s">
        <v>33</v>
      </c>
      <c r="H2177" s="22">
        <f>'2085WH_W'!$J4</f>
        <v>169.61209940836594</v>
      </c>
      <c r="I2177" t="str">
        <f t="shared" si="161"/>
        <v>WH2085;winter;48;15;169.612099408366;TRUE;169.612099408366</v>
      </c>
    </row>
    <row r="2178" spans="1:9" x14ac:dyDescent="0.25">
      <c r="A2178">
        <f t="shared" ref="A2178:A2241" si="164">IF(C2178="zomer",24/D2178*365.25 * 6/12,24/D2178*365.25 * 6/12)</f>
        <v>91.3125</v>
      </c>
      <c r="B2178" t="s">
        <v>26</v>
      </c>
      <c r="C2178" t="s">
        <v>7</v>
      </c>
      <c r="D2178">
        <v>48</v>
      </c>
      <c r="E2178">
        <f>E2177+5</f>
        <v>20</v>
      </c>
      <c r="F2178" s="22">
        <f>'2085WH_W'!$J5</f>
        <v>5.8652357470224254</v>
      </c>
      <c r="G2178" s="22" t="s">
        <v>33</v>
      </c>
      <c r="H2178" s="22">
        <f>'2085WH_W'!$J5</f>
        <v>5.8652357470224254</v>
      </c>
      <c r="I2178" t="str">
        <f t="shared" ref="I2178:I2241" si="165">CONCATENATEWITHDELIMITER(B2178:H2178,";")</f>
        <v>WH2085;winter;48;20;5.86523574702243;TRUE;5.86523574702243</v>
      </c>
    </row>
    <row r="2179" spans="1:9" x14ac:dyDescent="0.25">
      <c r="A2179">
        <f t="shared" si="164"/>
        <v>91.3125</v>
      </c>
      <c r="B2179" t="s">
        <v>26</v>
      </c>
      <c r="C2179" t="s">
        <v>7</v>
      </c>
      <c r="D2179">
        <v>48</v>
      </c>
      <c r="E2179">
        <f t="shared" ref="E2179:E2195" si="166">E2178+5</f>
        <v>25</v>
      </c>
      <c r="F2179" s="22">
        <f>'2085WH_W'!$J6</f>
        <v>3.1445107513297899</v>
      </c>
      <c r="G2179" s="22" t="s">
        <v>33</v>
      </c>
      <c r="H2179" s="22">
        <f>'2085WH_W'!$J6</f>
        <v>3.1445107513297899</v>
      </c>
      <c r="I2179" t="str">
        <f t="shared" si="165"/>
        <v>WH2085;winter;48;25;3.14451075132979;TRUE;3.14451075132979</v>
      </c>
    </row>
    <row r="2180" spans="1:9" x14ac:dyDescent="0.25">
      <c r="A2180">
        <f t="shared" si="164"/>
        <v>91.3125</v>
      </c>
      <c r="B2180" t="s">
        <v>26</v>
      </c>
      <c r="C2180" t="s">
        <v>7</v>
      </c>
      <c r="D2180">
        <v>48</v>
      </c>
      <c r="E2180">
        <f t="shared" si="166"/>
        <v>30</v>
      </c>
      <c r="F2180" s="22">
        <f>'2085WH_W'!$J7</f>
        <v>1.7198847493281377</v>
      </c>
      <c r="G2180" s="22" t="s">
        <v>33</v>
      </c>
      <c r="H2180" s="22">
        <f>'2085WH_W'!$J7</f>
        <v>1.7198847493281377</v>
      </c>
      <c r="I2180" t="str">
        <f t="shared" si="165"/>
        <v>WH2085;winter;48;30;1.71988474932814;TRUE;1.71988474932814</v>
      </c>
    </row>
    <row r="2181" spans="1:9" x14ac:dyDescent="0.25">
      <c r="A2181">
        <f t="shared" si="164"/>
        <v>91.3125</v>
      </c>
      <c r="B2181" t="s">
        <v>26</v>
      </c>
      <c r="C2181" t="s">
        <v>7</v>
      </c>
      <c r="D2181">
        <v>48</v>
      </c>
      <c r="E2181">
        <f t="shared" si="166"/>
        <v>35</v>
      </c>
      <c r="F2181" s="22">
        <f>'2085WH_W'!$J8</f>
        <v>0.95848267278971089</v>
      </c>
      <c r="G2181" s="22" t="s">
        <v>33</v>
      </c>
      <c r="H2181" s="22">
        <f>'2085WH_W'!$J8</f>
        <v>0.95848267278971089</v>
      </c>
      <c r="I2181" t="str">
        <f t="shared" si="165"/>
        <v>WH2085;winter;48;35;0.958482672789711;TRUE;0.958482672789711</v>
      </c>
    </row>
    <row r="2182" spans="1:9" x14ac:dyDescent="0.25">
      <c r="A2182">
        <f t="shared" si="164"/>
        <v>91.3125</v>
      </c>
      <c r="B2182" t="s">
        <v>26</v>
      </c>
      <c r="C2182" t="s">
        <v>7</v>
      </c>
      <c r="D2182">
        <v>48</v>
      </c>
      <c r="E2182">
        <f t="shared" si="166"/>
        <v>40</v>
      </c>
      <c r="F2182" s="22">
        <f>'2085WH_W'!$J9</f>
        <v>0.54364675966402132</v>
      </c>
      <c r="G2182" s="22" t="s">
        <v>33</v>
      </c>
      <c r="H2182" s="22">
        <f>'2085WH_W'!$J9</f>
        <v>0.54364675966402132</v>
      </c>
      <c r="I2182" t="str">
        <f t="shared" si="165"/>
        <v>WH2085;winter;48;40;0.543646759664021;TRUE;0.543646759664021</v>
      </c>
    </row>
    <row r="2183" spans="1:9" x14ac:dyDescent="0.25">
      <c r="A2183">
        <f t="shared" si="164"/>
        <v>91.3125</v>
      </c>
      <c r="B2183" t="s">
        <v>26</v>
      </c>
      <c r="C2183" t="s">
        <v>7</v>
      </c>
      <c r="D2183">
        <v>48</v>
      </c>
      <c r="E2183">
        <f t="shared" si="166"/>
        <v>45</v>
      </c>
      <c r="F2183" s="22">
        <f>'2085WH_W'!$J10</f>
        <v>0.31350835173146924</v>
      </c>
      <c r="G2183" s="22" t="s">
        <v>33</v>
      </c>
      <c r="H2183" s="22">
        <f>'2085WH_W'!$J10</f>
        <v>0.31350835173146924</v>
      </c>
      <c r="I2183" t="str">
        <f t="shared" si="165"/>
        <v>WH2085;winter;48;45;0.313508351731469;TRUE;0.313508351731469</v>
      </c>
    </row>
    <row r="2184" spans="1:9" x14ac:dyDescent="0.25">
      <c r="A2184">
        <f t="shared" si="164"/>
        <v>91.3125</v>
      </c>
      <c r="B2184" t="s">
        <v>26</v>
      </c>
      <c r="C2184" t="s">
        <v>7</v>
      </c>
      <c r="D2184">
        <v>48</v>
      </c>
      <c r="E2184">
        <f t="shared" si="166"/>
        <v>50</v>
      </c>
      <c r="F2184" s="22">
        <f>'2085WH_W'!$J11</f>
        <v>0.18364183559759789</v>
      </c>
      <c r="G2184" s="22" t="s">
        <v>33</v>
      </c>
      <c r="H2184" s="22">
        <f>'2085WH_W'!$J11</f>
        <v>0.18364183559759789</v>
      </c>
      <c r="I2184" t="str">
        <f t="shared" si="165"/>
        <v>WH2085;winter;48;50;0.183641835597598;TRUE;0.183641835597598</v>
      </c>
    </row>
    <row r="2185" spans="1:9" x14ac:dyDescent="0.25">
      <c r="A2185">
        <f t="shared" si="164"/>
        <v>91.3125</v>
      </c>
      <c r="B2185" t="s">
        <v>26</v>
      </c>
      <c r="C2185" t="s">
        <v>7</v>
      </c>
      <c r="D2185">
        <v>48</v>
      </c>
      <c r="E2185">
        <f t="shared" si="166"/>
        <v>55</v>
      </c>
      <c r="F2185" s="22">
        <f>'2085WH_W'!$J12</f>
        <v>0.10917137646696831</v>
      </c>
      <c r="G2185" s="22" t="s">
        <v>33</v>
      </c>
      <c r="H2185" s="22">
        <f>'2085WH_W'!$J12</f>
        <v>0.10917137646696831</v>
      </c>
      <c r="I2185" t="str">
        <f t="shared" si="165"/>
        <v>WH2085;winter;48;55;0.109171376466968;TRUE;0.109171376466968</v>
      </c>
    </row>
    <row r="2186" spans="1:9" x14ac:dyDescent="0.25">
      <c r="A2186">
        <f t="shared" si="164"/>
        <v>91.3125</v>
      </c>
      <c r="B2186" t="s">
        <v>26</v>
      </c>
      <c r="C2186" t="s">
        <v>7</v>
      </c>
      <c r="D2186">
        <v>48</v>
      </c>
      <c r="E2186">
        <f t="shared" si="166"/>
        <v>60</v>
      </c>
      <c r="F2186" s="22">
        <f>'2085WH_W'!$J13</f>
        <v>6.5813562856201935E-2</v>
      </c>
      <c r="G2186" s="22" t="s">
        <v>33</v>
      </c>
      <c r="H2186" s="22">
        <f>'2085WH_W'!$J13</f>
        <v>6.5813562856201935E-2</v>
      </c>
      <c r="I2186" t="str">
        <f t="shared" si="165"/>
        <v>WH2085;winter;48;60;6.58135628562019E-02;TRUE;6.58135628562019E-02</v>
      </c>
    </row>
    <row r="2187" spans="1:9" x14ac:dyDescent="0.25">
      <c r="A2187">
        <f t="shared" si="164"/>
        <v>91.3125</v>
      </c>
      <c r="B2187" t="s">
        <v>26</v>
      </c>
      <c r="C2187" t="s">
        <v>7</v>
      </c>
      <c r="D2187">
        <v>48</v>
      </c>
      <c r="E2187">
        <f t="shared" si="166"/>
        <v>65</v>
      </c>
      <c r="F2187" s="22">
        <f>'2085WH_W'!$J14</f>
        <v>4.0204386841331596E-2</v>
      </c>
      <c r="G2187" s="22" t="s">
        <v>33</v>
      </c>
      <c r="H2187" s="22">
        <f>'2085WH_W'!$J14</f>
        <v>4.0204386841331596E-2</v>
      </c>
      <c r="I2187" t="str">
        <f t="shared" si="165"/>
        <v>WH2085;winter;48;65;4.02043868413316E-02;TRUE;4.02043868413316E-02</v>
      </c>
    </row>
    <row r="2188" spans="1:9" x14ac:dyDescent="0.25">
      <c r="A2188">
        <f t="shared" si="164"/>
        <v>91.3125</v>
      </c>
      <c r="B2188" t="s">
        <v>26</v>
      </c>
      <c r="C2188" t="s">
        <v>7</v>
      </c>
      <c r="D2188">
        <v>48</v>
      </c>
      <c r="E2188">
        <f t="shared" si="166"/>
        <v>70</v>
      </c>
      <c r="F2188" s="22">
        <f>'2085WH_W'!$J15</f>
        <v>2.4870771789276457E-2</v>
      </c>
      <c r="G2188" s="22" t="s">
        <v>33</v>
      </c>
      <c r="H2188" s="22">
        <f>'2085WH_W'!$J15</f>
        <v>2.4870771789276457E-2</v>
      </c>
      <c r="I2188" t="str">
        <f t="shared" si="165"/>
        <v>WH2085;winter;48;70;2.48707717892765E-02;TRUE;2.48707717892765E-02</v>
      </c>
    </row>
    <row r="2189" spans="1:9" x14ac:dyDescent="0.25">
      <c r="A2189">
        <f t="shared" si="164"/>
        <v>91.3125</v>
      </c>
      <c r="B2189" t="s">
        <v>26</v>
      </c>
      <c r="C2189" t="s">
        <v>7</v>
      </c>
      <c r="D2189">
        <v>48</v>
      </c>
      <c r="E2189">
        <f t="shared" si="166"/>
        <v>75</v>
      </c>
      <c r="F2189" s="22">
        <f>'2085WH_W'!$J16</f>
        <v>1.5570091536559499E-2</v>
      </c>
      <c r="G2189" s="22" t="s">
        <v>33</v>
      </c>
      <c r="H2189" s="22">
        <f>'2085WH_W'!$J16</f>
        <v>1.5570091536559499E-2</v>
      </c>
      <c r="I2189" t="str">
        <f t="shared" si="165"/>
        <v>WH2085;winter;48;75;1.55700915365595E-02;TRUE;1.55700915365595E-02</v>
      </c>
    </row>
    <row r="2190" spans="1:9" x14ac:dyDescent="0.25">
      <c r="A2190">
        <f t="shared" si="164"/>
        <v>91.3125</v>
      </c>
      <c r="B2190" t="s">
        <v>26</v>
      </c>
      <c r="C2190" t="s">
        <v>7</v>
      </c>
      <c r="D2190">
        <v>48</v>
      </c>
      <c r="E2190">
        <f t="shared" si="166"/>
        <v>80</v>
      </c>
      <c r="F2190" s="22">
        <f>'2085WH_W'!$J17</f>
        <v>9.8588730136548799E-3</v>
      </c>
      <c r="G2190" s="22" t="s">
        <v>33</v>
      </c>
      <c r="H2190" s="22">
        <f>'2085WH_W'!$J17</f>
        <v>9.8588730136548799E-3</v>
      </c>
      <c r="I2190" t="str">
        <f t="shared" si="165"/>
        <v>WH2085;winter;48;80;9.85887301365488E-03;TRUE;9.85887301365488E-03</v>
      </c>
    </row>
    <row r="2191" spans="1:9" x14ac:dyDescent="0.25">
      <c r="A2191">
        <f t="shared" si="164"/>
        <v>91.3125</v>
      </c>
      <c r="B2191" t="s">
        <v>26</v>
      </c>
      <c r="C2191" t="s">
        <v>7</v>
      </c>
      <c r="D2191">
        <v>48</v>
      </c>
      <c r="E2191">
        <f t="shared" si="166"/>
        <v>85</v>
      </c>
      <c r="F2191" s="22">
        <f>'2085WH_W'!$J18</f>
        <v>6.3104980230208121E-3</v>
      </c>
      <c r="G2191" s="22" t="s">
        <v>33</v>
      </c>
      <c r="H2191" s="22">
        <f>'2085WH_W'!$J18</f>
        <v>6.3104980230208121E-3</v>
      </c>
      <c r="I2191" t="str">
        <f t="shared" si="165"/>
        <v>WH2085;winter;48;85;6.31049802302081E-03;TRUE;6.31049802302081E-03</v>
      </c>
    </row>
    <row r="2192" spans="1:9" x14ac:dyDescent="0.25">
      <c r="A2192">
        <f t="shared" si="164"/>
        <v>91.3125</v>
      </c>
      <c r="B2192" t="s">
        <v>26</v>
      </c>
      <c r="C2192" t="s">
        <v>7</v>
      </c>
      <c r="D2192">
        <v>48</v>
      </c>
      <c r="E2192">
        <f t="shared" si="166"/>
        <v>90</v>
      </c>
      <c r="F2192" s="22">
        <f>'2085WH_W'!$J19</f>
        <v>4.0811501371836364E-3</v>
      </c>
      <c r="G2192" s="22" t="s">
        <v>33</v>
      </c>
      <c r="H2192" s="22">
        <f>'2085WH_W'!$J19</f>
        <v>4.0811501371836364E-3</v>
      </c>
      <c r="I2192" t="str">
        <f t="shared" si="165"/>
        <v>WH2085;winter;48;90;4.08115013718364E-03;TRUE;4.08115013718364E-03</v>
      </c>
    </row>
    <row r="2193" spans="1:9" x14ac:dyDescent="0.25">
      <c r="A2193">
        <f t="shared" si="164"/>
        <v>91.3125</v>
      </c>
      <c r="B2193" t="s">
        <v>26</v>
      </c>
      <c r="C2193" t="s">
        <v>7</v>
      </c>
      <c r="D2193">
        <v>48</v>
      </c>
      <c r="E2193">
        <f t="shared" si="166"/>
        <v>95</v>
      </c>
      <c r="F2193" s="22">
        <f>'2085WH_W'!$J20</f>
        <v>2.6655153940605804E-3</v>
      </c>
      <c r="G2193" s="22" t="s">
        <v>33</v>
      </c>
      <c r="H2193" s="22">
        <f>'2085WH_W'!$J20</f>
        <v>2.6655153940605804E-3</v>
      </c>
      <c r="I2193" t="str">
        <f t="shared" si="165"/>
        <v>WH2085;winter;48;95;2.66551539406058E-03;TRUE;2.66551539406058E-03</v>
      </c>
    </row>
    <row r="2194" spans="1:9" x14ac:dyDescent="0.25">
      <c r="A2194">
        <f t="shared" si="164"/>
        <v>91.3125</v>
      </c>
      <c r="B2194" t="s">
        <v>26</v>
      </c>
      <c r="C2194" t="s">
        <v>7</v>
      </c>
      <c r="D2194">
        <v>48</v>
      </c>
      <c r="E2194">
        <f t="shared" si="166"/>
        <v>100</v>
      </c>
      <c r="F2194" s="22">
        <f>'2085WH_W'!$J21</f>
        <v>1.7573978750333344E-3</v>
      </c>
      <c r="G2194" s="22" t="s">
        <v>33</v>
      </c>
      <c r="H2194" s="22">
        <f>'2085WH_W'!$J21</f>
        <v>1.7573978750333344E-3</v>
      </c>
      <c r="I2194" t="str">
        <f t="shared" si="165"/>
        <v>WH2085;winter;48;100;1.75739787503333E-03;TRUE;1.75739787503333E-03</v>
      </c>
    </row>
    <row r="2195" spans="1:9" x14ac:dyDescent="0.25">
      <c r="A2195">
        <f t="shared" si="164"/>
        <v>91.3125</v>
      </c>
      <c r="B2195" t="s">
        <v>26</v>
      </c>
      <c r="C2195" t="s">
        <v>7</v>
      </c>
      <c r="D2195">
        <v>48</v>
      </c>
      <c r="E2195">
        <f t="shared" si="166"/>
        <v>105</v>
      </c>
      <c r="F2195" s="22">
        <f>'2085WH_W'!$J22</f>
        <v>3.6861002376335646E-3</v>
      </c>
      <c r="G2195" s="22" t="s">
        <v>33</v>
      </c>
      <c r="H2195" s="22">
        <f>'2085WH_W'!$J22</f>
        <v>3.6861002376335646E-3</v>
      </c>
      <c r="I2195" t="str">
        <f t="shared" si="165"/>
        <v>WH2085;winter;48;105;3.68610023763356E-03;TRUE;3.68610023763356E-03</v>
      </c>
    </row>
    <row r="2196" spans="1:9" x14ac:dyDescent="0.25">
      <c r="A2196">
        <f t="shared" si="164"/>
        <v>45.65625</v>
      </c>
      <c r="B2196" t="s">
        <v>26</v>
      </c>
      <c r="C2196" t="s">
        <v>7</v>
      </c>
      <c r="D2196">
        <v>96</v>
      </c>
      <c r="E2196">
        <v>20</v>
      </c>
      <c r="F2196" s="22">
        <f>'2085WH_W'!$N5</f>
        <v>78.214429026553205</v>
      </c>
      <c r="G2196" s="22" t="s">
        <v>33</v>
      </c>
      <c r="H2196" s="22">
        <f>'2085WH_W'!$N5</f>
        <v>78.214429026553205</v>
      </c>
      <c r="I2196" t="str">
        <f t="shared" si="165"/>
        <v>WH2085;winter;96;20;78.2144290265532;TRUE;78.2144290265532</v>
      </c>
    </row>
    <row r="2197" spans="1:9" x14ac:dyDescent="0.25">
      <c r="A2197">
        <f t="shared" si="164"/>
        <v>45.65625</v>
      </c>
      <c r="B2197" t="s">
        <v>26</v>
      </c>
      <c r="C2197" t="s">
        <v>7</v>
      </c>
      <c r="D2197">
        <v>96</v>
      </c>
      <c r="E2197">
        <f>E2196+5</f>
        <v>25</v>
      </c>
      <c r="F2197" s="22">
        <f>'2085WH_W'!$N6</f>
        <v>4.374872706467368</v>
      </c>
      <c r="G2197" s="22" t="s">
        <v>33</v>
      </c>
      <c r="H2197" s="22">
        <f>'2085WH_W'!$N6</f>
        <v>4.374872706467368</v>
      </c>
      <c r="I2197" t="str">
        <f t="shared" si="165"/>
        <v>WH2085;winter;96;25;4.37487270646737;TRUE;4.37487270646737</v>
      </c>
    </row>
    <row r="2198" spans="1:9" x14ac:dyDescent="0.25">
      <c r="A2198">
        <f t="shared" si="164"/>
        <v>45.65625</v>
      </c>
      <c r="B2198" t="s">
        <v>26</v>
      </c>
      <c r="C2198" t="s">
        <v>7</v>
      </c>
      <c r="D2198">
        <v>96</v>
      </c>
      <c r="E2198">
        <f t="shared" ref="E2198:E2216" si="167">E2197+5</f>
        <v>30</v>
      </c>
      <c r="F2198" s="22">
        <f>'2085WH_W'!$N7</f>
        <v>2.8926578983757105</v>
      </c>
      <c r="G2198" s="22" t="s">
        <v>33</v>
      </c>
      <c r="H2198" s="22">
        <f>'2085WH_W'!$N7</f>
        <v>2.8926578983757105</v>
      </c>
      <c r="I2198" t="str">
        <f t="shared" si="165"/>
        <v>WH2085;winter;96;30;2.89265789837571;TRUE;2.89265789837571</v>
      </c>
    </row>
    <row r="2199" spans="1:9" x14ac:dyDescent="0.25">
      <c r="A2199">
        <f t="shared" si="164"/>
        <v>45.65625</v>
      </c>
      <c r="B2199" t="s">
        <v>26</v>
      </c>
      <c r="C2199" t="s">
        <v>7</v>
      </c>
      <c r="D2199">
        <v>96</v>
      </c>
      <c r="E2199">
        <f t="shared" si="167"/>
        <v>35</v>
      </c>
      <c r="F2199" s="22">
        <f>'2085WH_W'!$N8</f>
        <v>1.919619436132439</v>
      </c>
      <c r="G2199" s="22" t="s">
        <v>33</v>
      </c>
      <c r="H2199" s="22">
        <f>'2085WH_W'!$N8</f>
        <v>1.919619436132439</v>
      </c>
      <c r="I2199" t="str">
        <f t="shared" si="165"/>
        <v>WH2085;winter;96;35;1.91961943613244;TRUE;1.91961943613244</v>
      </c>
    </row>
    <row r="2200" spans="1:9" x14ac:dyDescent="0.25">
      <c r="A2200">
        <f t="shared" si="164"/>
        <v>45.65625</v>
      </c>
      <c r="B2200" t="s">
        <v>26</v>
      </c>
      <c r="C2200" t="s">
        <v>7</v>
      </c>
      <c r="D2200">
        <v>96</v>
      </c>
      <c r="E2200">
        <f t="shared" si="167"/>
        <v>40</v>
      </c>
      <c r="F2200" s="22">
        <f>'2085WH_W'!$N9</f>
        <v>1.2784738064345715</v>
      </c>
      <c r="G2200" s="22" t="s">
        <v>33</v>
      </c>
      <c r="H2200" s="22">
        <f>'2085WH_W'!$N9</f>
        <v>1.2784738064345715</v>
      </c>
      <c r="I2200" t="str">
        <f t="shared" si="165"/>
        <v>WH2085;winter;96;40;1.27847380643457;TRUE;1.27847380643457</v>
      </c>
    </row>
    <row r="2201" spans="1:9" x14ac:dyDescent="0.25">
      <c r="A2201">
        <f t="shared" si="164"/>
        <v>45.65625</v>
      </c>
      <c r="B2201" t="s">
        <v>26</v>
      </c>
      <c r="C2201" t="s">
        <v>7</v>
      </c>
      <c r="D2201">
        <v>96</v>
      </c>
      <c r="E2201">
        <f t="shared" si="167"/>
        <v>45</v>
      </c>
      <c r="F2201" s="22">
        <f>'2085WH_W'!$N10</f>
        <v>0.85447647037429797</v>
      </c>
      <c r="G2201" s="22" t="s">
        <v>33</v>
      </c>
      <c r="H2201" s="22">
        <f>'2085WH_W'!$N10</f>
        <v>0.85447647037429797</v>
      </c>
      <c r="I2201" t="str">
        <f t="shared" si="165"/>
        <v>WH2085;winter;96;45;0.854476470374298;TRUE;0.854476470374298</v>
      </c>
    </row>
    <row r="2202" spans="1:9" x14ac:dyDescent="0.25">
      <c r="A2202">
        <f t="shared" si="164"/>
        <v>45.65625</v>
      </c>
      <c r="B2202" t="s">
        <v>26</v>
      </c>
      <c r="C2202" t="s">
        <v>7</v>
      </c>
      <c r="D2202">
        <v>96</v>
      </c>
      <c r="E2202">
        <f t="shared" si="167"/>
        <v>50</v>
      </c>
      <c r="F2202" s="22">
        <f>'2085WH_W'!$N11</f>
        <v>0.57307782376303562</v>
      </c>
      <c r="G2202" s="22" t="s">
        <v>33</v>
      </c>
      <c r="H2202" s="22">
        <f>'2085WH_W'!$N11</f>
        <v>0.57307782376303562</v>
      </c>
      <c r="I2202" t="str">
        <f t="shared" si="165"/>
        <v>WH2085;winter;96;50;0.573077823763036;TRUE;0.573077823763036</v>
      </c>
    </row>
    <row r="2203" spans="1:9" x14ac:dyDescent="0.25">
      <c r="A2203">
        <f t="shared" si="164"/>
        <v>45.65625</v>
      </c>
      <c r="B2203" t="s">
        <v>26</v>
      </c>
      <c r="C2203" t="s">
        <v>7</v>
      </c>
      <c r="D2203">
        <v>96</v>
      </c>
      <c r="E2203">
        <f t="shared" si="167"/>
        <v>55</v>
      </c>
      <c r="F2203" s="22">
        <f>'2085WH_W'!$N12</f>
        <v>0.38566181240189334</v>
      </c>
      <c r="G2203" s="22" t="s">
        <v>33</v>
      </c>
      <c r="H2203" s="22">
        <f>'2085WH_W'!$N12</f>
        <v>0.38566181240189334</v>
      </c>
      <c r="I2203" t="str">
        <f t="shared" si="165"/>
        <v>WH2085;winter;96;55;0.385661812401893;TRUE;0.385661812401893</v>
      </c>
    </row>
    <row r="2204" spans="1:9" x14ac:dyDescent="0.25">
      <c r="A2204">
        <f t="shared" si="164"/>
        <v>45.65625</v>
      </c>
      <c r="B2204" t="s">
        <v>26</v>
      </c>
      <c r="C2204" t="s">
        <v>7</v>
      </c>
      <c r="D2204">
        <v>96</v>
      </c>
      <c r="E2204">
        <f t="shared" si="167"/>
        <v>60</v>
      </c>
      <c r="F2204" s="22">
        <f>'2085WH_W'!$N13</f>
        <v>0.26040791670113894</v>
      </c>
      <c r="G2204" s="22" t="s">
        <v>33</v>
      </c>
      <c r="H2204" s="22">
        <f>'2085WH_W'!$N13</f>
        <v>0.26040791670113894</v>
      </c>
      <c r="I2204" t="str">
        <f t="shared" si="165"/>
        <v>WH2085;winter;96;60;0.260407916701139;TRUE;0.260407916701139</v>
      </c>
    </row>
    <row r="2205" spans="1:9" x14ac:dyDescent="0.25">
      <c r="A2205">
        <f t="shared" si="164"/>
        <v>45.65625</v>
      </c>
      <c r="B2205" t="s">
        <v>26</v>
      </c>
      <c r="C2205" t="s">
        <v>7</v>
      </c>
      <c r="D2205">
        <v>96</v>
      </c>
      <c r="E2205">
        <f t="shared" si="167"/>
        <v>65</v>
      </c>
      <c r="F2205" s="22">
        <f>'2085WH_W'!$N14</f>
        <v>0.17641350932238309</v>
      </c>
      <c r="G2205" s="22" t="s">
        <v>33</v>
      </c>
      <c r="H2205" s="22">
        <f>'2085WH_W'!$N14</f>
        <v>0.17641350932238309</v>
      </c>
      <c r="I2205" t="str">
        <f t="shared" si="165"/>
        <v>WH2085;winter;96;65;0.176413509322383;TRUE;0.176413509322383</v>
      </c>
    </row>
    <row r="2206" spans="1:9" x14ac:dyDescent="0.25">
      <c r="A2206">
        <f t="shared" si="164"/>
        <v>45.65625</v>
      </c>
      <c r="B2206" t="s">
        <v>26</v>
      </c>
      <c r="C2206" t="s">
        <v>7</v>
      </c>
      <c r="D2206">
        <v>96</v>
      </c>
      <c r="E2206">
        <f t="shared" si="167"/>
        <v>70</v>
      </c>
      <c r="F2206" s="22">
        <f>'2085WH_W'!$N15</f>
        <v>0.11989907035237723</v>
      </c>
      <c r="G2206" s="22" t="s">
        <v>33</v>
      </c>
      <c r="H2206" s="22">
        <f>'2085WH_W'!$N15</f>
        <v>0.11989907035237723</v>
      </c>
      <c r="I2206" t="str">
        <f t="shared" si="165"/>
        <v>WH2085;winter;96;70;0.119899070352377;TRUE;0.119899070352377</v>
      </c>
    </row>
    <row r="2207" spans="1:9" x14ac:dyDescent="0.25">
      <c r="A2207">
        <f t="shared" si="164"/>
        <v>45.65625</v>
      </c>
      <c r="B2207" t="s">
        <v>26</v>
      </c>
      <c r="C2207" t="s">
        <v>7</v>
      </c>
      <c r="D2207">
        <v>96</v>
      </c>
      <c r="E2207">
        <f t="shared" si="167"/>
        <v>75</v>
      </c>
      <c r="F2207" s="22">
        <f>'2085WH_W'!$N16</f>
        <v>8.1749086987441405E-2</v>
      </c>
      <c r="G2207" s="22" t="s">
        <v>33</v>
      </c>
      <c r="H2207" s="22">
        <f>'2085WH_W'!$N16</f>
        <v>8.1749086987441405E-2</v>
      </c>
      <c r="I2207" t="str">
        <f t="shared" si="165"/>
        <v>WH2085;winter;96;75;8.17490869874414E-02;TRUE;8.17490869874414E-02</v>
      </c>
    </row>
    <row r="2208" spans="1:9" x14ac:dyDescent="0.25">
      <c r="A2208">
        <f t="shared" si="164"/>
        <v>45.65625</v>
      </c>
      <c r="B2208" t="s">
        <v>26</v>
      </c>
      <c r="C2208" t="s">
        <v>7</v>
      </c>
      <c r="D2208">
        <v>96</v>
      </c>
      <c r="E2208">
        <f t="shared" si="167"/>
        <v>80</v>
      </c>
      <c r="F2208" s="22">
        <f>'2085WH_W'!$N17</f>
        <v>5.5912703627951171E-2</v>
      </c>
      <c r="G2208" s="22" t="s">
        <v>33</v>
      </c>
      <c r="H2208" s="22">
        <f>'2085WH_W'!$N17</f>
        <v>5.5912703627951171E-2</v>
      </c>
      <c r="I2208" t="str">
        <f t="shared" si="165"/>
        <v>WH2085;winter;96;80;5.59127036279512E-02;TRUE;5.59127036279512E-02</v>
      </c>
    </row>
    <row r="2209" spans="1:9" x14ac:dyDescent="0.25">
      <c r="A2209">
        <f t="shared" si="164"/>
        <v>45.65625</v>
      </c>
      <c r="B2209" t="s">
        <v>26</v>
      </c>
      <c r="C2209" t="s">
        <v>7</v>
      </c>
      <c r="D2209">
        <v>96</v>
      </c>
      <c r="E2209">
        <f t="shared" si="167"/>
        <v>85</v>
      </c>
      <c r="F2209" s="22">
        <f>'2085WH_W'!$N18</f>
        <v>3.8359812928146178E-2</v>
      </c>
      <c r="G2209" s="22" t="s">
        <v>33</v>
      </c>
      <c r="H2209" s="22">
        <f>'2085WH_W'!$N18</f>
        <v>3.8359812928146178E-2</v>
      </c>
      <c r="I2209" t="str">
        <f t="shared" si="165"/>
        <v>WH2085;winter;96;85;3.83598129281462E-02;TRUE;3.83598129281462E-02</v>
      </c>
    </row>
    <row r="2210" spans="1:9" x14ac:dyDescent="0.25">
      <c r="A2210">
        <f t="shared" si="164"/>
        <v>45.65625</v>
      </c>
      <c r="B2210" t="s">
        <v>26</v>
      </c>
      <c r="C2210" t="s">
        <v>7</v>
      </c>
      <c r="D2210">
        <v>96</v>
      </c>
      <c r="E2210">
        <f t="shared" si="167"/>
        <v>90</v>
      </c>
      <c r="F2210" s="22">
        <f>'2085WH_W'!$N19</f>
        <v>2.6397288966666314E-2</v>
      </c>
      <c r="G2210" s="22" t="s">
        <v>33</v>
      </c>
      <c r="H2210" s="22">
        <f>'2085WH_W'!$N19</f>
        <v>2.6397288966666314E-2</v>
      </c>
      <c r="I2210" t="str">
        <f t="shared" si="165"/>
        <v>WH2085;winter;96;90;2.63972889666663E-02;TRUE;2.63972889666663E-02</v>
      </c>
    </row>
    <row r="2211" spans="1:9" x14ac:dyDescent="0.25">
      <c r="A2211">
        <f t="shared" si="164"/>
        <v>45.65625</v>
      </c>
      <c r="B2211" t="s">
        <v>26</v>
      </c>
      <c r="C2211" t="s">
        <v>7</v>
      </c>
      <c r="D2211">
        <v>96</v>
      </c>
      <c r="E2211">
        <f t="shared" si="167"/>
        <v>95</v>
      </c>
      <c r="F2211" s="22">
        <f>'2085WH_W'!$N20</f>
        <v>1.8219564832153846E-2</v>
      </c>
      <c r="G2211" s="22" t="s">
        <v>33</v>
      </c>
      <c r="H2211" s="22">
        <f>'2085WH_W'!$N20</f>
        <v>1.8219564832153846E-2</v>
      </c>
      <c r="I2211" t="str">
        <f t="shared" si="165"/>
        <v>WH2085;winter;96;95;1.82195648321538E-02;TRUE;1.82195648321538E-02</v>
      </c>
    </row>
    <row r="2212" spans="1:9" x14ac:dyDescent="0.25">
      <c r="A2212">
        <f t="shared" si="164"/>
        <v>45.65625</v>
      </c>
      <c r="B2212" t="s">
        <v>26</v>
      </c>
      <c r="C2212" t="s">
        <v>7</v>
      </c>
      <c r="D2212">
        <v>96</v>
      </c>
      <c r="E2212">
        <f t="shared" si="167"/>
        <v>100</v>
      </c>
      <c r="F2212" s="22">
        <f>'2085WH_W'!$N21</f>
        <v>1.2612232522605106E-2</v>
      </c>
      <c r="G2212" s="22" t="s">
        <v>33</v>
      </c>
      <c r="H2212" s="22">
        <f>'2085WH_W'!$N21</f>
        <v>1.2612232522605106E-2</v>
      </c>
      <c r="I2212" t="str">
        <f t="shared" si="165"/>
        <v>WH2085;winter;96;100;1.26122325226051E-02;TRUE;1.26122325226051E-02</v>
      </c>
    </row>
    <row r="2213" spans="1:9" x14ac:dyDescent="0.25">
      <c r="A2213">
        <f t="shared" si="164"/>
        <v>45.65625</v>
      </c>
      <c r="B2213" t="s">
        <v>26</v>
      </c>
      <c r="C2213" t="s">
        <v>7</v>
      </c>
      <c r="D2213">
        <v>96</v>
      </c>
      <c r="E2213">
        <f t="shared" si="167"/>
        <v>105</v>
      </c>
      <c r="F2213" s="22">
        <f>'2085WH_W'!$N22</f>
        <v>8.7559079454932257E-3</v>
      </c>
      <c r="G2213" s="22" t="s">
        <v>33</v>
      </c>
      <c r="H2213" s="22">
        <f>'2085WH_W'!$N22</f>
        <v>8.7559079454932257E-3</v>
      </c>
      <c r="I2213" t="str">
        <f t="shared" si="165"/>
        <v>WH2085;winter;96;105;8.75590794549323E-03;TRUE;8.75590794549323E-03</v>
      </c>
    </row>
    <row r="2214" spans="1:9" x14ac:dyDescent="0.25">
      <c r="A2214">
        <f t="shared" si="164"/>
        <v>45.65625</v>
      </c>
      <c r="B2214" t="s">
        <v>26</v>
      </c>
      <c r="C2214" t="s">
        <v>7</v>
      </c>
      <c r="D2214">
        <v>96</v>
      </c>
      <c r="E2214">
        <f t="shared" si="167"/>
        <v>110</v>
      </c>
      <c r="F2214" s="22">
        <f>'2085WH_W'!$N23</f>
        <v>6.0960156904354933E-3</v>
      </c>
      <c r="G2214" s="22" t="s">
        <v>33</v>
      </c>
      <c r="H2214" s="22">
        <f>'2085WH_W'!$N23</f>
        <v>6.0960156904354933E-3</v>
      </c>
      <c r="I2214" t="str">
        <f t="shared" si="165"/>
        <v>WH2085;winter;96;110;6.09601569043549E-03;TRUE;6.09601569043549E-03</v>
      </c>
    </row>
    <row r="2215" spans="1:9" x14ac:dyDescent="0.25">
      <c r="A2215">
        <f t="shared" si="164"/>
        <v>45.65625</v>
      </c>
      <c r="B2215" t="s">
        <v>26</v>
      </c>
      <c r="C2215" t="s">
        <v>7</v>
      </c>
      <c r="D2215">
        <v>96</v>
      </c>
      <c r="E2215">
        <f t="shared" si="167"/>
        <v>115</v>
      </c>
      <c r="F2215" s="22">
        <f>'2085WH_W'!$N24</f>
        <v>4.2560577586935079E-3</v>
      </c>
      <c r="G2215" s="22" t="s">
        <v>33</v>
      </c>
      <c r="H2215" s="22">
        <f>'2085WH_W'!$N24</f>
        <v>4.2560577586935079E-3</v>
      </c>
      <c r="I2215" t="str">
        <f t="shared" si="165"/>
        <v>WH2085;winter;96;115;4.25605775869351E-03;TRUE;4.25605775869351E-03</v>
      </c>
    </row>
    <row r="2216" spans="1:9" x14ac:dyDescent="0.25">
      <c r="A2216">
        <f t="shared" si="164"/>
        <v>45.65625</v>
      </c>
      <c r="B2216" t="s">
        <v>26</v>
      </c>
      <c r="C2216" t="s">
        <v>7</v>
      </c>
      <c r="D2216">
        <v>96</v>
      </c>
      <c r="E2216">
        <f t="shared" si="167"/>
        <v>120</v>
      </c>
      <c r="F2216" s="22">
        <f>'2085WH_W'!$N25</f>
        <v>1.0151851861991718E-2</v>
      </c>
      <c r="G2216" s="22" t="s">
        <v>33</v>
      </c>
      <c r="H2216" s="22">
        <f>'2085WH_W'!$N25</f>
        <v>1.0151851861991718E-2</v>
      </c>
      <c r="I2216" t="str">
        <f t="shared" si="165"/>
        <v>WH2085;winter;96;120;1.01518518619917E-02;TRUE;1.01518518619917E-02</v>
      </c>
    </row>
    <row r="2217" spans="1:9" x14ac:dyDescent="0.25">
      <c r="A2217">
        <f t="shared" si="164"/>
        <v>22.828125</v>
      </c>
      <c r="B2217" t="s">
        <v>26</v>
      </c>
      <c r="C2217" t="s">
        <v>7</v>
      </c>
      <c r="D2217">
        <v>192</v>
      </c>
      <c r="E2217">
        <v>25</v>
      </c>
      <c r="F2217" s="22">
        <f>'2085WH_W'!$R6</f>
        <v>32.720276182751057</v>
      </c>
      <c r="G2217" s="22" t="s">
        <v>33</v>
      </c>
      <c r="H2217" s="22">
        <f>'2085WH_W'!$R6</f>
        <v>32.720276182751057</v>
      </c>
      <c r="I2217" t="str">
        <f t="shared" si="165"/>
        <v>WH2085;winter;192;25;32.7202761827511;TRUE;32.7202761827511</v>
      </c>
    </row>
    <row r="2218" spans="1:9" x14ac:dyDescent="0.25">
      <c r="A2218">
        <f t="shared" si="164"/>
        <v>22.828125</v>
      </c>
      <c r="B2218" t="s">
        <v>26</v>
      </c>
      <c r="C2218" t="s">
        <v>7</v>
      </c>
      <c r="D2218">
        <v>192</v>
      </c>
      <c r="E2218">
        <f>E2217+5</f>
        <v>30</v>
      </c>
      <c r="F2218" s="22">
        <f>'2085WH_W'!$R7</f>
        <v>2.8325090146230689</v>
      </c>
      <c r="G2218" s="22" t="s">
        <v>33</v>
      </c>
      <c r="H2218" s="22">
        <f>'2085WH_W'!$R7</f>
        <v>2.8325090146230689</v>
      </c>
      <c r="I2218" t="str">
        <f t="shared" si="165"/>
        <v>WH2085;winter;192;30;2.83250901462307;TRUE;2.83250901462307</v>
      </c>
    </row>
    <row r="2219" spans="1:9" x14ac:dyDescent="0.25">
      <c r="A2219">
        <f t="shared" si="164"/>
        <v>22.828125</v>
      </c>
      <c r="B2219" t="s">
        <v>26</v>
      </c>
      <c r="C2219" t="s">
        <v>7</v>
      </c>
      <c r="D2219">
        <v>192</v>
      </c>
      <c r="E2219">
        <f t="shared" ref="E2219:E2243" si="168">E2218+5</f>
        <v>35</v>
      </c>
      <c r="F2219" s="22">
        <f>'2085WH_W'!$R8</f>
        <v>2.2346855070695142</v>
      </c>
      <c r="G2219" s="22" t="s">
        <v>33</v>
      </c>
      <c r="H2219" s="22">
        <f>'2085WH_W'!$R8</f>
        <v>2.2346855070695142</v>
      </c>
      <c r="I2219" t="str">
        <f t="shared" si="165"/>
        <v>WH2085;winter;192;35;2.23468550706951;TRUE;2.23468550706951</v>
      </c>
    </row>
    <row r="2220" spans="1:9" x14ac:dyDescent="0.25">
      <c r="A2220">
        <f t="shared" si="164"/>
        <v>22.828125</v>
      </c>
      <c r="B2220" t="s">
        <v>26</v>
      </c>
      <c r="C2220" t="s">
        <v>7</v>
      </c>
      <c r="D2220">
        <v>192</v>
      </c>
      <c r="E2220">
        <f t="shared" si="168"/>
        <v>40</v>
      </c>
      <c r="F2220" s="22">
        <f>'2085WH_W'!$R9</f>
        <v>1.758212323980759</v>
      </c>
      <c r="G2220" s="22" t="s">
        <v>33</v>
      </c>
      <c r="H2220" s="22">
        <f>'2085WH_W'!$R9</f>
        <v>1.758212323980759</v>
      </c>
      <c r="I2220" t="str">
        <f t="shared" si="165"/>
        <v>WH2085;winter;192;40;1.75821232398076;TRUE;1.75821232398076</v>
      </c>
    </row>
    <row r="2221" spans="1:9" x14ac:dyDescent="0.25">
      <c r="A2221">
        <f t="shared" si="164"/>
        <v>22.828125</v>
      </c>
      <c r="B2221" t="s">
        <v>26</v>
      </c>
      <c r="C2221" t="s">
        <v>7</v>
      </c>
      <c r="D2221">
        <v>192</v>
      </c>
      <c r="E2221">
        <f t="shared" si="168"/>
        <v>45</v>
      </c>
      <c r="F2221" s="22">
        <f>'2085WH_W'!$R10</f>
        <v>1.3794570674222069</v>
      </c>
      <c r="G2221" s="22" t="s">
        <v>33</v>
      </c>
      <c r="H2221" s="22">
        <f>'2085WH_W'!$R10</f>
        <v>1.3794570674222069</v>
      </c>
      <c r="I2221" t="str">
        <f t="shared" si="165"/>
        <v>WH2085;winter;192;45;1.37945706742221;TRUE;1.37945706742221</v>
      </c>
    </row>
    <row r="2222" spans="1:9" x14ac:dyDescent="0.25">
      <c r="A2222">
        <f t="shared" si="164"/>
        <v>22.828125</v>
      </c>
      <c r="B2222" t="s">
        <v>26</v>
      </c>
      <c r="C2222" t="s">
        <v>7</v>
      </c>
      <c r="D2222">
        <v>192</v>
      </c>
      <c r="E2222">
        <f t="shared" si="168"/>
        <v>50</v>
      </c>
      <c r="F2222" s="22">
        <f>'2085WH_W'!$R11</f>
        <v>1.0791907052649581</v>
      </c>
      <c r="G2222" s="22" t="s">
        <v>33</v>
      </c>
      <c r="H2222" s="22">
        <f>'2085WH_W'!$R11</f>
        <v>1.0791907052649581</v>
      </c>
      <c r="I2222" t="str">
        <f t="shared" si="165"/>
        <v>WH2085;winter;192;50;1.07919070526496;TRUE;1.07919070526496</v>
      </c>
    </row>
    <row r="2223" spans="1:9" x14ac:dyDescent="0.25">
      <c r="A2223">
        <f t="shared" si="164"/>
        <v>22.828125</v>
      </c>
      <c r="B2223" t="s">
        <v>26</v>
      </c>
      <c r="C2223" t="s">
        <v>7</v>
      </c>
      <c r="D2223">
        <v>192</v>
      </c>
      <c r="E2223">
        <f t="shared" si="168"/>
        <v>55</v>
      </c>
      <c r="F2223" s="22">
        <f>'2085WH_W'!$R12</f>
        <v>0.84180497018318601</v>
      </c>
      <c r="G2223" s="22" t="s">
        <v>33</v>
      </c>
      <c r="H2223" s="22">
        <f>'2085WH_W'!$R12</f>
        <v>0.84180497018318601</v>
      </c>
      <c r="I2223" t="str">
        <f t="shared" si="165"/>
        <v>WH2085;winter;192;55;0.841804970183186;TRUE;0.841804970183186</v>
      </c>
    </row>
    <row r="2224" spans="1:9" x14ac:dyDescent="0.25">
      <c r="A2224">
        <f t="shared" si="164"/>
        <v>22.828125</v>
      </c>
      <c r="B2224" t="s">
        <v>26</v>
      </c>
      <c r="C2224" t="s">
        <v>7</v>
      </c>
      <c r="D2224">
        <v>192</v>
      </c>
      <c r="E2224">
        <f t="shared" si="168"/>
        <v>60</v>
      </c>
      <c r="F2224" s="22">
        <f>'2085WH_W'!$R13</f>
        <v>0.65466197159745221</v>
      </c>
      <c r="G2224" s="22" t="s">
        <v>33</v>
      </c>
      <c r="H2224" s="22">
        <f>'2085WH_W'!$R13</f>
        <v>0.65466197159745221</v>
      </c>
      <c r="I2224" t="str">
        <f t="shared" si="165"/>
        <v>WH2085;winter;192;60;0.654661971597452;TRUE;0.654661971597452</v>
      </c>
    </row>
    <row r="2225" spans="1:9" x14ac:dyDescent="0.25">
      <c r="A2225">
        <f t="shared" si="164"/>
        <v>22.828125</v>
      </c>
      <c r="B2225" t="s">
        <v>26</v>
      </c>
      <c r="C2225" t="s">
        <v>7</v>
      </c>
      <c r="D2225">
        <v>192</v>
      </c>
      <c r="E2225">
        <f t="shared" si="168"/>
        <v>65</v>
      </c>
      <c r="F2225" s="22">
        <f>'2085WH_W'!$R14</f>
        <v>0.50755487194266991</v>
      </c>
      <c r="G2225" s="22" t="s">
        <v>33</v>
      </c>
      <c r="H2225" s="22">
        <f>'2085WH_W'!$R14</f>
        <v>0.50755487194266991</v>
      </c>
      <c r="I2225" t="str">
        <f t="shared" si="165"/>
        <v>WH2085;winter;192;65;0.50755487194267;TRUE;0.50755487194267</v>
      </c>
    </row>
    <row r="2226" spans="1:9" x14ac:dyDescent="0.25">
      <c r="A2226">
        <f t="shared" si="164"/>
        <v>22.828125</v>
      </c>
      <c r="B2226" t="s">
        <v>26</v>
      </c>
      <c r="C2226" t="s">
        <v>7</v>
      </c>
      <c r="D2226">
        <v>192</v>
      </c>
      <c r="E2226">
        <f t="shared" si="168"/>
        <v>70</v>
      </c>
      <c r="F2226" s="22">
        <f>'2085WH_W'!$R15</f>
        <v>0.39226166735483803</v>
      </c>
      <c r="G2226" s="22" t="s">
        <v>33</v>
      </c>
      <c r="H2226" s="22">
        <f>'2085WH_W'!$R15</f>
        <v>0.39226166735483803</v>
      </c>
      <c r="I2226" t="str">
        <f t="shared" si="165"/>
        <v>WH2085;winter;192;70;0.392261667354838;TRUE;0.392261667354838</v>
      </c>
    </row>
    <row r="2227" spans="1:9" x14ac:dyDescent="0.25">
      <c r="A2227">
        <f t="shared" si="164"/>
        <v>22.828125</v>
      </c>
      <c r="B2227" t="s">
        <v>26</v>
      </c>
      <c r="C2227" t="s">
        <v>7</v>
      </c>
      <c r="D2227">
        <v>192</v>
      </c>
      <c r="E2227">
        <f t="shared" si="168"/>
        <v>75</v>
      </c>
      <c r="F2227" s="22">
        <f>'2085WH_W'!$R16</f>
        <v>0.30217685074197731</v>
      </c>
      <c r="G2227" s="22" t="s">
        <v>33</v>
      </c>
      <c r="H2227" s="22">
        <f>'2085WH_W'!$R16</f>
        <v>0.30217685074197731</v>
      </c>
      <c r="I2227" t="str">
        <f t="shared" si="165"/>
        <v>WH2085;winter;192;75;0.302176850741977;TRUE;0.302176850741977</v>
      </c>
    </row>
    <row r="2228" spans="1:9" x14ac:dyDescent="0.25">
      <c r="A2228">
        <f t="shared" si="164"/>
        <v>22.828125</v>
      </c>
      <c r="B2228" t="s">
        <v>26</v>
      </c>
      <c r="C2228" t="s">
        <v>7</v>
      </c>
      <c r="D2228">
        <v>192</v>
      </c>
      <c r="E2228">
        <f t="shared" si="168"/>
        <v>80</v>
      </c>
      <c r="F2228" s="22">
        <f>'2085WH_W'!$R17</f>
        <v>0.2320080816467559</v>
      </c>
      <c r="G2228" s="22" t="s">
        <v>33</v>
      </c>
      <c r="H2228" s="22">
        <f>'2085WH_W'!$R17</f>
        <v>0.2320080816467559</v>
      </c>
      <c r="I2228" t="str">
        <f t="shared" si="165"/>
        <v>WH2085;winter;192;80;0.232008081646756;TRUE;0.232008081646756</v>
      </c>
    </row>
    <row r="2229" spans="1:9" x14ac:dyDescent="0.25">
      <c r="A2229">
        <f t="shared" si="164"/>
        <v>22.828125</v>
      </c>
      <c r="B2229" t="s">
        <v>26</v>
      </c>
      <c r="C2229" t="s">
        <v>7</v>
      </c>
      <c r="D2229">
        <v>192</v>
      </c>
      <c r="E2229">
        <f t="shared" si="168"/>
        <v>85</v>
      </c>
      <c r="F2229" s="22">
        <f>'2085WH_W'!$R18</f>
        <v>0.1775269944908634</v>
      </c>
      <c r="G2229" s="22" t="s">
        <v>33</v>
      </c>
      <c r="H2229" s="22">
        <f>'2085WH_W'!$R18</f>
        <v>0.1775269944908634</v>
      </c>
      <c r="I2229" t="str">
        <f t="shared" si="165"/>
        <v>WH2085;winter;192;85;0.177526994490863;TRUE;0.177526994490863</v>
      </c>
    </row>
    <row r="2230" spans="1:9" x14ac:dyDescent="0.25">
      <c r="A2230">
        <f t="shared" si="164"/>
        <v>22.828125</v>
      </c>
      <c r="B2230" t="s">
        <v>26</v>
      </c>
      <c r="C2230" t="s">
        <v>7</v>
      </c>
      <c r="D2230">
        <v>192</v>
      </c>
      <c r="E2230">
        <f t="shared" si="168"/>
        <v>90</v>
      </c>
      <c r="F2230" s="22">
        <f>'2085WH_W'!$R19</f>
        <v>0.13536499044436495</v>
      </c>
      <c r="G2230" s="22" t="s">
        <v>33</v>
      </c>
      <c r="H2230" s="22">
        <f>'2085WH_W'!$R19</f>
        <v>0.13536499044436495</v>
      </c>
      <c r="I2230" t="str">
        <f t="shared" si="165"/>
        <v>WH2085;winter;192;90;0.135364990444365;TRUE;0.135364990444365</v>
      </c>
    </row>
    <row r="2231" spans="1:9" x14ac:dyDescent="0.25">
      <c r="A2231">
        <f t="shared" si="164"/>
        <v>22.828125</v>
      </c>
      <c r="B2231" t="s">
        <v>26</v>
      </c>
      <c r="C2231" t="s">
        <v>7</v>
      </c>
      <c r="D2231">
        <v>192</v>
      </c>
      <c r="E2231">
        <f t="shared" si="168"/>
        <v>95</v>
      </c>
      <c r="F2231" s="22">
        <f>'2085WH_W'!$R20</f>
        <v>0.10284631831310753</v>
      </c>
      <c r="G2231" s="22" t="s">
        <v>33</v>
      </c>
      <c r="H2231" s="22">
        <f>'2085WH_W'!$R20</f>
        <v>0.10284631831310753</v>
      </c>
      <c r="I2231" t="str">
        <f t="shared" si="165"/>
        <v>WH2085;winter;192;95;0.102846318313108;TRUE;0.102846318313108</v>
      </c>
    </row>
    <row r="2232" spans="1:9" x14ac:dyDescent="0.25">
      <c r="A2232">
        <f t="shared" si="164"/>
        <v>22.828125</v>
      </c>
      <c r="B2232" t="s">
        <v>26</v>
      </c>
      <c r="C2232" t="s">
        <v>7</v>
      </c>
      <c r="D2232">
        <v>192</v>
      </c>
      <c r="E2232">
        <f t="shared" si="168"/>
        <v>100</v>
      </c>
      <c r="F2232" s="22">
        <f>'2085WH_W'!$R21</f>
        <v>7.7851991456390379E-2</v>
      </c>
      <c r="G2232" s="22" t="s">
        <v>33</v>
      </c>
      <c r="H2232" s="22">
        <f>'2085WH_W'!$R21</f>
        <v>7.7851991456390379E-2</v>
      </c>
      <c r="I2232" t="str">
        <f t="shared" si="165"/>
        <v>WH2085;winter;192;100;7.78519914563904E-02;TRUE;7.78519914563904E-02</v>
      </c>
    </row>
    <row r="2233" spans="1:9" x14ac:dyDescent="0.25">
      <c r="A2233">
        <f t="shared" si="164"/>
        <v>22.828125</v>
      </c>
      <c r="B2233" t="s">
        <v>26</v>
      </c>
      <c r="C2233" t="s">
        <v>7</v>
      </c>
      <c r="D2233">
        <v>192</v>
      </c>
      <c r="E2233">
        <f t="shared" si="168"/>
        <v>105</v>
      </c>
      <c r="F2233" s="22">
        <f>'2085WH_W'!$R22</f>
        <v>5.8709141340259147E-2</v>
      </c>
      <c r="G2233" s="22" t="s">
        <v>33</v>
      </c>
      <c r="H2233" s="22">
        <f>'2085WH_W'!$R22</f>
        <v>5.8709141340259147E-2</v>
      </c>
      <c r="I2233" t="str">
        <f t="shared" si="165"/>
        <v>WH2085;winter;192;105;5.87091413402591E-02;TRUE;5.87091413402591E-02</v>
      </c>
    </row>
    <row r="2234" spans="1:9" x14ac:dyDescent="0.25">
      <c r="A2234">
        <f t="shared" si="164"/>
        <v>22.828125</v>
      </c>
      <c r="B2234" t="s">
        <v>26</v>
      </c>
      <c r="C2234" t="s">
        <v>7</v>
      </c>
      <c r="D2234">
        <v>192</v>
      </c>
      <c r="E2234">
        <f t="shared" si="168"/>
        <v>110</v>
      </c>
      <c r="F2234" s="22">
        <f>'2085WH_W'!$R23</f>
        <v>4.4101300460953785E-2</v>
      </c>
      <c r="G2234" s="22" t="s">
        <v>33</v>
      </c>
      <c r="H2234" s="22">
        <f>'2085WH_W'!$R23</f>
        <v>4.4101300460953785E-2</v>
      </c>
      <c r="I2234" t="str">
        <f t="shared" si="165"/>
        <v>WH2085;winter;192;110;4.41013004609538E-02;TRUE;4.41013004609538E-02</v>
      </c>
    </row>
    <row r="2235" spans="1:9" x14ac:dyDescent="0.25">
      <c r="A2235">
        <f t="shared" si="164"/>
        <v>22.828125</v>
      </c>
      <c r="B2235" t="s">
        <v>26</v>
      </c>
      <c r="C2235" t="s">
        <v>7</v>
      </c>
      <c r="D2235">
        <v>192</v>
      </c>
      <c r="E2235">
        <f t="shared" si="168"/>
        <v>115</v>
      </c>
      <c r="F2235" s="22">
        <f>'2085WH_W'!$R24</f>
        <v>3.299586112417946E-2</v>
      </c>
      <c r="G2235" s="22" t="s">
        <v>33</v>
      </c>
      <c r="H2235" s="22">
        <f>'2085WH_W'!$R24</f>
        <v>3.299586112417946E-2</v>
      </c>
      <c r="I2235" t="str">
        <f t="shared" si="165"/>
        <v>WH2085;winter;192;115;3.29958611241795E-02;TRUE;3.29958611241795E-02</v>
      </c>
    </row>
    <row r="2236" spans="1:9" x14ac:dyDescent="0.25">
      <c r="A2236">
        <f t="shared" si="164"/>
        <v>22.828125</v>
      </c>
      <c r="B2236" t="s">
        <v>26</v>
      </c>
      <c r="C2236" t="s">
        <v>7</v>
      </c>
      <c r="D2236">
        <v>192</v>
      </c>
      <c r="E2236">
        <f t="shared" si="168"/>
        <v>120</v>
      </c>
      <c r="F2236" s="22">
        <f>'2085WH_W'!$R25</f>
        <v>2.4585591967577411E-2</v>
      </c>
      <c r="G2236" s="22" t="s">
        <v>33</v>
      </c>
      <c r="H2236" s="22">
        <f>'2085WH_W'!$R25</f>
        <v>2.4585591967577411E-2</v>
      </c>
      <c r="I2236" t="str">
        <f t="shared" si="165"/>
        <v>WH2085;winter;192;120;2.45855919675774E-02;TRUE;2.45855919675774E-02</v>
      </c>
    </row>
    <row r="2237" spans="1:9" x14ac:dyDescent="0.25">
      <c r="A2237">
        <f t="shared" si="164"/>
        <v>22.828125</v>
      </c>
      <c r="B2237" t="s">
        <v>26</v>
      </c>
      <c r="C2237" t="s">
        <v>7</v>
      </c>
      <c r="D2237">
        <v>192</v>
      </c>
      <c r="E2237">
        <f t="shared" si="168"/>
        <v>125</v>
      </c>
      <c r="F2237" s="22">
        <f>'2085WH_W'!$R26</f>
        <v>1.8241628508630252E-2</v>
      </c>
      <c r="G2237" s="22" t="s">
        <v>33</v>
      </c>
      <c r="H2237" s="22">
        <f>'2085WH_W'!$R26</f>
        <v>1.8241628508630252E-2</v>
      </c>
      <c r="I2237" t="str">
        <f t="shared" si="165"/>
        <v>WH2085;winter;192;125;1.82416285086303E-02;TRUE;1.82416285086303E-02</v>
      </c>
    </row>
    <row r="2238" spans="1:9" x14ac:dyDescent="0.25">
      <c r="A2238">
        <f t="shared" si="164"/>
        <v>22.828125</v>
      </c>
      <c r="B2238" t="s">
        <v>26</v>
      </c>
      <c r="C2238" t="s">
        <v>7</v>
      </c>
      <c r="D2238">
        <v>192</v>
      </c>
      <c r="E2238">
        <f t="shared" si="168"/>
        <v>130</v>
      </c>
      <c r="F2238" s="22">
        <f>'2085WH_W'!$R27</f>
        <v>1.3475802375840805E-2</v>
      </c>
      <c r="G2238" s="22" t="s">
        <v>33</v>
      </c>
      <c r="H2238" s="22">
        <f>'2085WH_W'!$R27</f>
        <v>1.3475802375840805E-2</v>
      </c>
      <c r="I2238" t="str">
        <f t="shared" si="165"/>
        <v>WH2085;winter;192;130;1.34758023758408E-02;TRUE;1.34758023758408E-02</v>
      </c>
    </row>
    <row r="2239" spans="1:9" x14ac:dyDescent="0.25">
      <c r="A2239">
        <f t="shared" si="164"/>
        <v>22.828125</v>
      </c>
      <c r="B2239" t="s">
        <v>26</v>
      </c>
      <c r="C2239" t="s">
        <v>7</v>
      </c>
      <c r="D2239">
        <v>192</v>
      </c>
      <c r="E2239">
        <f t="shared" si="168"/>
        <v>135</v>
      </c>
      <c r="F2239" s="22">
        <f>'2085WH_W'!$R28</f>
        <v>9.9105491639655992E-3</v>
      </c>
      <c r="G2239" s="22" t="s">
        <v>33</v>
      </c>
      <c r="H2239" s="22">
        <f>'2085WH_W'!$R28</f>
        <v>9.9105491639655992E-3</v>
      </c>
      <c r="I2239" t="str">
        <f t="shared" si="165"/>
        <v>WH2085;winter;192;135;9.9105491639656E-03;TRUE;9.9105491639656E-03</v>
      </c>
    </row>
    <row r="2240" spans="1:9" x14ac:dyDescent="0.25">
      <c r="A2240">
        <f t="shared" si="164"/>
        <v>22.828125</v>
      </c>
      <c r="B2240" t="s">
        <v>26</v>
      </c>
      <c r="C2240" t="s">
        <v>7</v>
      </c>
      <c r="D2240">
        <v>192</v>
      </c>
      <c r="E2240">
        <f t="shared" si="168"/>
        <v>140</v>
      </c>
      <c r="F2240" s="22">
        <f>'2085WH_W'!$R29</f>
        <v>7.2549481701749061E-3</v>
      </c>
      <c r="G2240" s="22" t="s">
        <v>33</v>
      </c>
      <c r="H2240" s="22">
        <f>'2085WH_W'!$R29</f>
        <v>7.2549481701749061E-3</v>
      </c>
      <c r="I2240" t="str">
        <f t="shared" si="165"/>
        <v>WH2085;winter;192;140;7.25494817017491E-03;TRUE;7.25494817017491E-03</v>
      </c>
    </row>
    <row r="2241" spans="1:9" x14ac:dyDescent="0.25">
      <c r="A2241">
        <f t="shared" si="164"/>
        <v>22.828125</v>
      </c>
      <c r="B2241" t="s">
        <v>26</v>
      </c>
      <c r="C2241" t="s">
        <v>7</v>
      </c>
      <c r="D2241">
        <v>192</v>
      </c>
      <c r="E2241">
        <f t="shared" si="168"/>
        <v>145</v>
      </c>
      <c r="F2241" s="22">
        <f>'2085WH_W'!$R30</f>
        <v>5.2857081729690142E-3</v>
      </c>
      <c r="G2241" s="22" t="s">
        <v>33</v>
      </c>
      <c r="H2241" s="22">
        <f>'2085WH_W'!$R30</f>
        <v>5.2857081729690142E-3</v>
      </c>
      <c r="I2241" t="str">
        <f t="shared" si="165"/>
        <v>WH2085;winter;192;145;5.28570817296901E-03;TRUE;5.28570817296901E-03</v>
      </c>
    </row>
    <row r="2242" spans="1:9" x14ac:dyDescent="0.25">
      <c r="A2242">
        <f t="shared" ref="A2242:A2271" si="169">IF(C2242="zomer",24/D2242*365.25 * 6/12,24/D2242*365.25 * 6/12)</f>
        <v>22.828125</v>
      </c>
      <c r="B2242" t="s">
        <v>26</v>
      </c>
      <c r="C2242" t="s">
        <v>7</v>
      </c>
      <c r="D2242">
        <v>192</v>
      </c>
      <c r="E2242">
        <f t="shared" si="168"/>
        <v>150</v>
      </c>
      <c r="F2242" s="22">
        <f>'2085WH_W'!$R31</f>
        <v>3.832130098794035E-3</v>
      </c>
      <c r="G2242" s="22" t="s">
        <v>33</v>
      </c>
      <c r="H2242" s="22">
        <f>'2085WH_W'!$R31</f>
        <v>3.832130098794035E-3</v>
      </c>
      <c r="I2242" t="str">
        <f t="shared" ref="I2242:I2271" si="170">CONCATENATEWITHDELIMITER(B2242:H2242,";")</f>
        <v>WH2085;winter;192;150;3.83213009879404E-03;TRUE;3.83213009879404E-03</v>
      </c>
    </row>
    <row r="2243" spans="1:9" x14ac:dyDescent="0.25">
      <c r="A2243">
        <f t="shared" si="169"/>
        <v>22.828125</v>
      </c>
      <c r="B2243" t="s">
        <v>26</v>
      </c>
      <c r="C2243" t="s">
        <v>7</v>
      </c>
      <c r="D2243">
        <v>192</v>
      </c>
      <c r="E2243">
        <f t="shared" si="168"/>
        <v>155</v>
      </c>
      <c r="F2243" s="22">
        <f>'2085WH_W'!$R32</f>
        <v>9.467829333484043E-3</v>
      </c>
      <c r="G2243" s="22" t="s">
        <v>33</v>
      </c>
      <c r="H2243" s="22">
        <f>'2085WH_W'!$R32</f>
        <v>9.467829333484043E-3</v>
      </c>
      <c r="I2243" t="str">
        <f t="shared" si="170"/>
        <v>WH2085;winter;192;155;9.46782933348404E-03;TRUE;9.46782933348404E-03</v>
      </c>
    </row>
    <row r="2244" spans="1:9" x14ac:dyDescent="0.25">
      <c r="A2244">
        <f t="shared" si="169"/>
        <v>20.291666666666664</v>
      </c>
      <c r="B2244" t="s">
        <v>26</v>
      </c>
      <c r="C2244" t="s">
        <v>7</v>
      </c>
      <c r="D2244">
        <v>216</v>
      </c>
      <c r="E2244">
        <v>25</v>
      </c>
      <c r="F2244" s="22">
        <f>'2085WH_W'!$V6</f>
        <v>27.361249068432507</v>
      </c>
      <c r="G2244" s="22" t="s">
        <v>33</v>
      </c>
      <c r="H2244" s="22">
        <f>'2085WH_W'!$V6</f>
        <v>27.361249068432507</v>
      </c>
      <c r="I2244" t="str">
        <f t="shared" si="170"/>
        <v>WH2085;winter;216;25;27.3612490684325;TRUE;27.3612490684325</v>
      </c>
    </row>
    <row r="2245" spans="1:9" x14ac:dyDescent="0.25">
      <c r="A2245">
        <f t="shared" si="169"/>
        <v>20.291666666666664</v>
      </c>
      <c r="B2245" t="s">
        <v>26</v>
      </c>
      <c r="C2245" t="s">
        <v>7</v>
      </c>
      <c r="D2245">
        <v>216</v>
      </c>
      <c r="E2245">
        <f>E2244+5</f>
        <v>30</v>
      </c>
      <c r="F2245" s="22">
        <f>'2085WH_W'!$V7</f>
        <v>2.6437256713102801</v>
      </c>
      <c r="G2245" s="22" t="s">
        <v>33</v>
      </c>
      <c r="H2245" s="22">
        <f>'2085WH_W'!$V7</f>
        <v>2.6437256713102801</v>
      </c>
      <c r="I2245" t="str">
        <f t="shared" si="170"/>
        <v>WH2085;winter;216;30;2.64372567131028;TRUE;2.64372567131028</v>
      </c>
    </row>
    <row r="2246" spans="1:9" x14ac:dyDescent="0.25">
      <c r="A2246">
        <f t="shared" si="169"/>
        <v>20.291666666666664</v>
      </c>
      <c r="B2246" t="s">
        <v>26</v>
      </c>
      <c r="C2246" t="s">
        <v>7</v>
      </c>
      <c r="D2246">
        <v>216</v>
      </c>
      <c r="E2246">
        <f t="shared" ref="E2246:E2271" si="171">E2245+5</f>
        <v>35</v>
      </c>
      <c r="F2246" s="22">
        <f>'2085WH_W'!$V8</f>
        <v>2.1419879768492844</v>
      </c>
      <c r="G2246" s="22" t="s">
        <v>33</v>
      </c>
      <c r="H2246" s="22">
        <f>'2085WH_W'!$V8</f>
        <v>2.1419879768492844</v>
      </c>
      <c r="I2246" t="str">
        <f t="shared" si="170"/>
        <v>WH2085;winter;216;35;2.14198797684928;TRUE;2.14198797684928</v>
      </c>
    </row>
    <row r="2247" spans="1:9" x14ac:dyDescent="0.25">
      <c r="A2247">
        <f t="shared" si="169"/>
        <v>20.291666666666664</v>
      </c>
      <c r="B2247" t="s">
        <v>26</v>
      </c>
      <c r="C2247" t="s">
        <v>7</v>
      </c>
      <c r="D2247">
        <v>216</v>
      </c>
      <c r="E2247">
        <f t="shared" si="171"/>
        <v>40</v>
      </c>
      <c r="F2247" s="22">
        <f>'2085WH_W'!$V9</f>
        <v>1.7302389514131811</v>
      </c>
      <c r="G2247" s="22" t="s">
        <v>33</v>
      </c>
      <c r="H2247" s="22">
        <f>'2085WH_W'!$V9</f>
        <v>1.7302389514131811</v>
      </c>
      <c r="I2247" t="str">
        <f t="shared" si="170"/>
        <v>WH2085;winter;216;40;1.73023895141318;TRUE;1.73023895141318</v>
      </c>
    </row>
    <row r="2248" spans="1:9" x14ac:dyDescent="0.25">
      <c r="A2248">
        <f t="shared" si="169"/>
        <v>20.291666666666664</v>
      </c>
      <c r="B2248" t="s">
        <v>26</v>
      </c>
      <c r="C2248" t="s">
        <v>7</v>
      </c>
      <c r="D2248">
        <v>216</v>
      </c>
      <c r="E2248">
        <f t="shared" si="171"/>
        <v>45</v>
      </c>
      <c r="F2248" s="22">
        <f>'2085WH_W'!$V10</f>
        <v>1.3933023640118689</v>
      </c>
      <c r="G2248" s="22" t="s">
        <v>33</v>
      </c>
      <c r="H2248" s="22">
        <f>'2085WH_W'!$V10</f>
        <v>1.3933023640118689</v>
      </c>
      <c r="I2248" t="str">
        <f t="shared" si="170"/>
        <v>WH2085;winter;216;45;1.39330236401187;TRUE;1.39330236401187</v>
      </c>
    </row>
    <row r="2249" spans="1:9" x14ac:dyDescent="0.25">
      <c r="A2249">
        <f t="shared" si="169"/>
        <v>20.291666666666664</v>
      </c>
      <c r="B2249" t="s">
        <v>26</v>
      </c>
      <c r="C2249" t="s">
        <v>7</v>
      </c>
      <c r="D2249">
        <v>216</v>
      </c>
      <c r="E2249">
        <f t="shared" si="171"/>
        <v>50</v>
      </c>
      <c r="F2249" s="22">
        <f>'2085WH_W'!$V11</f>
        <v>1.1183945012108056</v>
      </c>
      <c r="G2249" s="22" t="s">
        <v>33</v>
      </c>
      <c r="H2249" s="22">
        <f>'2085WH_W'!$V11</f>
        <v>1.1183945012108056</v>
      </c>
      <c r="I2249" t="str">
        <f t="shared" si="170"/>
        <v>WH2085;winter;216;50;1.11839450121081;TRUE;1.11839450121081</v>
      </c>
    </row>
    <row r="2250" spans="1:9" x14ac:dyDescent="0.25">
      <c r="A2250">
        <f t="shared" si="169"/>
        <v>20.291666666666664</v>
      </c>
      <c r="B2250" t="s">
        <v>26</v>
      </c>
      <c r="C2250" t="s">
        <v>7</v>
      </c>
      <c r="D2250">
        <v>216</v>
      </c>
      <c r="E2250">
        <f t="shared" si="171"/>
        <v>55</v>
      </c>
      <c r="F2250" s="22">
        <f>'2085WH_W'!$V12</f>
        <v>0.89477401992241656</v>
      </c>
      <c r="G2250" s="22" t="s">
        <v>33</v>
      </c>
      <c r="H2250" s="22">
        <f>'2085WH_W'!$V12</f>
        <v>0.89477401992241656</v>
      </c>
      <c r="I2250" t="str">
        <f t="shared" si="170"/>
        <v>WH2085;winter;216;55;0.894774019922417;TRUE;0.894774019922417</v>
      </c>
    </row>
    <row r="2251" spans="1:9" x14ac:dyDescent="0.25">
      <c r="A2251">
        <f t="shared" si="169"/>
        <v>20.291666666666664</v>
      </c>
      <c r="B2251" t="s">
        <v>26</v>
      </c>
      <c r="C2251" t="s">
        <v>7</v>
      </c>
      <c r="D2251">
        <v>216</v>
      </c>
      <c r="E2251">
        <f t="shared" si="171"/>
        <v>60</v>
      </c>
      <c r="F2251" s="22">
        <f>'2085WH_W'!$V13</f>
        <v>0.71343897876059481</v>
      </c>
      <c r="G2251" s="22" t="s">
        <v>33</v>
      </c>
      <c r="H2251" s="22">
        <f>'2085WH_W'!$V13</f>
        <v>0.71343897876059481</v>
      </c>
      <c r="I2251" t="str">
        <f t="shared" si="170"/>
        <v>WH2085;winter;216;60;0.713438978760595;TRUE;0.713438978760595</v>
      </c>
    </row>
    <row r="2252" spans="1:9" x14ac:dyDescent="0.25">
      <c r="A2252">
        <f t="shared" si="169"/>
        <v>20.291666666666664</v>
      </c>
      <c r="B2252" t="s">
        <v>26</v>
      </c>
      <c r="C2252" t="s">
        <v>7</v>
      </c>
      <c r="D2252">
        <v>216</v>
      </c>
      <c r="E2252">
        <f t="shared" si="171"/>
        <v>65</v>
      </c>
      <c r="F2252" s="22">
        <f>'2085WH_W'!$V14</f>
        <v>0.56686525440705138</v>
      </c>
      <c r="G2252" s="22" t="s">
        <v>33</v>
      </c>
      <c r="H2252" s="22">
        <f>'2085WH_W'!$V14</f>
        <v>0.56686525440705138</v>
      </c>
      <c r="I2252" t="str">
        <f t="shared" si="170"/>
        <v>WH2085;winter;216;65;0.566865254407051;TRUE;0.566865254407051</v>
      </c>
    </row>
    <row r="2253" spans="1:9" x14ac:dyDescent="0.25">
      <c r="A2253">
        <f t="shared" si="169"/>
        <v>20.291666666666664</v>
      </c>
      <c r="B2253" t="s">
        <v>26</v>
      </c>
      <c r="C2253" t="s">
        <v>7</v>
      </c>
      <c r="D2253">
        <v>216</v>
      </c>
      <c r="E2253">
        <f t="shared" si="171"/>
        <v>70</v>
      </c>
      <c r="F2253" s="22">
        <f>'2085WH_W'!$V15</f>
        <v>0.44878118974681036</v>
      </c>
      <c r="G2253" s="22" t="s">
        <v>33</v>
      </c>
      <c r="H2253" s="22">
        <f>'2085WH_W'!$V15</f>
        <v>0.44878118974681036</v>
      </c>
      <c r="I2253" t="str">
        <f t="shared" si="170"/>
        <v>WH2085;winter;216;70;0.44878118974681;TRUE;0.44878118974681</v>
      </c>
    </row>
    <row r="2254" spans="1:9" x14ac:dyDescent="0.25">
      <c r="A2254">
        <f t="shared" si="169"/>
        <v>20.291666666666664</v>
      </c>
      <c r="B2254" t="s">
        <v>26</v>
      </c>
      <c r="C2254" t="s">
        <v>7</v>
      </c>
      <c r="D2254">
        <v>216</v>
      </c>
      <c r="E2254">
        <f t="shared" si="171"/>
        <v>75</v>
      </c>
      <c r="F2254" s="22">
        <f>'2085WH_W'!$V16</f>
        <v>0.35397389816213098</v>
      </c>
      <c r="G2254" s="22" t="s">
        <v>33</v>
      </c>
      <c r="H2254" s="22">
        <f>'2085WH_W'!$V16</f>
        <v>0.35397389816213098</v>
      </c>
      <c r="I2254" t="str">
        <f t="shared" si="170"/>
        <v>WH2085;winter;216;75;0.353973898162131;TRUE;0.353973898162131</v>
      </c>
    </row>
    <row r="2255" spans="1:9" x14ac:dyDescent="0.25">
      <c r="A2255">
        <f t="shared" si="169"/>
        <v>20.291666666666664</v>
      </c>
      <c r="B2255" t="s">
        <v>26</v>
      </c>
      <c r="C2255" t="s">
        <v>7</v>
      </c>
      <c r="D2255">
        <v>216</v>
      </c>
      <c r="E2255">
        <f t="shared" si="171"/>
        <v>80</v>
      </c>
      <c r="F2255" s="22">
        <f>'2085WH_W'!$V17</f>
        <v>0.27812316864605902</v>
      </c>
      <c r="G2255" s="22" t="s">
        <v>33</v>
      </c>
      <c r="H2255" s="22">
        <f>'2085WH_W'!$V17</f>
        <v>0.27812316864605902</v>
      </c>
      <c r="I2255" t="str">
        <f t="shared" si="170"/>
        <v>WH2085;winter;216;80;0.278123168646059;TRUE;0.278123168646059</v>
      </c>
    </row>
    <row r="2256" spans="1:9" x14ac:dyDescent="0.25">
      <c r="A2256">
        <f t="shared" si="169"/>
        <v>20.291666666666664</v>
      </c>
      <c r="B2256" t="s">
        <v>26</v>
      </c>
      <c r="C2256" t="s">
        <v>7</v>
      </c>
      <c r="D2256">
        <v>216</v>
      </c>
      <c r="E2256">
        <f t="shared" si="171"/>
        <v>85</v>
      </c>
      <c r="F2256" s="22">
        <f>'2085WH_W'!$V18</f>
        <v>0.21765938425367437</v>
      </c>
      <c r="G2256" s="22" t="s">
        <v>33</v>
      </c>
      <c r="H2256" s="22">
        <f>'2085WH_W'!$V18</f>
        <v>0.21765938425367437</v>
      </c>
      <c r="I2256" t="str">
        <f t="shared" si="170"/>
        <v>WH2085;winter;216;85;0.217659384253674;TRUE;0.217659384253674</v>
      </c>
    </row>
    <row r="2257" spans="1:9" x14ac:dyDescent="0.25">
      <c r="A2257">
        <f t="shared" si="169"/>
        <v>20.291666666666664</v>
      </c>
      <c r="B2257" t="s">
        <v>26</v>
      </c>
      <c r="C2257" t="s">
        <v>7</v>
      </c>
      <c r="D2257">
        <v>216</v>
      </c>
      <c r="E2257">
        <f t="shared" si="171"/>
        <v>90</v>
      </c>
      <c r="F2257" s="22">
        <f>'2085WH_W'!$V19</f>
        <v>0.16964228642970003</v>
      </c>
      <c r="G2257" s="22" t="s">
        <v>33</v>
      </c>
      <c r="H2257" s="22">
        <f>'2085WH_W'!$V19</f>
        <v>0.16964228642970003</v>
      </c>
      <c r="I2257" t="str">
        <f t="shared" si="170"/>
        <v>WH2085;winter;216;90;0.1696422864297;TRUE;0.1696422864297</v>
      </c>
    </row>
    <row r="2258" spans="1:9" x14ac:dyDescent="0.25">
      <c r="A2258">
        <f t="shared" si="169"/>
        <v>20.291666666666664</v>
      </c>
      <c r="B2258" t="s">
        <v>26</v>
      </c>
      <c r="C2258" t="s">
        <v>7</v>
      </c>
      <c r="D2258">
        <v>216</v>
      </c>
      <c r="E2258">
        <f t="shared" si="171"/>
        <v>95</v>
      </c>
      <c r="F2258" s="22">
        <f>'2085WH_W'!$V20</f>
        <v>0.13165779418046686</v>
      </c>
      <c r="G2258" s="22" t="s">
        <v>33</v>
      </c>
      <c r="H2258" s="22">
        <f>'2085WH_W'!$V20</f>
        <v>0.13165779418046686</v>
      </c>
      <c r="I2258" t="str">
        <f t="shared" si="170"/>
        <v>WH2085;winter;216;95;0.131657794180467;TRUE;0.131657794180467</v>
      </c>
    </row>
    <row r="2259" spans="1:9" x14ac:dyDescent="0.25">
      <c r="A2259">
        <f t="shared" si="169"/>
        <v>20.291666666666664</v>
      </c>
      <c r="B2259" t="s">
        <v>26</v>
      </c>
      <c r="C2259" t="s">
        <v>7</v>
      </c>
      <c r="D2259">
        <v>216</v>
      </c>
      <c r="E2259">
        <f t="shared" si="171"/>
        <v>100</v>
      </c>
      <c r="F2259" s="22">
        <f>'2085WH_W'!$V21</f>
        <v>0.10173042382194719</v>
      </c>
      <c r="G2259" s="22" t="s">
        <v>33</v>
      </c>
      <c r="H2259" s="22">
        <f>'2085WH_W'!$V21</f>
        <v>0.10173042382194719</v>
      </c>
      <c r="I2259" t="str">
        <f t="shared" si="170"/>
        <v>WH2085;winter;216;100;0.101730423821947;TRUE;0.101730423821947</v>
      </c>
    </row>
    <row r="2260" spans="1:9" x14ac:dyDescent="0.25">
      <c r="A2260">
        <f t="shared" si="169"/>
        <v>20.291666666666664</v>
      </c>
      <c r="B2260" t="s">
        <v>26</v>
      </c>
      <c r="C2260" t="s">
        <v>7</v>
      </c>
      <c r="D2260">
        <v>216</v>
      </c>
      <c r="E2260">
        <f t="shared" si="171"/>
        <v>105</v>
      </c>
      <c r="F2260" s="22">
        <f>'2085WH_W'!$V22</f>
        <v>7.8249155762774553E-2</v>
      </c>
      <c r="G2260" s="22" t="s">
        <v>33</v>
      </c>
      <c r="H2260" s="22">
        <f>'2085WH_W'!$V22</f>
        <v>7.8249155762774553E-2</v>
      </c>
      <c r="I2260" t="str">
        <f t="shared" si="170"/>
        <v>WH2085;winter;216;105;7.82491557627746E-02;TRUE;7.82491557627746E-02</v>
      </c>
    </row>
    <row r="2261" spans="1:9" x14ac:dyDescent="0.25">
      <c r="A2261">
        <f t="shared" si="169"/>
        <v>20.291666666666664</v>
      </c>
      <c r="B2261" t="s">
        <v>26</v>
      </c>
      <c r="C2261" t="s">
        <v>7</v>
      </c>
      <c r="D2261">
        <v>216</v>
      </c>
      <c r="E2261">
        <f t="shared" si="171"/>
        <v>110</v>
      </c>
      <c r="F2261" s="22">
        <f>'2085WH_W'!$V23</f>
        <v>5.9904862819597837E-2</v>
      </c>
      <c r="G2261" s="22" t="s">
        <v>33</v>
      </c>
      <c r="H2261" s="22">
        <f>'2085WH_W'!$V23</f>
        <v>5.9904862819597837E-2</v>
      </c>
      <c r="I2261" t="str">
        <f t="shared" si="170"/>
        <v>WH2085;winter;216;110;5.99048628195978E-02;TRUE;5.99048628195978E-02</v>
      </c>
    </row>
    <row r="2262" spans="1:9" x14ac:dyDescent="0.25">
      <c r="A2262">
        <f t="shared" si="169"/>
        <v>20.291666666666664</v>
      </c>
      <c r="B2262" t="s">
        <v>26</v>
      </c>
      <c r="C2262" t="s">
        <v>7</v>
      </c>
      <c r="D2262">
        <v>216</v>
      </c>
      <c r="E2262">
        <f t="shared" si="171"/>
        <v>115</v>
      </c>
      <c r="F2262" s="22">
        <f>'2085WH_W'!$V24</f>
        <v>4.5637652998539863E-2</v>
      </c>
      <c r="G2262" s="22" t="s">
        <v>33</v>
      </c>
      <c r="H2262" s="22">
        <f>'2085WH_W'!$V24</f>
        <v>4.5637652998539863E-2</v>
      </c>
      <c r="I2262" t="str">
        <f t="shared" si="170"/>
        <v>WH2085;winter;216;115;4.56376529985399E-02;TRUE;4.56376529985399E-02</v>
      </c>
    </row>
    <row r="2263" spans="1:9" x14ac:dyDescent="0.25">
      <c r="A2263">
        <f t="shared" si="169"/>
        <v>20.291666666666664</v>
      </c>
      <c r="B2263" t="s">
        <v>26</v>
      </c>
      <c r="C2263" t="s">
        <v>7</v>
      </c>
      <c r="D2263">
        <v>216</v>
      </c>
      <c r="E2263">
        <f t="shared" si="171"/>
        <v>120</v>
      </c>
      <c r="F2263" s="22">
        <f>'2085WH_W'!$V25</f>
        <v>3.4592691350753726E-2</v>
      </c>
      <c r="G2263" s="22" t="s">
        <v>33</v>
      </c>
      <c r="H2263" s="22">
        <f>'2085WH_W'!$V25</f>
        <v>3.4592691350753726E-2</v>
      </c>
      <c r="I2263" t="str">
        <f t="shared" si="170"/>
        <v>WH2085;winter;216;120;3.45926913507537E-02;TRUE;3.45926913507537E-02</v>
      </c>
    </row>
    <row r="2264" spans="1:9" x14ac:dyDescent="0.25">
      <c r="A2264">
        <f t="shared" si="169"/>
        <v>20.291666666666664</v>
      </c>
      <c r="B2264" t="s">
        <v>26</v>
      </c>
      <c r="C2264" t="s">
        <v>7</v>
      </c>
      <c r="D2264">
        <v>216</v>
      </c>
      <c r="E2264">
        <f t="shared" si="171"/>
        <v>125</v>
      </c>
      <c r="F2264" s="22">
        <f>'2085WH_W'!$V26</f>
        <v>2.6083253032749207E-2</v>
      </c>
      <c r="G2264" s="22" t="s">
        <v>33</v>
      </c>
      <c r="H2264" s="22">
        <f>'2085WH_W'!$V26</f>
        <v>2.6083253032749207E-2</v>
      </c>
      <c r="I2264" t="str">
        <f t="shared" si="170"/>
        <v>WH2085;winter;216;125;2.60832530327492E-02;TRUE;2.60832530327492E-02</v>
      </c>
    </row>
    <row r="2265" spans="1:9" x14ac:dyDescent="0.25">
      <c r="A2265">
        <f t="shared" si="169"/>
        <v>20.291666666666664</v>
      </c>
      <c r="B2265" t="s">
        <v>26</v>
      </c>
      <c r="C2265" t="s">
        <v>7</v>
      </c>
      <c r="D2265">
        <v>216</v>
      </c>
      <c r="E2265">
        <f t="shared" si="171"/>
        <v>130</v>
      </c>
      <c r="F2265" s="22">
        <f>'2085WH_W'!$V27</f>
        <v>1.9559925468583872E-2</v>
      </c>
      <c r="G2265" s="22" t="s">
        <v>33</v>
      </c>
      <c r="H2265" s="22">
        <f>'2085WH_W'!$V27</f>
        <v>1.9559925468583872E-2</v>
      </c>
      <c r="I2265" t="str">
        <f t="shared" si="170"/>
        <v>WH2085;winter;216;130;1.95599254685839E-02;TRUE;1.95599254685839E-02</v>
      </c>
    </row>
    <row r="2266" spans="1:9" x14ac:dyDescent="0.25">
      <c r="A2266">
        <f t="shared" si="169"/>
        <v>20.291666666666664</v>
      </c>
      <c r="B2266" t="s">
        <v>26</v>
      </c>
      <c r="C2266" t="s">
        <v>7</v>
      </c>
      <c r="D2266">
        <v>216</v>
      </c>
      <c r="E2266">
        <f t="shared" si="171"/>
        <v>135</v>
      </c>
      <c r="F2266" s="22">
        <f>'2085WH_W'!$V28</f>
        <v>1.4585023716006396E-2</v>
      </c>
      <c r="G2266" s="22" t="s">
        <v>33</v>
      </c>
      <c r="H2266" s="22">
        <f>'2085WH_W'!$V28</f>
        <v>1.4585023716006396E-2</v>
      </c>
      <c r="I2266" t="str">
        <f t="shared" si="170"/>
        <v>WH2085;winter;216;135;1.45850237160064E-02;TRUE;1.45850237160064E-02</v>
      </c>
    </row>
    <row r="2267" spans="1:9" x14ac:dyDescent="0.25">
      <c r="A2267">
        <f t="shared" si="169"/>
        <v>20.291666666666664</v>
      </c>
      <c r="B2267" t="s">
        <v>26</v>
      </c>
      <c r="C2267" t="s">
        <v>7</v>
      </c>
      <c r="D2267">
        <v>216</v>
      </c>
      <c r="E2267">
        <f t="shared" si="171"/>
        <v>140</v>
      </c>
      <c r="F2267" s="22">
        <f>'2085WH_W'!$V29</f>
        <v>1.0811411790116687E-2</v>
      </c>
      <c r="G2267" s="22" t="s">
        <v>33</v>
      </c>
      <c r="H2267" s="22">
        <f>'2085WH_W'!$V29</f>
        <v>1.0811411790116687E-2</v>
      </c>
      <c r="I2267" t="str">
        <f t="shared" si="170"/>
        <v>WH2085;winter;216;140;1.08114117901167E-02;TRUE;1.08114117901167E-02</v>
      </c>
    </row>
    <row r="2268" spans="1:9" x14ac:dyDescent="0.25">
      <c r="A2268">
        <f t="shared" si="169"/>
        <v>20.291666666666664</v>
      </c>
      <c r="B2268" t="s">
        <v>26</v>
      </c>
      <c r="C2268" t="s">
        <v>7</v>
      </c>
      <c r="D2268">
        <v>216</v>
      </c>
      <c r="E2268">
        <f t="shared" si="171"/>
        <v>145</v>
      </c>
      <c r="F2268" s="22">
        <f>'2085WH_W'!$V30</f>
        <v>7.9650356296405884E-3</v>
      </c>
      <c r="G2268" s="22" t="s">
        <v>33</v>
      </c>
      <c r="H2268" s="22">
        <f>'2085WH_W'!$V30</f>
        <v>7.9650356296405884E-3</v>
      </c>
      <c r="I2268" t="str">
        <f t="shared" si="170"/>
        <v>WH2085;winter;216;145;7.96503562964059E-03;TRUE;7.96503562964059E-03</v>
      </c>
    </row>
    <row r="2269" spans="1:9" x14ac:dyDescent="0.25">
      <c r="A2269">
        <f t="shared" si="169"/>
        <v>20.291666666666664</v>
      </c>
      <c r="B2269" t="s">
        <v>26</v>
      </c>
      <c r="C2269" t="s">
        <v>7</v>
      </c>
      <c r="D2269">
        <v>216</v>
      </c>
      <c r="E2269">
        <f t="shared" si="171"/>
        <v>150</v>
      </c>
      <c r="F2269" s="22">
        <f>'2085WH_W'!$V31</f>
        <v>5.8305722744381571E-3</v>
      </c>
      <c r="G2269" s="22" t="s">
        <v>33</v>
      </c>
      <c r="H2269" s="22">
        <f>'2085WH_W'!$V31</f>
        <v>5.8305722744381571E-3</v>
      </c>
      <c r="I2269" t="str">
        <f t="shared" si="170"/>
        <v>WH2085;winter;216;150;5.83057227443816E-03;TRUE;5.83057227443816E-03</v>
      </c>
    </row>
    <row r="2270" spans="1:9" x14ac:dyDescent="0.25">
      <c r="A2270">
        <f t="shared" si="169"/>
        <v>20.291666666666664</v>
      </c>
      <c r="B2270" t="s">
        <v>26</v>
      </c>
      <c r="C2270" t="s">
        <v>7</v>
      </c>
      <c r="D2270">
        <v>216</v>
      </c>
      <c r="E2270">
        <f t="shared" si="171"/>
        <v>155</v>
      </c>
      <c r="F2270" s="22">
        <f>'2085WH_W'!$V32</f>
        <v>4.2396861797859165E-3</v>
      </c>
      <c r="G2270" s="22" t="s">
        <v>33</v>
      </c>
      <c r="H2270" s="22">
        <f>'2085WH_W'!$V32</f>
        <v>4.2396861797859165E-3</v>
      </c>
      <c r="I2270" t="str">
        <f t="shared" si="170"/>
        <v>WH2085;winter;216;155;4.23968617978592E-03;TRUE;4.23968617978592E-03</v>
      </c>
    </row>
    <row r="2271" spans="1:9" x14ac:dyDescent="0.25">
      <c r="A2271">
        <f t="shared" si="169"/>
        <v>20.291666666666664</v>
      </c>
      <c r="B2271" t="s">
        <v>26</v>
      </c>
      <c r="C2271" t="s">
        <v>7</v>
      </c>
      <c r="D2271">
        <v>216</v>
      </c>
      <c r="E2271">
        <f t="shared" si="171"/>
        <v>160</v>
      </c>
      <c r="F2271" s="22">
        <f>'2085WH_W'!$V33</f>
        <v>1.0329130751561565E-2</v>
      </c>
      <c r="G2271" s="22" t="s">
        <v>33</v>
      </c>
      <c r="H2271" s="22">
        <f>'2085WH_W'!$V33</f>
        <v>1.0329130751561565E-2</v>
      </c>
      <c r="I2271" t="str">
        <f t="shared" si="170"/>
        <v>WH2085;winter;216;160;1.03291307515616E-02;TRUE;1.03291307515616E-02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368C68-A462-45EA-A2CC-B240AD46F138}">
  <sheetPr codeName="Blad24">
    <tabColor theme="8" tint="-0.249977111117893"/>
  </sheetPr>
  <dimension ref="A1:V41"/>
  <sheetViews>
    <sheetView workbookViewId="0">
      <selection activeCell="F30" sqref="F30"/>
    </sheetView>
  </sheetViews>
  <sheetFormatPr defaultColWidth="9.140625" defaultRowHeight="15" x14ac:dyDescent="0.25"/>
  <cols>
    <col min="1" max="1" width="11.42578125" bestFit="1" customWidth="1"/>
    <col min="2" max="2" width="13.28515625" bestFit="1" customWidth="1"/>
    <col min="3" max="3" width="9.5703125" bestFit="1" customWidth="1"/>
    <col min="4" max="4" width="12.28515625" style="19" bestFit="1" customWidth="1"/>
    <col min="5" max="5" width="12" style="19" bestFit="1" customWidth="1"/>
    <col min="6" max="6" width="13.7109375" style="28" bestFit="1" customWidth="1"/>
    <col min="8" max="8" width="12.28515625" bestFit="1" customWidth="1"/>
    <col min="9" max="9" width="12" bestFit="1" customWidth="1"/>
    <col min="10" max="10" width="13.7109375" bestFit="1" customWidth="1"/>
    <col min="12" max="12" width="12.28515625" bestFit="1" customWidth="1"/>
    <col min="13" max="13" width="18.85546875" bestFit="1" customWidth="1"/>
    <col min="14" max="14" width="12" bestFit="1" customWidth="1"/>
    <col min="15" max="15" width="7.7109375" bestFit="1" customWidth="1"/>
    <col min="16" max="16" width="12.28515625" bestFit="1" customWidth="1"/>
    <col min="17" max="17" width="16.42578125" bestFit="1" customWidth="1"/>
    <col min="18" max="18" width="12" bestFit="1" customWidth="1"/>
    <col min="19" max="19" width="7.7109375" bestFit="1" customWidth="1"/>
    <col min="20" max="20" width="12.28515625" bestFit="1" customWidth="1"/>
    <col min="21" max="21" width="11.42578125" bestFit="1" customWidth="1"/>
    <col min="22" max="22" width="13.7109375" customWidth="1"/>
    <col min="23" max="23" width="22.5703125" bestFit="1" customWidth="1"/>
    <col min="24" max="24" width="22.42578125" bestFit="1" customWidth="1"/>
    <col min="26" max="26" width="18.85546875" bestFit="1" customWidth="1"/>
  </cols>
  <sheetData>
    <row r="1" spans="1:22" x14ac:dyDescent="0.25">
      <c r="A1" s="50" t="s">
        <v>15</v>
      </c>
      <c r="B1" s="51"/>
      <c r="C1" s="63">
        <v>24</v>
      </c>
      <c r="D1" s="64"/>
      <c r="E1" s="64"/>
      <c r="F1" s="65"/>
      <c r="G1" s="66">
        <v>48</v>
      </c>
      <c r="H1" s="67"/>
      <c r="I1" s="67"/>
      <c r="J1" s="68"/>
      <c r="K1" s="66">
        <v>96</v>
      </c>
      <c r="L1" s="67"/>
      <c r="M1" s="67"/>
      <c r="N1" s="68"/>
      <c r="O1" s="66">
        <v>192</v>
      </c>
      <c r="P1" s="67"/>
      <c r="Q1" s="67"/>
      <c r="R1" s="68"/>
      <c r="S1" s="60">
        <v>216</v>
      </c>
      <c r="T1" s="61"/>
      <c r="U1" s="61"/>
      <c r="V1" s="62"/>
    </row>
    <row r="2" spans="1:22" x14ac:dyDescent="0.25">
      <c r="A2" s="52"/>
      <c r="B2" s="53"/>
      <c r="C2" s="57" t="s">
        <v>9</v>
      </c>
      <c r="D2" s="58"/>
      <c r="E2" s="59"/>
      <c r="F2" s="30">
        <f>24/24*365.25</f>
        <v>365.25</v>
      </c>
      <c r="G2" s="54" t="s">
        <v>9</v>
      </c>
      <c r="H2" s="55"/>
      <c r="I2" s="56"/>
      <c r="J2" s="30">
        <f>24/48*365.25</f>
        <v>182.625</v>
      </c>
      <c r="K2" s="54" t="s">
        <v>9</v>
      </c>
      <c r="L2" s="55"/>
      <c r="M2" s="56"/>
      <c r="N2" s="30">
        <f>24/96*365.25</f>
        <v>91.3125</v>
      </c>
      <c r="O2" s="54" t="s">
        <v>9</v>
      </c>
      <c r="P2" s="55"/>
      <c r="Q2" s="56"/>
      <c r="R2" s="30">
        <f>24/192*365.25</f>
        <v>45.65625</v>
      </c>
      <c r="S2" s="54" t="s">
        <v>9</v>
      </c>
      <c r="T2" s="55"/>
      <c r="U2" s="56"/>
      <c r="V2" s="30">
        <f>24/216*365.25</f>
        <v>40.583333333333329</v>
      </c>
    </row>
    <row r="3" spans="1:22" x14ac:dyDescent="0.25">
      <c r="A3" s="34" t="s">
        <v>12</v>
      </c>
      <c r="B3" s="31" t="s">
        <v>14</v>
      </c>
      <c r="C3" s="34" t="s">
        <v>8</v>
      </c>
      <c r="D3" s="38" t="s">
        <v>10</v>
      </c>
      <c r="E3" s="39" t="s">
        <v>17</v>
      </c>
      <c r="F3" s="36" t="s">
        <v>13</v>
      </c>
      <c r="G3" s="34" t="s">
        <v>8</v>
      </c>
      <c r="H3" s="38" t="s">
        <v>10</v>
      </c>
      <c r="I3" s="39" t="s">
        <v>17</v>
      </c>
      <c r="J3" s="29" t="s">
        <v>13</v>
      </c>
      <c r="K3" s="34" t="s">
        <v>8</v>
      </c>
      <c r="L3" s="38" t="s">
        <v>10</v>
      </c>
      <c r="M3" s="39" t="s">
        <v>17</v>
      </c>
      <c r="N3" s="29" t="s">
        <v>13</v>
      </c>
      <c r="O3" s="34" t="s">
        <v>8</v>
      </c>
      <c r="P3" s="38" t="s">
        <v>10</v>
      </c>
      <c r="Q3" s="39" t="s">
        <v>17</v>
      </c>
      <c r="R3" s="29" t="s">
        <v>13</v>
      </c>
      <c r="S3" s="34" t="s">
        <v>8</v>
      </c>
      <c r="T3" s="38" t="s">
        <v>10</v>
      </c>
      <c r="U3" s="39" t="s">
        <v>17</v>
      </c>
      <c r="V3" s="29" t="s">
        <v>13</v>
      </c>
    </row>
    <row r="4" spans="1:22" x14ac:dyDescent="0.25">
      <c r="A4" s="34">
        <v>17.5</v>
      </c>
      <c r="B4" s="12">
        <f>A4-2.5</f>
        <v>15</v>
      </c>
      <c r="C4" s="5">
        <f>1-GEVCUM(KVD!$D$3,KVD!$E$3,KVD!$F$3,$A4)</f>
        <v>0.99978934457117064</v>
      </c>
      <c r="D4" s="2">
        <f t="shared" ref="D4:D22" si="0">-LN(1-C4)</f>
        <v>8.4652867980727837</v>
      </c>
      <c r="E4" s="2">
        <f t="shared" ref="E4:E22" si="1">1/D4</f>
        <v>0.11812948856353704</v>
      </c>
      <c r="F4" s="34">
        <f>KLASSEFREQUENTIEUITHERHALINGSTIJD(F$2,E3,E4,E5)</f>
        <v>356.78471320192722</v>
      </c>
      <c r="G4" s="35">
        <f>1-GEVCUM(KVD!$D$4,KVD!$E$4,KVD!$F$4,$A4)</f>
        <v>0.99999918431227885</v>
      </c>
      <c r="H4" s="2">
        <f t="shared" ref="H4:H23" si="2">-LN(1-G4)</f>
        <v>14.019234249903656</v>
      </c>
      <c r="I4" s="37">
        <f t="shared" ref="I4:I23" si="3">1/H4</f>
        <v>7.133057213926447E-2</v>
      </c>
      <c r="J4" s="34">
        <f>KLASSEFREQUENTIEUITHERHALINGSTIJD(J$2,I3,I4,I5)</f>
        <v>168.60576575009634</v>
      </c>
      <c r="K4" s="35"/>
      <c r="L4" s="2"/>
      <c r="M4" s="37"/>
      <c r="N4" s="34"/>
      <c r="O4" s="35"/>
      <c r="P4" s="2"/>
      <c r="Q4" s="37"/>
      <c r="R4" s="34"/>
      <c r="S4" s="35"/>
      <c r="T4" s="2"/>
      <c r="U4" s="37"/>
      <c r="V4" s="31"/>
    </row>
    <row r="5" spans="1:22" x14ac:dyDescent="0.25">
      <c r="A5" s="23">
        <f t="shared" ref="A5:A41" si="4">A4+5</f>
        <v>22.5</v>
      </c>
      <c r="B5" s="13">
        <f>A5-2.5</f>
        <v>20</v>
      </c>
      <c r="C5" s="6">
        <f>1-GEVCUM(KVD!$D$3,KVD!$E$3,KVD!$F$3,$A5)</f>
        <v>0.98875125992377988</v>
      </c>
      <c r="D5" s="3">
        <f t="shared" si="0"/>
        <v>4.4874991498282952</v>
      </c>
      <c r="E5" s="3">
        <f t="shared" si="1"/>
        <v>0.22284126784475555</v>
      </c>
      <c r="F5" s="23">
        <f t="shared" ref="F5:F22" si="5">KLASSEFREQUENTIEUITHERHALINGSTIJD(F$2,E4,E5,E6)</f>
        <v>3.9777876482444885</v>
      </c>
      <c r="G5" s="8">
        <f>1-GEVCUM(KVD!$D$4,KVD!$E$4,KVD!$F$4,$A5)</f>
        <v>0.99973685420595437</v>
      </c>
      <c r="H5" s="3">
        <f t="shared" si="2"/>
        <v>8.2428023293983266</v>
      </c>
      <c r="I5" s="9">
        <f t="shared" si="3"/>
        <v>0.12131796445408558</v>
      </c>
      <c r="J5" s="23">
        <f t="shared" ref="J5:J23" si="6">KLASSEFREQUENTIEUITHERHALINGSTIJD(J$2,I4,I5,I6)</f>
        <v>5.7764319205053294</v>
      </c>
      <c r="K5" s="8">
        <f>1-GEVCUM(KVD!$D$5,KVD!$E$5,KVD!$F$5,$A5)</f>
        <v>0.99999670508100869</v>
      </c>
      <c r="L5" s="3">
        <f t="shared" ref="L5:L25" si="7">-LN(1-K5)</f>
        <v>12.623128975649051</v>
      </c>
      <c r="M5" s="9">
        <f t="shared" ref="M5:M25" si="8">1/L5</f>
        <v>7.9219661141787745E-2</v>
      </c>
      <c r="N5" s="23">
        <f>KLASSEFREQUENTIEUITHERHALINGSTIJD(N$2,M4,M5,M6)</f>
        <v>78.689371024350947</v>
      </c>
      <c r="O5" s="8">
        <f>1-GEVCUM(KVD!$D$6,KVD!$E$6,KVD!$F$6,$A5)</f>
        <v>0.99999915264991734</v>
      </c>
      <c r="P5" s="3">
        <f t="shared" ref="P5:P31" si="9">-LN(1-O5)</f>
        <v>13.98115190696107</v>
      </c>
      <c r="Q5" s="9">
        <f t="shared" ref="Q5:Q31" si="10">1/P5</f>
        <v>7.1524864807606475E-2</v>
      </c>
      <c r="R5" s="23">
        <f>KLASSEFREQUENTIEUITHERHALINGSTIJD(R$2,Q4,Q5,Q6)</f>
        <v>31.67509809303893</v>
      </c>
      <c r="S5" s="8">
        <f>1-GEVCUM(KVD!$D$7,KVD!$E$7,KVD!$F$7,$A5)</f>
        <v>0.99999888519878188</v>
      </c>
      <c r="T5" s="3">
        <f t="shared" ref="T5:T32" si="11">-LN(1-S5)</f>
        <v>13.706834448662381</v>
      </c>
      <c r="U5" s="9">
        <f t="shared" ref="U5:U32" si="12">1/T5</f>
        <v>7.2956305392423246E-2</v>
      </c>
      <c r="V5" s="32">
        <f>KLASSEFREQUENTIEUITHERHALINGSTIJD(V$2,U4,U5,U6)</f>
        <v>26.876498884670948</v>
      </c>
    </row>
    <row r="6" spans="1:22" x14ac:dyDescent="0.25">
      <c r="A6" s="23">
        <f t="shared" si="4"/>
        <v>27.5</v>
      </c>
      <c r="B6" s="13">
        <f t="shared" ref="B6:B41" si="13">A6-2.5</f>
        <v>25</v>
      </c>
      <c r="C6" s="6">
        <f>1-GEVCUM(KVD!$D$3,KVD!$E$3,KVD!$F$3,$A6)</f>
        <v>0.91341803466227722</v>
      </c>
      <c r="D6" s="3">
        <f t="shared" si="0"/>
        <v>2.4466637375525386</v>
      </c>
      <c r="E6" s="3">
        <f t="shared" si="1"/>
        <v>0.40871983536255213</v>
      </c>
      <c r="F6" s="23">
        <f t="shared" si="5"/>
        <v>2.0408354122757566</v>
      </c>
      <c r="G6" s="8">
        <f>1-GEVCUM(KVD!$D$4,KVD!$E$4,KVD!$F$4,$A6)</f>
        <v>0.99271099026393994</v>
      </c>
      <c r="H6" s="3">
        <f t="shared" si="2"/>
        <v>4.9213875808633674</v>
      </c>
      <c r="I6" s="9">
        <f t="shared" si="3"/>
        <v>0.20319472579003181</v>
      </c>
      <c r="J6" s="23">
        <f t="shared" si="6"/>
        <v>3.3214147485349592</v>
      </c>
      <c r="K6" s="8">
        <f>1-GEVCUM(KVD!$D$5,KVD!$E$5,KVD!$F$5,$A6)</f>
        <v>0.99981164792692556</v>
      </c>
      <c r="L6" s="3">
        <f t="shared" si="7"/>
        <v>8.577197617385929</v>
      </c>
      <c r="M6" s="9">
        <f t="shared" si="8"/>
        <v>0.11658819635599929</v>
      </c>
      <c r="N6" s="23">
        <f t="shared" ref="N6:N25" si="14">KLASSEFREQUENTIEUITHERHALINGSTIJD(N$2,M5,M6,M7)</f>
        <v>4.0459313582631218</v>
      </c>
      <c r="O6" s="8">
        <f>1-GEVCUM(KVD!$D$6,KVD!$E$6,KVD!$F$6,$A6)</f>
        <v>0.99998300694190057</v>
      </c>
      <c r="P6" s="3">
        <f t="shared" si="9"/>
        <v>10.982705644396503</v>
      </c>
      <c r="Q6" s="9">
        <f t="shared" si="10"/>
        <v>9.105224453595466E-2</v>
      </c>
      <c r="R6" s="23">
        <f t="shared" ref="R6:R31" si="15">KLASSEFREQUENTIEUITHERHALINGSTIJD(R$2,Q5,Q6,Q7)</f>
        <v>2.9984462625645669</v>
      </c>
      <c r="S6" s="8">
        <f>1-GEVCUM(KVD!$D$7,KVD!$E$7,KVD!$F$7,$A6)</f>
        <v>0.99998362867516954</v>
      </c>
      <c r="T6" s="3">
        <f t="shared" si="11"/>
        <v>11.019979239467688</v>
      </c>
      <c r="U6" s="9">
        <f t="shared" si="12"/>
        <v>9.0744272586152738E-2</v>
      </c>
      <c r="V6" s="32">
        <f t="shared" ref="V6:V32" si="16">KLASSEFREQUENTIEUITHERHALINGSTIJD(V$2,U5,U6,U7)</f>
        <v>2.6868552091946931</v>
      </c>
    </row>
    <row r="7" spans="1:22" x14ac:dyDescent="0.25">
      <c r="A7" s="23">
        <f t="shared" si="4"/>
        <v>32.5</v>
      </c>
      <c r="B7" s="13">
        <f t="shared" si="13"/>
        <v>30</v>
      </c>
      <c r="C7" s="6">
        <f>1-GEVCUM(KVD!$D$3,KVD!$E$3,KVD!$F$3,$A7)</f>
        <v>0.74556856538003546</v>
      </c>
      <c r="D7" s="3">
        <f t="shared" si="0"/>
        <v>1.36872389139182</v>
      </c>
      <c r="E7" s="3">
        <f t="shared" si="1"/>
        <v>0.7306075434857251</v>
      </c>
      <c r="F7" s="23">
        <f t="shared" si="5"/>
        <v>1.0779398461607186</v>
      </c>
      <c r="G7" s="8">
        <f>1-GEVCUM(KVD!$D$4,KVD!$E$4,KVD!$F$4,$A7)</f>
        <v>0.94926709004531962</v>
      </c>
      <c r="H7" s="3">
        <f t="shared" si="2"/>
        <v>2.9811804674346103</v>
      </c>
      <c r="I7" s="9">
        <f t="shared" si="3"/>
        <v>0.33543759290108599</v>
      </c>
      <c r="J7" s="23">
        <f t="shared" si="6"/>
        <v>1.9402071134287571</v>
      </c>
      <c r="K7" s="8">
        <f>1-GEVCUM(KVD!$D$5,KVD!$E$5,KVD!$F$5,$A7)</f>
        <v>0.99711165838468763</v>
      </c>
      <c r="L7" s="3">
        <f t="shared" si="7"/>
        <v>5.8470727770964688</v>
      </c>
      <c r="M7" s="9">
        <f t="shared" si="8"/>
        <v>0.17102574880153598</v>
      </c>
      <c r="N7" s="23">
        <f t="shared" si="14"/>
        <v>2.7301248402894602</v>
      </c>
      <c r="O7" s="8">
        <f>1-GEVCUM(KVD!$D$6,KVD!$E$6,KVD!$F$6,$A7)</f>
        <v>0.99981662258560466</v>
      </c>
      <c r="P7" s="3">
        <f t="shared" si="9"/>
        <v>8.6039641551510719</v>
      </c>
      <c r="Q7" s="9">
        <f t="shared" si="10"/>
        <v>0.11622549582581816</v>
      </c>
      <c r="R7" s="23">
        <f t="shared" si="15"/>
        <v>2.3787414892454315</v>
      </c>
      <c r="S7" s="8">
        <f>1-GEVCUM(KVD!$D$7,KVD!$E$7,KVD!$F$7,$A7)</f>
        <v>0.99985414657101357</v>
      </c>
      <c r="T7" s="3">
        <f t="shared" si="11"/>
        <v>8.8329083515639937</v>
      </c>
      <c r="U7" s="9">
        <f t="shared" si="12"/>
        <v>0.1132129939764331</v>
      </c>
      <c r="V7" s="32">
        <f t="shared" si="16"/>
        <v>2.187070887903694</v>
      </c>
    </row>
    <row r="8" spans="1:22" x14ac:dyDescent="0.25">
      <c r="A8" s="23">
        <f t="shared" si="4"/>
        <v>37.5</v>
      </c>
      <c r="B8" s="13">
        <f t="shared" si="13"/>
        <v>35</v>
      </c>
      <c r="C8" s="6">
        <f>1-GEVCUM(KVD!$D$3,KVD!$E$3,KVD!$F$3,$A8)</f>
        <v>0.54342715151410026</v>
      </c>
      <c r="D8" s="3">
        <f t="shared" si="0"/>
        <v>0.78400701120577732</v>
      </c>
      <c r="E8" s="3">
        <f t="shared" si="1"/>
        <v>1.2754987974687018</v>
      </c>
      <c r="F8" s="23">
        <f t="shared" si="5"/>
        <v>0.58471688018604273</v>
      </c>
      <c r="G8" s="8">
        <f>1-GEVCUM(KVD!$D$4,KVD!$E$4,KVD!$F$4,$A8)</f>
        <v>0.83970974336073634</v>
      </c>
      <c r="H8" s="3">
        <f t="shared" si="2"/>
        <v>1.830769003252213</v>
      </c>
      <c r="I8" s="9">
        <f t="shared" si="3"/>
        <v>0.54621855527572338</v>
      </c>
      <c r="J8" s="23">
        <f t="shared" si="6"/>
        <v>1.150411464182397</v>
      </c>
      <c r="K8" s="8">
        <f>1-GEVCUM(KVD!$D$5,KVD!$E$5,KVD!$F$5,$A8)</f>
        <v>0.9816611760777747</v>
      </c>
      <c r="L8" s="3">
        <f t="shared" si="7"/>
        <v>3.9987349405881214</v>
      </c>
      <c r="M8" s="9">
        <f t="shared" si="8"/>
        <v>0.25007909122701771</v>
      </c>
      <c r="N8" s="23">
        <f t="shared" si="14"/>
        <v>1.8483378365083478</v>
      </c>
      <c r="O8" s="8">
        <f>1-GEVCUM(KVD!$D$6,KVD!$E$6,KVD!$F$6,$A8)</f>
        <v>0.9987956013589655</v>
      </c>
      <c r="P8" s="3">
        <f t="shared" si="9"/>
        <v>6.7217748896913578</v>
      </c>
      <c r="Q8" s="9">
        <f t="shared" si="10"/>
        <v>0.14877023054336722</v>
      </c>
      <c r="R8" s="23">
        <f t="shared" si="15"/>
        <v>1.8821892654597141</v>
      </c>
      <c r="S8" s="8">
        <f>1-GEVCUM(KVD!$D$7,KVD!$E$7,KVD!$F$7,$A8)</f>
        <v>0.99913932113846127</v>
      </c>
      <c r="T8" s="3">
        <f t="shared" si="11"/>
        <v>7.0577891062261777</v>
      </c>
      <c r="U8" s="9">
        <f t="shared" si="12"/>
        <v>0.14168743000805009</v>
      </c>
      <c r="V8" s="32">
        <f t="shared" si="16"/>
        <v>1.775119245337816</v>
      </c>
    </row>
    <row r="9" spans="1:22" x14ac:dyDescent="0.25">
      <c r="A9" s="23">
        <f t="shared" si="4"/>
        <v>42.5</v>
      </c>
      <c r="B9" s="13">
        <f t="shared" si="13"/>
        <v>40</v>
      </c>
      <c r="C9" s="6">
        <f>1-GEVCUM(KVD!$D$3,KVD!$E$3,KVD!$F$3,$A9)</f>
        <v>0.36806566909505134</v>
      </c>
      <c r="D9" s="3">
        <f t="shared" si="0"/>
        <v>0.45896979702993201</v>
      </c>
      <c r="E9" s="3">
        <f t="shared" si="1"/>
        <v>2.1787926056815987</v>
      </c>
      <c r="F9" s="23">
        <f t="shared" si="5"/>
        <v>0.3250372141758453</v>
      </c>
      <c r="G9" s="8">
        <f>1-GEVCUM(KVD!$D$4,KVD!$E$4,KVD!$F$4,$A9)</f>
        <v>0.67984727675434531</v>
      </c>
      <c r="H9" s="3">
        <f t="shared" si="2"/>
        <v>1.1389571368980924</v>
      </c>
      <c r="I9" s="9">
        <f t="shared" si="3"/>
        <v>0.87799616649618872</v>
      </c>
      <c r="J9" s="23">
        <f t="shared" si="6"/>
        <v>0.69181186635412084</v>
      </c>
      <c r="K9" s="8">
        <f>1-GEVCUM(KVD!$D$5,KVD!$E$5,KVD!$F$5,$A9)</f>
        <v>0.93564295470861969</v>
      </c>
      <c r="L9" s="3">
        <f t="shared" si="7"/>
        <v>2.7433088669953962</v>
      </c>
      <c r="M9" s="9">
        <f t="shared" si="8"/>
        <v>0.36452329959303781</v>
      </c>
      <c r="N9" s="23">
        <f t="shared" si="14"/>
        <v>1.2554260735927247</v>
      </c>
      <c r="O9" s="8">
        <f>1-GEVCUM(KVD!$D$6,KVD!$E$6,KVD!$F$6,$A9)</f>
        <v>0.99468094770675963</v>
      </c>
      <c r="P9" s="3">
        <f t="shared" si="9"/>
        <v>5.2364601318658162</v>
      </c>
      <c r="Q9" s="9">
        <f t="shared" si="10"/>
        <v>0.19096870305850824</v>
      </c>
      <c r="R9" s="23">
        <f t="shared" si="15"/>
        <v>1.4853147578255417</v>
      </c>
      <c r="S9" s="8">
        <f>1-GEVCUM(KVD!$D$7,KVD!$E$7,KVD!$F$7,$A9)</f>
        <v>0.99638006463155671</v>
      </c>
      <c r="T9" s="3">
        <f t="shared" si="11"/>
        <v>5.621299107325032</v>
      </c>
      <c r="U9" s="9">
        <f t="shared" si="12"/>
        <v>0.1778948212695024</v>
      </c>
      <c r="V9" s="32">
        <f t="shared" si="16"/>
        <v>1.4364899989011457</v>
      </c>
    </row>
    <row r="10" spans="1:22" x14ac:dyDescent="0.25">
      <c r="A10" s="23">
        <f t="shared" si="4"/>
        <v>47.5</v>
      </c>
      <c r="B10" s="13">
        <f t="shared" si="13"/>
        <v>45</v>
      </c>
      <c r="C10" s="6">
        <f>1-GEVCUM(KVD!$D$3,KVD!$E$3,KVD!$F$3,$A10)</f>
        <v>0.23978590084610962</v>
      </c>
      <c r="D10" s="3">
        <f t="shared" si="0"/>
        <v>0.27415517596139272</v>
      </c>
      <c r="E10" s="3">
        <f t="shared" si="1"/>
        <v>3.6475692880619652</v>
      </c>
      <c r="F10" s="23">
        <f t="shared" si="5"/>
        <v>0.1848146210685393</v>
      </c>
      <c r="G10" s="8">
        <f>1-GEVCUM(KVD!$D$4,KVD!$E$4,KVD!$F$4,$A10)</f>
        <v>0.51194579337573742</v>
      </c>
      <c r="H10" s="3">
        <f t="shared" si="2"/>
        <v>0.71732880014974254</v>
      </c>
      <c r="I10" s="9">
        <f t="shared" si="3"/>
        <v>1.3940608543686659</v>
      </c>
      <c r="J10" s="23">
        <f t="shared" si="6"/>
        <v>0.42162833674834987</v>
      </c>
      <c r="K10" s="8">
        <f>1-GEVCUM(KVD!$D$5,KVD!$E$5,KVD!$F$5,$A10)</f>
        <v>0.84860618960052436</v>
      </c>
      <c r="L10" s="3">
        <f t="shared" si="7"/>
        <v>1.8878708212486088</v>
      </c>
      <c r="M10" s="9">
        <f t="shared" si="8"/>
        <v>0.5296972593382292</v>
      </c>
      <c r="N10" s="23">
        <f t="shared" si="14"/>
        <v>0.85543804574678761</v>
      </c>
      <c r="O10" s="8">
        <f>1-GEVCUM(KVD!$D$6,KVD!$E$6,KVD!$F$6,$A10)</f>
        <v>0.98288049338656447</v>
      </c>
      <c r="P10" s="3">
        <f t="shared" si="9"/>
        <v>4.0675367279924979</v>
      </c>
      <c r="Q10" s="9">
        <f t="shared" si="10"/>
        <v>0.24584904006350361</v>
      </c>
      <c r="R10" s="23">
        <f t="shared" si="15"/>
        <v>1.1689234038733183</v>
      </c>
      <c r="S10" s="8">
        <f>1-GEVCUM(KVD!$D$7,KVD!$E$7,KVD!$F$7,$A10)</f>
        <v>0.98846519198892424</v>
      </c>
      <c r="T10" s="3">
        <f t="shared" si="11"/>
        <v>4.4623860315282444</v>
      </c>
      <c r="U10" s="9">
        <f t="shared" si="12"/>
        <v>0.22409535906007835</v>
      </c>
      <c r="V10" s="32">
        <f t="shared" si="16"/>
        <v>1.1589130757967876</v>
      </c>
    </row>
    <row r="11" spans="1:22" x14ac:dyDescent="0.25">
      <c r="A11" s="23">
        <f t="shared" si="4"/>
        <v>52.5</v>
      </c>
      <c r="B11" s="13">
        <f t="shared" si="13"/>
        <v>50</v>
      </c>
      <c r="C11" s="6">
        <f>1-GEVCUM(KVD!$D$3,KVD!$E$3,KVD!$F$3,$A11)</f>
        <v>0.15367225633645487</v>
      </c>
      <c r="D11" s="3">
        <f t="shared" si="0"/>
        <v>0.16684859053979476</v>
      </c>
      <c r="E11" s="3">
        <f t="shared" si="1"/>
        <v>5.9934578815725255</v>
      </c>
      <c r="F11" s="23">
        <f t="shared" si="5"/>
        <v>0.10730658542159796</v>
      </c>
      <c r="G11" s="8">
        <f>1-GEVCUM(KVD!$D$4,KVD!$E$4,KVD!$F$4,$A11)</f>
        <v>0.36687336370852464</v>
      </c>
      <c r="H11" s="3">
        <f t="shared" si="2"/>
        <v>0.45708481951425595</v>
      </c>
      <c r="I11" s="9">
        <f t="shared" si="3"/>
        <v>2.1877777543841863</v>
      </c>
      <c r="J11" s="23">
        <f t="shared" si="6"/>
        <v>0.26024398063548659</v>
      </c>
      <c r="K11" s="8">
        <f>1-GEVCUM(KVD!$D$5,KVD!$E$5,KVD!$F$5,$A11)</f>
        <v>0.72832448823260321</v>
      </c>
      <c r="L11" s="3">
        <f t="shared" si="7"/>
        <v>1.3031468962864112</v>
      </c>
      <c r="M11" s="9">
        <f t="shared" si="8"/>
        <v>0.76737319702767848</v>
      </c>
      <c r="N11" s="23">
        <f t="shared" si="14"/>
        <v>0.58472392496219738</v>
      </c>
      <c r="O11" s="8">
        <f>1-GEVCUM(KVD!$D$6,KVD!$E$6,KVD!$F$6,$A11)</f>
        <v>0.9571555884335281</v>
      </c>
      <c r="P11" s="3">
        <f t="shared" si="9"/>
        <v>3.1501800609623252</v>
      </c>
      <c r="Q11" s="9">
        <f t="shared" si="10"/>
        <v>0.31744217176414907</v>
      </c>
      <c r="R11" s="23">
        <f t="shared" si="15"/>
        <v>0.91735666703017271</v>
      </c>
      <c r="S11" s="8">
        <f>1-GEVCUM(KVD!$D$7,KVD!$E$7,KVD!$F$7,$A11)</f>
        <v>0.97070529219645141</v>
      </c>
      <c r="T11" s="3">
        <f t="shared" si="11"/>
        <v>3.5303484003123571</v>
      </c>
      <c r="U11" s="9">
        <f t="shared" si="12"/>
        <v>0.28325816225716482</v>
      </c>
      <c r="V11" s="32">
        <f t="shared" si="16"/>
        <v>0.9320376312158869</v>
      </c>
    </row>
    <row r="12" spans="1:22" x14ac:dyDescent="0.25">
      <c r="A12" s="23">
        <f t="shared" si="4"/>
        <v>57.5</v>
      </c>
      <c r="B12" s="13">
        <f t="shared" si="13"/>
        <v>55</v>
      </c>
      <c r="C12" s="6">
        <f>1-GEVCUM(KVD!$D$3,KVD!$E$3,KVD!$F$3,$A12)</f>
        <v>9.8163841498961069E-2</v>
      </c>
      <c r="D12" s="3">
        <f t="shared" si="0"/>
        <v>0.10332241787854854</v>
      </c>
      <c r="E12" s="3">
        <f t="shared" si="1"/>
        <v>9.678441721867765</v>
      </c>
      <c r="F12" s="23">
        <f t="shared" si="5"/>
        <v>6.352617266124623E-2</v>
      </c>
      <c r="G12" s="8">
        <f>1-GEVCUM(KVD!$D$4,KVD!$E$4,KVD!$F$4,$A12)</f>
        <v>0.25510017328617607</v>
      </c>
      <c r="H12" s="3">
        <f t="shared" si="2"/>
        <v>0.29450553043005306</v>
      </c>
      <c r="I12" s="9">
        <f t="shared" si="3"/>
        <v>3.3955219738649571</v>
      </c>
      <c r="J12" s="23">
        <f t="shared" si="6"/>
        <v>0.16257928908420288</v>
      </c>
      <c r="K12" s="8">
        <f>1-GEVCUM(KVD!$D$5,KVD!$E$5,KVD!$F$5,$A12)</f>
        <v>0.5943354171338302</v>
      </c>
      <c r="L12" s="3">
        <f t="shared" si="7"/>
        <v>0.90222861140680055</v>
      </c>
      <c r="M12" s="9">
        <f t="shared" si="8"/>
        <v>1.108366535218551</v>
      </c>
      <c r="N12" s="23">
        <f t="shared" si="14"/>
        <v>0.40091828487961068</v>
      </c>
      <c r="O12" s="8">
        <f>1-GEVCUM(KVD!$D$6,KVD!$E$6,KVD!$F$6,$A12)</f>
        <v>0.91216623540114405</v>
      </c>
      <c r="P12" s="3">
        <f t="shared" si="9"/>
        <v>2.4323092896369833</v>
      </c>
      <c r="Q12" s="9">
        <f t="shared" si="10"/>
        <v>0.41113192481752503</v>
      </c>
      <c r="R12" s="23">
        <f t="shared" si="15"/>
        <v>0.71787077132534183</v>
      </c>
      <c r="S12" s="8">
        <f>1-GEVCUM(KVD!$D$7,KVD!$E$7,KVD!$F$7,$A12)</f>
        <v>0.93815938961856737</v>
      </c>
      <c r="T12" s="3">
        <f t="shared" si="11"/>
        <v>2.7831950044180367</v>
      </c>
      <c r="U12" s="9">
        <f t="shared" si="12"/>
        <v>0.35929929394548443</v>
      </c>
      <c r="V12" s="32">
        <f t="shared" si="16"/>
        <v>0.74715339589432084</v>
      </c>
    </row>
    <row r="13" spans="1:22" x14ac:dyDescent="0.25">
      <c r="A13" s="23">
        <f t="shared" si="4"/>
        <v>62.5</v>
      </c>
      <c r="B13" s="13">
        <f t="shared" si="13"/>
        <v>60</v>
      </c>
      <c r="C13" s="6">
        <f>1-GEVCUM(KVD!$D$3,KVD!$E$3,KVD!$F$3,$A13)</f>
        <v>6.2959037993437938E-2</v>
      </c>
      <c r="D13" s="3">
        <f t="shared" si="0"/>
        <v>6.502828157697195E-2</v>
      </c>
      <c r="E13" s="3">
        <f t="shared" si="1"/>
        <v>15.377924431484956</v>
      </c>
      <c r="F13" s="23">
        <f t="shared" si="5"/>
        <v>3.8294136301576576E-2</v>
      </c>
      <c r="G13" s="8">
        <f>1-GEVCUM(KVD!$D$4,KVD!$E$4,KVD!$F$4,$A13)</f>
        <v>0.17450184555452541</v>
      </c>
      <c r="H13" s="3">
        <f t="shared" si="2"/>
        <v>0.1917682513052838</v>
      </c>
      <c r="I13" s="9">
        <f t="shared" si="3"/>
        <v>5.2146275162516798</v>
      </c>
      <c r="J13" s="23">
        <f t="shared" si="6"/>
        <v>0.10273727912476927</v>
      </c>
      <c r="K13" s="8">
        <f>1-GEVCUM(KVD!$D$5,KVD!$E$5,KVD!$F$5,$A13)</f>
        <v>0.46554083588262962</v>
      </c>
      <c r="L13" s="3">
        <f t="shared" si="7"/>
        <v>0.62649995159026994</v>
      </c>
      <c r="M13" s="9">
        <f t="shared" si="8"/>
        <v>1.5961693172707514</v>
      </c>
      <c r="N13" s="23">
        <f t="shared" si="14"/>
        <v>0.27572865981653061</v>
      </c>
      <c r="O13" s="8">
        <f>1-GEVCUM(KVD!$D$6,KVD!$E$6,KVD!$F$6,$A13)</f>
        <v>0.84621351658765109</v>
      </c>
      <c r="P13" s="3">
        <f t="shared" si="9"/>
        <v>1.8721901099576224</v>
      </c>
      <c r="Q13" s="9">
        <f t="shared" si="10"/>
        <v>0.53413379051694454</v>
      </c>
      <c r="R13" s="23">
        <f t="shared" si="15"/>
        <v>0.56011917967936098</v>
      </c>
      <c r="S13" s="8">
        <f>1-GEVCUM(KVD!$D$7,KVD!$E$7,KVD!$F$7,$A13)</f>
        <v>0.88766229682601172</v>
      </c>
      <c r="T13" s="3">
        <f t="shared" si="11"/>
        <v>2.1862457373958466</v>
      </c>
      <c r="U13" s="9">
        <f t="shared" si="12"/>
        <v>0.4574051228070789</v>
      </c>
      <c r="V13" s="32">
        <f t="shared" si="16"/>
        <v>0.59694926702219009</v>
      </c>
    </row>
    <row r="14" spans="1:22" x14ac:dyDescent="0.25">
      <c r="A14" s="23">
        <f t="shared" si="4"/>
        <v>67.5</v>
      </c>
      <c r="B14" s="13">
        <f t="shared" si="13"/>
        <v>65</v>
      </c>
      <c r="C14" s="6">
        <f>1-GEVCUM(KVD!$D$3,KVD!$E$3,KVD!$F$3,$A14)</f>
        <v>4.0699961673705709E-2</v>
      </c>
      <c r="D14" s="3">
        <f t="shared" si="0"/>
        <v>4.1551387205880808E-2</v>
      </c>
      <c r="E14" s="3">
        <f t="shared" si="1"/>
        <v>24.066585191130972</v>
      </c>
      <c r="F14" s="23">
        <f t="shared" si="5"/>
        <v>2.3476894371091142E-2</v>
      </c>
      <c r="G14" s="8">
        <f>1-GEVCUM(KVD!$D$4,KVD!$E$4,KVD!$F$4,$A14)</f>
        <v>0.11850306603969185</v>
      </c>
      <c r="H14" s="3">
        <f t="shared" si="2"/>
        <v>0.12613375535751223</v>
      </c>
      <c r="I14" s="9">
        <f t="shared" si="3"/>
        <v>7.9280918669678089</v>
      </c>
      <c r="J14" s="23">
        <f t="shared" si="6"/>
        <v>6.5634495947771571E-2</v>
      </c>
      <c r="K14" s="8">
        <f>1-GEVCUM(KVD!$D$5,KVD!$E$5,KVD!$F$5,$A14)</f>
        <v>0.35357694674427509</v>
      </c>
      <c r="L14" s="3">
        <f t="shared" si="7"/>
        <v>0.4363011083398427</v>
      </c>
      <c r="M14" s="9">
        <f t="shared" si="8"/>
        <v>2.291995094408704</v>
      </c>
      <c r="N14" s="23">
        <f t="shared" si="14"/>
        <v>0.19019884325042724</v>
      </c>
      <c r="O14" s="8">
        <f>1-GEVCUM(KVD!$D$6,KVD!$E$6,KVD!$F$6,$A14)</f>
        <v>0.76223386035250473</v>
      </c>
      <c r="P14" s="3">
        <f t="shared" si="9"/>
        <v>1.436467694908055</v>
      </c>
      <c r="Q14" s="9">
        <f t="shared" si="10"/>
        <v>0.69615209833452441</v>
      </c>
      <c r="R14" s="23">
        <f t="shared" si="15"/>
        <v>0.43572241504956732</v>
      </c>
      <c r="S14" s="8">
        <f>1-GEVCUM(KVD!$D$7,KVD!$E$7,KVD!$F$7,$A14)</f>
        <v>0.81930434572567801</v>
      </c>
      <c r="T14" s="3">
        <f t="shared" si="11"/>
        <v>1.7109411310681539</v>
      </c>
      <c r="U14" s="9">
        <f t="shared" si="12"/>
        <v>0.58447364543494973</v>
      </c>
      <c r="V14" s="32">
        <f t="shared" si="16"/>
        <v>0.47530460632769267</v>
      </c>
    </row>
    <row r="15" spans="1:22" x14ac:dyDescent="0.25">
      <c r="A15" s="23">
        <f t="shared" si="4"/>
        <v>72.5</v>
      </c>
      <c r="B15" s="13">
        <f t="shared" si="13"/>
        <v>70</v>
      </c>
      <c r="C15" s="6">
        <f>1-GEVCUM(KVD!$D$3,KVD!$E$3,KVD!$F$3,$A15)</f>
        <v>2.6570108372008461E-2</v>
      </c>
      <c r="D15" s="3">
        <f t="shared" si="0"/>
        <v>2.6929473580895098E-2</v>
      </c>
      <c r="E15" s="3">
        <f t="shared" si="1"/>
        <v>37.13403446213082</v>
      </c>
      <c r="F15" s="23">
        <f t="shared" si="5"/>
        <v>1.4621913624985709E-2</v>
      </c>
      <c r="G15" s="8">
        <f>1-GEVCUM(KVD!$D$4,KVD!$E$4,KVD!$F$4,$A15)</f>
        <v>8.0351638914777479E-2</v>
      </c>
      <c r="H15" s="3">
        <f t="shared" si="2"/>
        <v>8.3763898213999849E-2</v>
      </c>
      <c r="I15" s="9">
        <f t="shared" si="3"/>
        <v>11.938317357738079</v>
      </c>
      <c r="J15" s="23">
        <f t="shared" si="6"/>
        <v>4.2369857143512379E-2</v>
      </c>
      <c r="K15" s="8">
        <f>1-GEVCUM(KVD!$D$5,KVD!$E$5,KVD!$F$5,$A15)</f>
        <v>0.26266582809062078</v>
      </c>
      <c r="L15" s="3">
        <f t="shared" si="7"/>
        <v>0.30471406769938342</v>
      </c>
      <c r="M15" s="9">
        <f t="shared" si="8"/>
        <v>3.281765123448626</v>
      </c>
      <c r="N15" s="23">
        <f t="shared" si="14"/>
        <v>0.13158704064045929</v>
      </c>
      <c r="O15" s="8">
        <f>1-GEVCUM(KVD!$D$6,KVD!$E$6,KVD!$F$6,$A15)</f>
        <v>0.66664804578824577</v>
      </c>
      <c r="P15" s="3">
        <f t="shared" si="9"/>
        <v>1.0985564275931059</v>
      </c>
      <c r="Q15" s="9">
        <f t="shared" si="10"/>
        <v>0.91028551186119844</v>
      </c>
      <c r="R15" s="23">
        <f t="shared" si="15"/>
        <v>0.33791126731494914</v>
      </c>
      <c r="S15" s="8">
        <f>1-GEVCUM(KVD!$D$7,KVD!$E$7,KVD!$F$7,$A15)</f>
        <v>0.73653425638887282</v>
      </c>
      <c r="T15" s="3">
        <f t="shared" si="11"/>
        <v>1.3338319247230024</v>
      </c>
      <c r="U15" s="9">
        <f t="shared" si="12"/>
        <v>0.74971964717943795</v>
      </c>
      <c r="V15" s="32">
        <f t="shared" si="16"/>
        <v>0.37710920634515155</v>
      </c>
    </row>
    <row r="16" spans="1:22" x14ac:dyDescent="0.25">
      <c r="A16" s="23">
        <f t="shared" si="4"/>
        <v>77.5</v>
      </c>
      <c r="B16" s="13">
        <f t="shared" si="13"/>
        <v>75</v>
      </c>
      <c r="C16" s="6">
        <f>1-GEVCUM(KVD!$D$3,KVD!$E$3,KVD!$F$3,$A16)</f>
        <v>1.7531383710040593E-2</v>
      </c>
      <c r="D16" s="3">
        <f t="shared" si="0"/>
        <v>1.7686878456320346E-2</v>
      </c>
      <c r="E16" s="3">
        <f t="shared" si="1"/>
        <v>56.539089272853197</v>
      </c>
      <c r="F16" s="23">
        <f t="shared" si="5"/>
        <v>9.2425951245747526E-3</v>
      </c>
      <c r="G16" s="8">
        <f>1-GEVCUM(KVD!$D$4,KVD!$E$4,KVD!$F$4,$A16)</f>
        <v>5.4592498326818117E-2</v>
      </c>
      <c r="H16" s="3">
        <f t="shared" si="2"/>
        <v>5.6139225734679242E-2</v>
      </c>
      <c r="I16" s="9">
        <f t="shared" si="3"/>
        <v>17.812856998173089</v>
      </c>
      <c r="J16" s="23">
        <f t="shared" si="6"/>
        <v>2.76246724793206E-2</v>
      </c>
      <c r="K16" s="8">
        <f>1-GEVCUM(KVD!$D$5,KVD!$E$5,KVD!$F$5,$A16)</f>
        <v>0.19217728071161233</v>
      </c>
      <c r="L16" s="3">
        <f t="shared" si="7"/>
        <v>0.21341265135554197</v>
      </c>
      <c r="M16" s="9">
        <f t="shared" si="8"/>
        <v>4.6857578201116876</v>
      </c>
      <c r="N16" s="23">
        <f t="shared" si="14"/>
        <v>9.1301416343841424E-2</v>
      </c>
      <c r="O16" s="8">
        <f>1-GEVCUM(KVD!$D$6,KVD!$E$6,KVD!$F$6,$A16)</f>
        <v>0.56713306018739773</v>
      </c>
      <c r="P16" s="3">
        <f t="shared" si="9"/>
        <v>0.83732489655972897</v>
      </c>
      <c r="Q16" s="9">
        <f t="shared" si="10"/>
        <v>1.1942795492032368</v>
      </c>
      <c r="R16" s="23">
        <f t="shared" si="15"/>
        <v>0.26123153103337693</v>
      </c>
      <c r="S16" s="8">
        <f>1-GEVCUM(KVD!$D$7,KVD!$E$7,KVD!$F$7,$A16)</f>
        <v>0.6450305643283909</v>
      </c>
      <c r="T16" s="3">
        <f t="shared" si="11"/>
        <v>1.0357235899129476</v>
      </c>
      <c r="U16" s="9">
        <f t="shared" si="12"/>
        <v>0.9655085678641826</v>
      </c>
      <c r="V16" s="32">
        <f t="shared" si="16"/>
        <v>0.29810833481005483</v>
      </c>
    </row>
    <row r="17" spans="1:22" x14ac:dyDescent="0.25">
      <c r="A17" s="23">
        <f t="shared" si="4"/>
        <v>82.5</v>
      </c>
      <c r="B17" s="13">
        <f t="shared" si="13"/>
        <v>80</v>
      </c>
      <c r="C17" s="6">
        <f>1-GEVCUM(KVD!$D$3,KVD!$E$3,KVD!$F$3,$A17)</f>
        <v>1.1693901659258654E-2</v>
      </c>
      <c r="D17" s="3">
        <f t="shared" si="0"/>
        <v>1.176281308302383E-2</v>
      </c>
      <c r="E17" s="3">
        <f t="shared" si="1"/>
        <v>85.013677675725944</v>
      </c>
      <c r="F17" s="23">
        <f t="shared" si="5"/>
        <v>5.9240653732965162E-3</v>
      </c>
      <c r="G17" s="8">
        <f>1-GEVCUM(KVD!$D$4,KVD!$E$4,KVD!$F$4,$A17)</f>
        <v>3.7245106475467749E-2</v>
      </c>
      <c r="H17" s="3">
        <f t="shared" si="2"/>
        <v>3.7956423438927932E-2</v>
      </c>
      <c r="I17" s="9">
        <f t="shared" si="3"/>
        <v>26.346001793583234</v>
      </c>
      <c r="J17" s="23">
        <f t="shared" si="6"/>
        <v>1.8182802295751317E-2</v>
      </c>
      <c r="K17" s="8">
        <f>1-GEVCUM(KVD!$D$5,KVD!$E$5,KVD!$F$5,$A17)</f>
        <v>0.13919069592419309</v>
      </c>
      <c r="L17" s="3">
        <f t="shared" si="7"/>
        <v>0.14988228099477846</v>
      </c>
      <c r="M17" s="9">
        <f t="shared" si="8"/>
        <v>6.6719027316833905</v>
      </c>
      <c r="N17" s="23">
        <f t="shared" si="14"/>
        <v>6.3530370360763533E-2</v>
      </c>
      <c r="O17" s="8">
        <f>1-GEVCUM(KVD!$D$6,KVD!$E$6,KVD!$F$6,$A17)</f>
        <v>0.47060724364615769</v>
      </c>
      <c r="P17" s="3">
        <f t="shared" si="9"/>
        <v>0.63602467202954915</v>
      </c>
      <c r="Q17" s="9">
        <f t="shared" si="10"/>
        <v>1.5722660518954537</v>
      </c>
      <c r="R17" s="23">
        <f t="shared" si="15"/>
        <v>0.20130022453017982</v>
      </c>
      <c r="S17" s="8">
        <f>1-GEVCUM(KVD!$D$7,KVD!$E$7,KVD!$F$7,$A17)</f>
        <v>0.55109945452362719</v>
      </c>
      <c r="T17" s="3">
        <f t="shared" si="11"/>
        <v>0.80095391805492921</v>
      </c>
      <c r="U17" s="9">
        <f t="shared" si="12"/>
        <v>1.2485112781874428</v>
      </c>
      <c r="V17" s="32">
        <f t="shared" si="16"/>
        <v>0.23476967185801834</v>
      </c>
    </row>
    <row r="18" spans="1:22" x14ac:dyDescent="0.25">
      <c r="A18" s="23">
        <f t="shared" si="4"/>
        <v>87.5</v>
      </c>
      <c r="B18" s="13">
        <f t="shared" si="13"/>
        <v>85</v>
      </c>
      <c r="C18" s="6">
        <f>1-GEVCUM(KVD!$D$3,KVD!$E$3,KVD!$F$3,$A18)</f>
        <v>7.8845276782469886E-3</v>
      </c>
      <c r="D18" s="3">
        <f t="shared" si="0"/>
        <v>7.9157749214775561E-3</v>
      </c>
      <c r="E18" s="3">
        <f t="shared" si="1"/>
        <v>126.3300194762663</v>
      </c>
      <c r="F18" s="23">
        <f t="shared" si="5"/>
        <v>3.8470381615462734E-3</v>
      </c>
      <c r="G18" s="8">
        <f>1-GEVCUM(KVD!$D$4,KVD!$E$4,KVD!$F$4,$A18)</f>
        <v>2.5547157629435491E-2</v>
      </c>
      <c r="H18" s="3">
        <f t="shared" si="2"/>
        <v>2.587915282106772E-2</v>
      </c>
      <c r="I18" s="9">
        <f t="shared" si="3"/>
        <v>38.641141265873252</v>
      </c>
      <c r="J18" s="23">
        <f t="shared" si="6"/>
        <v>1.2077270617860212E-2</v>
      </c>
      <c r="K18" s="8">
        <f>1-GEVCUM(KVD!$D$5,KVD!$E$5,KVD!$F$5,$A18)</f>
        <v>0.10017185634457015</v>
      </c>
      <c r="L18" s="3">
        <f t="shared" si="7"/>
        <v>0.10555148538535085</v>
      </c>
      <c r="M18" s="9">
        <f t="shared" si="8"/>
        <v>9.474049525207219</v>
      </c>
      <c r="N18" s="23">
        <f t="shared" si="14"/>
        <v>4.4330795609427598E-2</v>
      </c>
      <c r="O18" s="8">
        <f>1-GEVCUM(KVD!$D$6,KVD!$E$6,KVD!$F$6,$A18)</f>
        <v>0.38209458522125017</v>
      </c>
      <c r="P18" s="3">
        <f t="shared" si="9"/>
        <v>0.48141988375769457</v>
      </c>
      <c r="Q18" s="9">
        <f t="shared" si="10"/>
        <v>2.077188819445011</v>
      </c>
      <c r="R18" s="23">
        <f t="shared" si="15"/>
        <v>0.15460478827185459</v>
      </c>
      <c r="S18" s="8">
        <f>1-GEVCUM(KVD!$D$7,KVD!$E$7,KVD!$F$7,$A18)</f>
        <v>0.46032307151016094</v>
      </c>
      <c r="T18" s="3">
        <f t="shared" si="11"/>
        <v>0.61678459903942673</v>
      </c>
      <c r="U18" s="9">
        <f t="shared" si="12"/>
        <v>1.6213115592662148</v>
      </c>
      <c r="V18" s="32">
        <f t="shared" si="16"/>
        <v>0.18416931901550249</v>
      </c>
    </row>
    <row r="19" spans="1:22" x14ac:dyDescent="0.25">
      <c r="A19" s="23">
        <f t="shared" si="4"/>
        <v>92.5</v>
      </c>
      <c r="B19" s="13">
        <f t="shared" si="13"/>
        <v>90</v>
      </c>
      <c r="C19" s="6">
        <f>1-GEVCUM(KVD!$D$3,KVD!$E$3,KVD!$F$3,$A19)</f>
        <v>5.3720598271366216E-3</v>
      </c>
      <c r="D19" s="3">
        <f t="shared" si="0"/>
        <v>5.3865412271123037E-3</v>
      </c>
      <c r="E19" s="3">
        <f t="shared" si="1"/>
        <v>185.64788754732965</v>
      </c>
      <c r="F19" s="23">
        <f t="shared" si="5"/>
        <v>2.5292336943652525E-3</v>
      </c>
      <c r="G19" s="8">
        <f>1-GEVCUM(KVD!$D$4,KVD!$E$4,KVD!$F$4,$A19)</f>
        <v>1.7629942506403706E-2</v>
      </c>
      <c r="H19" s="3">
        <f t="shared" si="2"/>
        <v>1.7787200989422759E-2</v>
      </c>
      <c r="I19" s="9">
        <f t="shared" si="3"/>
        <v>56.22020016497563</v>
      </c>
      <c r="J19" s="23">
        <f t="shared" si="6"/>
        <v>8.0919518316449612E-3</v>
      </c>
      <c r="K19" s="8">
        <f>1-GEVCUM(KVD!$D$5,KVD!$E$5,KVD!$F$5,$A19)</f>
        <v>7.1822455245731609E-2</v>
      </c>
      <c r="L19" s="3">
        <f t="shared" si="7"/>
        <v>7.4532244716924836E-2</v>
      </c>
      <c r="M19" s="9">
        <f t="shared" si="8"/>
        <v>13.41701170812744</v>
      </c>
      <c r="N19" s="23">
        <f t="shared" si="14"/>
        <v>3.1019240668426026E-2</v>
      </c>
      <c r="O19" s="8">
        <f>1-GEVCUM(KVD!$D$6,KVD!$E$6,KVD!$F$6,$A19)</f>
        <v>0.30447046265282818</v>
      </c>
      <c r="P19" s="3">
        <f t="shared" si="9"/>
        <v>0.36308179929372869</v>
      </c>
      <c r="Q19" s="9">
        <f t="shared" si="10"/>
        <v>2.7542002985145846</v>
      </c>
      <c r="R19" s="23">
        <f t="shared" si="15"/>
        <v>0.11833808446396588</v>
      </c>
      <c r="S19" s="8">
        <f>1-GEVCUM(KVD!$D$7,KVD!$E$7,KVD!$F$7,$A19)</f>
        <v>0.37680151328659628</v>
      </c>
      <c r="T19" s="3">
        <f t="shared" si="11"/>
        <v>0.47289021268046633</v>
      </c>
      <c r="U19" s="9">
        <f t="shared" si="12"/>
        <v>2.1146557344287937</v>
      </c>
      <c r="V19" s="32">
        <f t="shared" si="16"/>
        <v>0.1438943863589604</v>
      </c>
    </row>
    <row r="20" spans="1:22" x14ac:dyDescent="0.25">
      <c r="A20" s="23">
        <f t="shared" si="4"/>
        <v>97.5</v>
      </c>
      <c r="B20" s="13">
        <f t="shared" si="13"/>
        <v>95</v>
      </c>
      <c r="C20" s="6">
        <f>1-GEVCUM(KVD!$D$3,KVD!$E$3,KVD!$F$3,$A20)</f>
        <v>3.6973658519289243E-3</v>
      </c>
      <c r="D20" s="3">
        <f t="shared" si="0"/>
        <v>3.7042180042073047E-3</v>
      </c>
      <c r="E20" s="3">
        <f t="shared" si="1"/>
        <v>269.96251269881674</v>
      </c>
      <c r="F20" s="23">
        <f t="shared" si="5"/>
        <v>1.6823232229049995E-3</v>
      </c>
      <c r="G20" s="8">
        <f>1-GEVCUM(KVD!$D$4,KVD!$E$4,KVD!$F$4,$A20)</f>
        <v>1.2244519605814852E-2</v>
      </c>
      <c r="H20" s="3">
        <f t="shared" si="2"/>
        <v>1.2320101344414108E-2</v>
      </c>
      <c r="I20" s="9">
        <f t="shared" si="3"/>
        <v>81.168163478898379</v>
      </c>
      <c r="J20" s="23">
        <f t="shared" si="6"/>
        <v>5.4670996450086502E-3</v>
      </c>
      <c r="K20" s="8">
        <f>1-GEVCUM(KVD!$D$5,KVD!$E$5,KVD!$F$5,$A20)</f>
        <v>5.140011094685526E-2</v>
      </c>
      <c r="L20" s="3">
        <f t="shared" si="7"/>
        <v>5.2768182497185921E-2</v>
      </c>
      <c r="M20" s="9">
        <f t="shared" si="8"/>
        <v>18.95081377974936</v>
      </c>
      <c r="N20" s="23">
        <f t="shared" si="14"/>
        <v>2.1764062219738915E-2</v>
      </c>
      <c r="O20" s="8">
        <f>1-GEVCUM(KVD!$D$6,KVD!$E$6,KVD!$F$6,$A20)</f>
        <v>0.23876917484538773</v>
      </c>
      <c r="P20" s="3">
        <f t="shared" si="9"/>
        <v>0.27281864890632035</v>
      </c>
      <c r="Q20" s="9">
        <f t="shared" si="10"/>
        <v>3.6654385761707111</v>
      </c>
      <c r="R20" s="23">
        <f t="shared" si="15"/>
        <v>9.0263150387408342E-2</v>
      </c>
      <c r="S20" s="8">
        <f>1-GEVCUM(KVD!$D$7,KVD!$E$7,KVD!$F$7,$A20)</f>
        <v>0.30297238886216904</v>
      </c>
      <c r="T20" s="3">
        <f t="shared" si="11"/>
        <v>0.36093025474823004</v>
      </c>
      <c r="U20" s="9">
        <f t="shared" si="12"/>
        <v>2.7706183863626466</v>
      </c>
      <c r="V20" s="32">
        <f t="shared" si="16"/>
        <v>0.11195995793223629</v>
      </c>
    </row>
    <row r="21" spans="1:22" x14ac:dyDescent="0.25">
      <c r="A21" s="23">
        <f t="shared" si="4"/>
        <v>102.5</v>
      </c>
      <c r="B21" s="13">
        <f t="shared" si="13"/>
        <v>100</v>
      </c>
      <c r="C21" s="6">
        <f>1-GEVCUM(KVD!$D$3,KVD!$E$3,KVD!$F$3,$A21)</f>
        <v>2.5695159339148566E-3</v>
      </c>
      <c r="D21" s="3">
        <f t="shared" si="0"/>
        <v>2.57282280590365E-3</v>
      </c>
      <c r="E21" s="3">
        <f t="shared" si="1"/>
        <v>388.67814670539309</v>
      </c>
      <c r="F21" s="23">
        <f t="shared" si="5"/>
        <v>1.1313951983036542E-3</v>
      </c>
      <c r="G21" s="8">
        <f>1-GEVCUM(KVD!$D$4,KVD!$E$4,KVD!$F$4,$A21)</f>
        <v>8.5599187880655014E-3</v>
      </c>
      <c r="H21" s="3">
        <f t="shared" si="2"/>
        <v>8.5967653124108916E-3</v>
      </c>
      <c r="I21" s="9">
        <f t="shared" si="3"/>
        <v>116.32282185909276</v>
      </c>
      <c r="J21" s="23">
        <f t="shared" si="6"/>
        <v>3.7233360320032168E-3</v>
      </c>
      <c r="K21" s="8">
        <f>1-GEVCUM(KVD!$D$5,KVD!$E$5,KVD!$F$5,$A21)</f>
        <v>3.6763985382834319E-2</v>
      </c>
      <c r="L21" s="3">
        <f t="shared" si="7"/>
        <v>3.7456814535679964E-2</v>
      </c>
      <c r="M21" s="9">
        <f t="shared" si="8"/>
        <v>26.697411736586339</v>
      </c>
      <c r="N21" s="23">
        <f t="shared" si="14"/>
        <v>1.5311367961505958E-2</v>
      </c>
      <c r="O21" s="8">
        <f>1-GEVCUM(KVD!$D$6,KVD!$E$6,KVD!$F$6,$A21)</f>
        <v>0.18471377201124628</v>
      </c>
      <c r="P21" s="3">
        <f t="shared" si="9"/>
        <v>0.20421602741135325</v>
      </c>
      <c r="Q21" s="9">
        <f t="shared" si="10"/>
        <v>4.896775305425443</v>
      </c>
      <c r="R21" s="23">
        <f t="shared" si="15"/>
        <v>6.8602621494967098E-2</v>
      </c>
      <c r="S21" s="8">
        <f>1-GEVCUM(KVD!$D$7,KVD!$E$7,KVD!$F$7,$A21)</f>
        <v>0.23981370914491607</v>
      </c>
      <c r="T21" s="3">
        <f t="shared" si="11"/>
        <v>0.27419175619248487</v>
      </c>
      <c r="U21" s="9">
        <f t="shared" si="12"/>
        <v>3.6470826617339718</v>
      </c>
      <c r="V21" s="32">
        <f t="shared" si="16"/>
        <v>8.6738498555745169E-2</v>
      </c>
    </row>
    <row r="22" spans="1:22" x14ac:dyDescent="0.25">
      <c r="A22" s="23">
        <f t="shared" si="4"/>
        <v>107.5</v>
      </c>
      <c r="B22" s="13">
        <f t="shared" si="13"/>
        <v>105</v>
      </c>
      <c r="C22" s="6">
        <f>1-GEVCUM(KVD!$D$3,KVD!$E$3,KVD!$F$3,$A22)</f>
        <v>1.8023288768213019E-3</v>
      </c>
      <c r="D22" s="3">
        <f t="shared" si="0"/>
        <v>1.8039550257085593E-3</v>
      </c>
      <c r="E22" s="3">
        <f t="shared" si="1"/>
        <v>554.33754486601958</v>
      </c>
      <c r="F22" s="23">
        <f t="shared" si="5"/>
        <v>2.57282280590365E-3</v>
      </c>
      <c r="G22" s="8">
        <f>1-GEVCUM(KVD!$D$4,KVD!$E$4,KVD!$F$4,$A22)</f>
        <v>6.0232621762879024E-3</v>
      </c>
      <c r="H22" s="3">
        <f t="shared" si="2"/>
        <v>6.041475191246877E-3</v>
      </c>
      <c r="I22" s="9">
        <f t="shared" si="3"/>
        <v>165.52248719796759</v>
      </c>
      <c r="J22" s="23">
        <f t="shared" si="6"/>
        <v>2.5552901211640146E-3</v>
      </c>
      <c r="K22" s="8">
        <f>1-GEVCUM(KVD!$D$5,KVD!$E$5,KVD!$F$5,$A22)</f>
        <v>2.6304367301653642E-2</v>
      </c>
      <c r="L22" s="3">
        <f t="shared" si="7"/>
        <v>2.6656516271584805E-2</v>
      </c>
      <c r="M22" s="9">
        <f t="shared" si="8"/>
        <v>37.514279428402865</v>
      </c>
      <c r="N22" s="23">
        <f t="shared" si="14"/>
        <v>1.0800298264095162E-2</v>
      </c>
      <c r="O22" s="8">
        <f>1-GEVCUM(KVD!$D$6,KVD!$E$6,KVD!$F$6,$A22)</f>
        <v>0.14124144011888595</v>
      </c>
      <c r="P22" s="3">
        <f t="shared" si="9"/>
        <v>0.1522674676569869</v>
      </c>
      <c r="Q22" s="9">
        <f t="shared" si="10"/>
        <v>6.5673910217821518</v>
      </c>
      <c r="R22" s="23">
        <f t="shared" si="15"/>
        <v>5.1948559754366352E-2</v>
      </c>
      <c r="S22" s="8">
        <f>1-GEVCUM(KVD!$D$7,KVD!$E$7,KVD!$F$7,$A22)</f>
        <v>0.18721751867490466</v>
      </c>
      <c r="T22" s="3">
        <f t="shared" si="11"/>
        <v>0.20729175587802498</v>
      </c>
      <c r="U22" s="9">
        <f t="shared" si="12"/>
        <v>4.8241185268767852</v>
      </c>
      <c r="V22" s="32">
        <f t="shared" si="16"/>
        <v>6.690000031445989E-2</v>
      </c>
    </row>
    <row r="23" spans="1:22" x14ac:dyDescent="0.25">
      <c r="A23" s="23">
        <f t="shared" si="4"/>
        <v>112.5</v>
      </c>
      <c r="B23" s="13">
        <f t="shared" si="13"/>
        <v>110</v>
      </c>
      <c r="C23" s="6"/>
      <c r="D23" s="3"/>
      <c r="E23" s="3"/>
      <c r="F23" s="23"/>
      <c r="G23" s="8">
        <f>1-GEVCUM(KVD!$D$4,KVD!$E$4,KVD!$F$4,$A23)</f>
        <v>4.2657020099606813E-3</v>
      </c>
      <c r="H23" s="3">
        <f t="shared" si="2"/>
        <v>4.2748260730469676E-3</v>
      </c>
      <c r="I23" s="9">
        <f t="shared" si="3"/>
        <v>233.92764592343519</v>
      </c>
      <c r="J23" s="23">
        <f t="shared" si="6"/>
        <v>6.041475191246877E-3</v>
      </c>
      <c r="K23" s="8">
        <f>1-GEVCUM(KVD!$D$5,KVD!$E$5,KVD!$F$5,$A23)</f>
        <v>1.8838659615729836E-2</v>
      </c>
      <c r="L23" s="3">
        <f t="shared" si="7"/>
        <v>1.9018367716179176E-2</v>
      </c>
      <c r="M23" s="9">
        <f t="shared" si="8"/>
        <v>52.580747986552325</v>
      </c>
      <c r="N23" s="23">
        <f t="shared" si="14"/>
        <v>7.6381485554056251E-3</v>
      </c>
      <c r="O23" s="8">
        <f>1-GEVCUM(KVD!$D$6,KVD!$E$6,KVD!$F$6,$A23)</f>
        <v>0.10691931498576357</v>
      </c>
      <c r="P23" s="3">
        <f t="shared" si="9"/>
        <v>0.11307834942769944</v>
      </c>
      <c r="Q23" s="9">
        <f t="shared" si="10"/>
        <v>8.8434258641118966</v>
      </c>
      <c r="R23" s="23">
        <f t="shared" si="15"/>
        <v>3.9189118229287445E-2</v>
      </c>
      <c r="S23" s="8">
        <f>1-GEVCUM(KVD!$D$7,KVD!$E$7,KVD!$F$7,$A23)</f>
        <v>0.14438124269924169</v>
      </c>
      <c r="T23" s="3">
        <f t="shared" si="11"/>
        <v>0.15593037903527807</v>
      </c>
      <c r="U23" s="9">
        <f t="shared" si="12"/>
        <v>6.4131185095994514</v>
      </c>
      <c r="V23" s="32">
        <f t="shared" si="16"/>
        <v>5.1361376842746914E-2</v>
      </c>
    </row>
    <row r="24" spans="1:22" x14ac:dyDescent="0.25">
      <c r="A24" s="23">
        <f t="shared" si="4"/>
        <v>117.5</v>
      </c>
      <c r="B24" s="13">
        <f t="shared" si="13"/>
        <v>115</v>
      </c>
      <c r="C24" s="6"/>
      <c r="D24" s="28"/>
      <c r="E24" s="3"/>
      <c r="F24" s="23"/>
      <c r="G24" s="8"/>
      <c r="H24" s="3"/>
      <c r="I24" s="9"/>
      <c r="J24" s="23"/>
      <c r="K24" s="8">
        <f>1-GEVCUM(KVD!$D$5,KVD!$E$5,KVD!$F$5,$A24)</f>
        <v>1.3510573131521486E-2</v>
      </c>
      <c r="L24" s="3">
        <f t="shared" si="7"/>
        <v>1.3602671399023389E-2</v>
      </c>
      <c r="M24" s="9">
        <f t="shared" si="8"/>
        <v>73.514971483601045</v>
      </c>
      <c r="N24" s="23">
        <f t="shared" si="14"/>
        <v>5.4156963171557871E-3</v>
      </c>
      <c r="O24" s="8">
        <f>1-GEVCUM(KVD!$D$6,KVD!$E$6,KVD!$F$6,$A24)</f>
        <v>8.0227836059720059E-2</v>
      </c>
      <c r="P24" s="3">
        <f t="shared" si="9"/>
        <v>8.3629287499853724E-2</v>
      </c>
      <c r="Q24" s="9">
        <f t="shared" si="10"/>
        <v>11.957533417963761</v>
      </c>
      <c r="R24" s="23">
        <f t="shared" si="15"/>
        <v>2.9449061927845729E-2</v>
      </c>
      <c r="S24" s="8">
        <f>1-GEVCUM(KVD!$D$7,KVD!$E$7,KVD!$F$7,$A24)</f>
        <v>0.11013594813299954</v>
      </c>
      <c r="T24" s="3">
        <f t="shared" si="11"/>
        <v>0.11668657863476503</v>
      </c>
      <c r="U24" s="9">
        <f t="shared" si="12"/>
        <v>8.5699659009632221</v>
      </c>
      <c r="V24" s="32">
        <f t="shared" si="16"/>
        <v>3.9243800400513035E-2</v>
      </c>
    </row>
    <row r="25" spans="1:22" x14ac:dyDescent="0.25">
      <c r="A25" s="23">
        <f t="shared" si="4"/>
        <v>122.5</v>
      </c>
      <c r="B25" s="13">
        <f t="shared" si="13"/>
        <v>120</v>
      </c>
      <c r="C25" s="6"/>
      <c r="D25" s="43"/>
      <c r="E25" s="3"/>
      <c r="F25" s="23"/>
      <c r="G25" s="8"/>
      <c r="H25" s="3"/>
      <c r="I25" s="9"/>
      <c r="J25" s="23"/>
      <c r="K25" s="8">
        <f>1-GEVCUM(KVD!$D$5,KVD!$E$5,KVD!$F$5,$A25)</f>
        <v>9.7056435840660038E-3</v>
      </c>
      <c r="L25" s="3">
        <f t="shared" si="7"/>
        <v>9.7530503341560805E-3</v>
      </c>
      <c r="M25" s="9">
        <f t="shared" si="8"/>
        <v>102.53202492946313</v>
      </c>
      <c r="N25" s="23">
        <f t="shared" si="14"/>
        <v>1.3602671399023389E-2</v>
      </c>
      <c r="O25" s="8">
        <f>1-GEVCUM(KVD!$D$6,KVD!$E$6,KVD!$F$6,$A25)</f>
        <v>5.9729448866555179E-2</v>
      </c>
      <c r="P25" s="3">
        <f t="shared" si="9"/>
        <v>6.158762477569122E-2</v>
      </c>
      <c r="Q25" s="9">
        <f t="shared" si="10"/>
        <v>16.237028195877141</v>
      </c>
      <c r="R25" s="23">
        <f t="shared" si="15"/>
        <v>2.2041662724162497E-2</v>
      </c>
      <c r="S25" s="8">
        <f>1-GEVCUM(KVD!$D$7,KVD!$E$7,KVD!$F$7,$A25)</f>
        <v>8.3185150263740959E-2</v>
      </c>
      <c r="T25" s="3">
        <f t="shared" si="11"/>
        <v>8.6849735796534197E-2</v>
      </c>
      <c r="U25" s="9">
        <f t="shared" si="12"/>
        <v>11.514139805131171</v>
      </c>
      <c r="V25" s="32">
        <f t="shared" si="16"/>
        <v>2.9836842838230834E-2</v>
      </c>
    </row>
    <row r="26" spans="1:22" x14ac:dyDescent="0.25">
      <c r="A26" s="23">
        <f t="shared" si="4"/>
        <v>127.5</v>
      </c>
      <c r="B26" s="13">
        <f t="shared" si="13"/>
        <v>125</v>
      </c>
      <c r="C26" s="6"/>
      <c r="D26" s="3"/>
      <c r="E26" s="3"/>
      <c r="F26" s="23"/>
      <c r="G26" s="8"/>
      <c r="H26" s="3"/>
      <c r="I26" s="9"/>
      <c r="J26" s="23"/>
      <c r="K26" s="8"/>
      <c r="L26" s="3"/>
      <c r="M26" s="9"/>
      <c r="N26" s="23"/>
      <c r="O26" s="8">
        <f>1-GEVCUM(KVD!$D$6,KVD!$E$6,KVD!$F$6,$A26)</f>
        <v>4.4153285156963595E-2</v>
      </c>
      <c r="P26" s="3">
        <f t="shared" si="9"/>
        <v>4.5157718908934268E-2</v>
      </c>
      <c r="Q26" s="9">
        <f t="shared" si="10"/>
        <v>22.144608367322871</v>
      </c>
      <c r="R26" s="23">
        <f t="shared" si="15"/>
        <v>1.6429905866756959E-2</v>
      </c>
      <c r="S26" s="8">
        <f>1-GEVCUM(KVD!$D$7,KVD!$E$7,KVD!$F$7,$A26)</f>
        <v>6.2258830648654229E-2</v>
      </c>
      <c r="T26" s="3">
        <f t="shared" si="11"/>
        <v>6.4281306911884328E-2</v>
      </c>
      <c r="U26" s="9">
        <f t="shared" si="12"/>
        <v>15.556622104320034</v>
      </c>
      <c r="V26" s="32">
        <f t="shared" si="16"/>
        <v>2.2568428884649869E-2</v>
      </c>
    </row>
    <row r="27" spans="1:22" x14ac:dyDescent="0.25">
      <c r="A27" s="23">
        <f t="shared" si="4"/>
        <v>132.5</v>
      </c>
      <c r="B27" s="13">
        <f t="shared" si="13"/>
        <v>130</v>
      </c>
      <c r="C27" s="6"/>
      <c r="D27" s="3"/>
      <c r="E27" s="3"/>
      <c r="F27" s="23"/>
      <c r="G27" s="8"/>
      <c r="H27" s="3"/>
      <c r="I27" s="9"/>
      <c r="J27" s="23"/>
      <c r="K27" s="8"/>
      <c r="L27" s="3"/>
      <c r="M27" s="9"/>
      <c r="N27" s="23"/>
      <c r="O27" s="8">
        <f>1-GEVCUM(KVD!$D$6,KVD!$E$6,KVD!$F$6,$A27)</f>
        <v>3.2425079875240681E-2</v>
      </c>
      <c r="P27" s="3">
        <f t="shared" si="9"/>
        <v>3.2962420254819408E-2</v>
      </c>
      <c r="Q27" s="9">
        <f t="shared" si="10"/>
        <v>30.337578135021527</v>
      </c>
      <c r="R27" s="23">
        <f t="shared" si="15"/>
        <v>1.219529865411486E-2</v>
      </c>
      <c r="S27" s="8">
        <f>1-GEVCUM(KVD!$D$7,KVD!$E$7,KVD!$F$7,$A27)</f>
        <v>4.6200279645250752E-2</v>
      </c>
      <c r="T27" s="3">
        <f t="shared" si="11"/>
        <v>4.7301566308715272E-2</v>
      </c>
      <c r="U27" s="9">
        <f t="shared" si="12"/>
        <v>21.140948979859697</v>
      </c>
      <c r="V27" s="32">
        <f t="shared" si="16"/>
        <v>1.6979740603169056E-2</v>
      </c>
    </row>
    <row r="28" spans="1:22" x14ac:dyDescent="0.25">
      <c r="A28" s="23">
        <f t="shared" si="4"/>
        <v>137.5</v>
      </c>
      <c r="B28" s="13">
        <f t="shared" si="13"/>
        <v>135</v>
      </c>
      <c r="C28" s="6"/>
      <c r="D28" s="3"/>
      <c r="E28" s="3"/>
      <c r="F28" s="23"/>
      <c r="G28" s="8"/>
      <c r="H28" s="3"/>
      <c r="I28" s="9"/>
      <c r="J28" s="23"/>
      <c r="K28" s="8"/>
      <c r="L28" s="3"/>
      <c r="M28" s="9"/>
      <c r="N28" s="23"/>
      <c r="O28" s="8">
        <f>1-GEVCUM(KVD!$D$6,KVD!$E$6,KVD!$F$6,$A28)</f>
        <v>2.3665037431126357E-2</v>
      </c>
      <c r="P28" s="3">
        <f t="shared" si="9"/>
        <v>2.3949552095117291E-2</v>
      </c>
      <c r="Q28" s="9">
        <f t="shared" si="10"/>
        <v>41.754434322129754</v>
      </c>
      <c r="R28" s="23">
        <f t="shared" si="15"/>
        <v>9.0128681597021164E-3</v>
      </c>
      <c r="S28" s="8">
        <f>1-GEVCUM(KVD!$D$7,KVD!$E$7,KVD!$F$7,$A28)</f>
        <v>3.4005597468888316E-2</v>
      </c>
      <c r="T28" s="3">
        <f t="shared" si="11"/>
        <v>3.4597239267657974E-2</v>
      </c>
      <c r="U28" s="9">
        <f t="shared" si="12"/>
        <v>28.904040356041218</v>
      </c>
      <c r="V28" s="32">
        <f t="shared" si="16"/>
        <v>1.2704327041057298E-2</v>
      </c>
    </row>
    <row r="29" spans="1:22" x14ac:dyDescent="0.25">
      <c r="A29" s="23">
        <f t="shared" si="4"/>
        <v>142.5</v>
      </c>
      <c r="B29" s="13">
        <f t="shared" si="13"/>
        <v>140</v>
      </c>
      <c r="C29" s="6"/>
      <c r="D29" s="3"/>
      <c r="E29" s="3"/>
      <c r="F29" s="23"/>
      <c r="G29" s="8"/>
      <c r="H29" s="3"/>
      <c r="I29" s="9"/>
      <c r="J29" s="23"/>
      <c r="K29" s="8"/>
      <c r="L29" s="3"/>
      <c r="M29" s="9"/>
      <c r="N29" s="23"/>
      <c r="O29" s="8">
        <f>1-GEVCUM(KVD!$D$6,KVD!$E$6,KVD!$F$6,$A29)</f>
        <v>1.7169268163474749E-2</v>
      </c>
      <c r="P29" s="3">
        <f t="shared" si="9"/>
        <v>1.7318369149064979E-2</v>
      </c>
      <c r="Q29" s="9">
        <f t="shared" si="10"/>
        <v>57.742157554944491</v>
      </c>
      <c r="R29" s="23">
        <f t="shared" si="15"/>
        <v>6.6311829460523122E-3</v>
      </c>
      <c r="S29" s="8">
        <f>1-GEVCUM(KVD!$D$7,KVD!$E$7,KVD!$F$7,$A29)</f>
        <v>2.4832925965336816E-2</v>
      </c>
      <c r="T29" s="3">
        <f t="shared" si="11"/>
        <v>2.514646468012232E-2</v>
      </c>
      <c r="U29" s="9">
        <f t="shared" si="12"/>
        <v>39.767021437032305</v>
      </c>
      <c r="V29" s="32">
        <f t="shared" si="16"/>
        <v>9.4507745875356541E-3</v>
      </c>
    </row>
    <row r="30" spans="1:22" x14ac:dyDescent="0.25">
      <c r="A30" s="23">
        <f t="shared" si="4"/>
        <v>147.5</v>
      </c>
      <c r="B30" s="13">
        <f t="shared" si="13"/>
        <v>145</v>
      </c>
      <c r="C30" s="6"/>
      <c r="D30" s="3"/>
      <c r="E30" s="3"/>
      <c r="F30" s="23"/>
      <c r="G30" s="8"/>
      <c r="H30" s="3"/>
      <c r="I30" s="9"/>
      <c r="J30" s="23"/>
      <c r="K30" s="8"/>
      <c r="L30" s="3"/>
      <c r="M30" s="9"/>
      <c r="N30" s="23"/>
      <c r="O30" s="8">
        <f>1-GEVCUM(KVD!$D$6,KVD!$E$6,KVD!$F$6,$A30)</f>
        <v>1.2384600018736092E-2</v>
      </c>
      <c r="P30" s="3">
        <f t="shared" si="9"/>
        <v>1.2461928294024122E-2</v>
      </c>
      <c r="Q30" s="9">
        <f t="shared" si="10"/>
        <v>80.244403306311014</v>
      </c>
      <c r="R30" s="23">
        <f t="shared" si="15"/>
        <v>4.8564408550408576E-3</v>
      </c>
      <c r="S30" s="8">
        <f>1-GEVCUM(KVD!$D$7,KVD!$E$7,KVD!$F$7,$A30)</f>
        <v>1.799421725557282E-2</v>
      </c>
      <c r="T30" s="3">
        <f t="shared" si="11"/>
        <v>1.8158081903230528E-2</v>
      </c>
      <c r="U30" s="9">
        <f t="shared" si="12"/>
        <v>55.071896102753492</v>
      </c>
      <c r="V30" s="32">
        <f t="shared" si="16"/>
        <v>6.9883827768917918E-3</v>
      </c>
    </row>
    <row r="31" spans="1:22" x14ac:dyDescent="0.25">
      <c r="A31" s="23">
        <f t="shared" si="4"/>
        <v>152.5</v>
      </c>
      <c r="B31" s="13">
        <f t="shared" si="13"/>
        <v>150</v>
      </c>
      <c r="C31" s="6"/>
      <c r="D31" s="3"/>
      <c r="E31" s="3"/>
      <c r="F31" s="23"/>
      <c r="G31" s="8"/>
      <c r="H31" s="3"/>
      <c r="I31" s="9"/>
      <c r="J31" s="23"/>
      <c r="K31" s="8"/>
      <c r="L31" s="3"/>
      <c r="M31" s="9"/>
      <c r="N31" s="23"/>
      <c r="O31" s="8">
        <f>1-GEVCUM(KVD!$D$6,KVD!$E$6,KVD!$F$6,$A31)</f>
        <v>8.8824070503633612E-3</v>
      </c>
      <c r="P31" s="3">
        <f t="shared" si="9"/>
        <v>8.9220907940804201E-3</v>
      </c>
      <c r="Q31" s="9">
        <f t="shared" si="10"/>
        <v>112.08135212695599</v>
      </c>
      <c r="R31" s="23">
        <f t="shared" si="15"/>
        <v>1.2461928294024122E-2</v>
      </c>
      <c r="S31" s="8">
        <f>1-GEVCUM(KVD!$D$7,KVD!$E$7,KVD!$F$7,$A31)</f>
        <v>1.2938284752685547E-2</v>
      </c>
      <c r="T31" s="3">
        <f t="shared" si="11"/>
        <v>1.3022713390675825E-2</v>
      </c>
      <c r="U31" s="9">
        <f t="shared" si="12"/>
        <v>76.788912571476331</v>
      </c>
      <c r="V31" s="32">
        <f t="shared" si="16"/>
        <v>5.1353685125547031E-3</v>
      </c>
    </row>
    <row r="32" spans="1:22" x14ac:dyDescent="0.25">
      <c r="A32" s="23">
        <f t="shared" si="4"/>
        <v>157.5</v>
      </c>
      <c r="B32" s="13">
        <f t="shared" si="13"/>
        <v>155</v>
      </c>
      <c r="C32" s="6"/>
      <c r="D32" s="3"/>
      <c r="E32" s="3"/>
      <c r="F32" s="23"/>
      <c r="G32" s="8"/>
      <c r="H32" s="3"/>
      <c r="I32" s="9"/>
      <c r="J32" s="23"/>
      <c r="K32" s="8"/>
      <c r="L32" s="3"/>
      <c r="M32" s="9"/>
      <c r="N32" s="23"/>
      <c r="O32" s="8"/>
      <c r="P32" s="3"/>
      <c r="Q32" s="9"/>
      <c r="R32" s="23"/>
      <c r="S32" s="8">
        <f>1-GEVCUM(KVD!$D$7,KVD!$E$7,KVD!$F$7,$A32)</f>
        <v>9.2306567602639111E-3</v>
      </c>
      <c r="T32" s="3">
        <f t="shared" si="11"/>
        <v>9.2735232669684531E-3</v>
      </c>
      <c r="U32" s="9">
        <f t="shared" si="12"/>
        <v>107.83388052326562</v>
      </c>
      <c r="V32" s="32">
        <f t="shared" si="16"/>
        <v>1.3022713390675825E-2</v>
      </c>
    </row>
    <row r="33" spans="1:22" x14ac:dyDescent="0.25">
      <c r="A33" s="23">
        <f t="shared" si="4"/>
        <v>162.5</v>
      </c>
      <c r="B33" s="13">
        <f t="shared" si="13"/>
        <v>160</v>
      </c>
      <c r="C33" s="6"/>
      <c r="D33" s="3"/>
      <c r="E33" s="3"/>
      <c r="F33" s="23"/>
      <c r="G33" s="8"/>
      <c r="H33" s="3"/>
      <c r="I33" s="9"/>
      <c r="J33" s="23"/>
      <c r="K33" s="8"/>
      <c r="L33" s="3"/>
      <c r="M33" s="9"/>
      <c r="N33" s="23"/>
      <c r="O33" s="8"/>
      <c r="P33" s="3"/>
      <c r="Q33" s="9"/>
      <c r="R33" s="23"/>
      <c r="S33" s="8"/>
      <c r="T33" s="3"/>
      <c r="U33" s="9"/>
      <c r="V33" s="32"/>
    </row>
    <row r="34" spans="1:22" x14ac:dyDescent="0.25">
      <c r="A34" s="23">
        <f t="shared" si="4"/>
        <v>167.5</v>
      </c>
      <c r="B34" s="13">
        <f t="shared" si="13"/>
        <v>165</v>
      </c>
      <c r="C34" s="6"/>
      <c r="D34" s="3"/>
      <c r="E34" s="3"/>
      <c r="F34" s="23"/>
      <c r="G34" s="8"/>
      <c r="H34" s="3"/>
      <c r="I34" s="9"/>
      <c r="J34" s="23"/>
      <c r="K34" s="8"/>
      <c r="L34" s="3"/>
      <c r="M34" s="9"/>
      <c r="N34" s="23"/>
      <c r="O34" s="8"/>
      <c r="P34" s="3"/>
      <c r="Q34" s="9"/>
      <c r="R34" s="23"/>
      <c r="S34" s="8"/>
      <c r="T34" s="3"/>
      <c r="U34" s="9"/>
      <c r="V34" s="32"/>
    </row>
    <row r="35" spans="1:22" x14ac:dyDescent="0.25">
      <c r="A35" s="23">
        <f t="shared" si="4"/>
        <v>172.5</v>
      </c>
      <c r="B35" s="13">
        <f t="shared" si="13"/>
        <v>170</v>
      </c>
      <c r="C35" s="6"/>
      <c r="D35" s="3"/>
      <c r="E35" s="3"/>
      <c r="F35" s="23"/>
      <c r="G35" s="8"/>
      <c r="H35" s="3"/>
      <c r="I35" s="9"/>
      <c r="J35" s="23"/>
      <c r="K35" s="8"/>
      <c r="L35" s="3"/>
      <c r="M35" s="9"/>
      <c r="N35" s="23"/>
      <c r="O35" s="8"/>
      <c r="P35" s="3"/>
      <c r="Q35" s="9"/>
      <c r="R35" s="23"/>
      <c r="S35" s="8"/>
      <c r="T35" s="3"/>
      <c r="U35" s="9"/>
      <c r="V35" s="32"/>
    </row>
    <row r="36" spans="1:22" x14ac:dyDescent="0.25">
      <c r="A36" s="23">
        <f t="shared" si="4"/>
        <v>177.5</v>
      </c>
      <c r="B36" s="13">
        <f t="shared" si="13"/>
        <v>175</v>
      </c>
      <c r="C36" s="6"/>
      <c r="D36" s="3"/>
      <c r="E36" s="3"/>
      <c r="F36" s="23"/>
      <c r="G36" s="8"/>
      <c r="H36" s="3"/>
      <c r="I36" s="9"/>
      <c r="J36" s="23"/>
      <c r="K36" s="8"/>
      <c r="L36" s="3"/>
      <c r="M36" s="9"/>
      <c r="N36" s="23"/>
      <c r="O36" s="8"/>
      <c r="P36" s="3"/>
      <c r="Q36" s="9"/>
      <c r="R36" s="23"/>
      <c r="S36" s="8"/>
      <c r="T36" s="3"/>
      <c r="U36" s="9"/>
      <c r="V36" s="32"/>
    </row>
    <row r="37" spans="1:22" x14ac:dyDescent="0.25">
      <c r="A37" s="23">
        <f t="shared" si="4"/>
        <v>182.5</v>
      </c>
      <c r="B37" s="13">
        <f t="shared" si="13"/>
        <v>180</v>
      </c>
      <c r="C37" s="6"/>
      <c r="D37" s="3"/>
      <c r="E37" s="3"/>
      <c r="F37" s="23"/>
      <c r="G37" s="8"/>
      <c r="H37" s="3"/>
      <c r="I37" s="9"/>
      <c r="J37" s="23"/>
      <c r="K37" s="8"/>
      <c r="L37" s="3"/>
      <c r="M37" s="9"/>
      <c r="N37" s="23"/>
      <c r="O37" s="8"/>
      <c r="P37" s="3"/>
      <c r="Q37" s="9"/>
      <c r="R37" s="23"/>
      <c r="S37" s="8"/>
      <c r="T37" s="3"/>
      <c r="U37" s="9"/>
      <c r="V37" s="32"/>
    </row>
    <row r="38" spans="1:22" x14ac:dyDescent="0.25">
      <c r="A38" s="23">
        <f t="shared" si="4"/>
        <v>187.5</v>
      </c>
      <c r="B38" s="13">
        <f t="shared" si="13"/>
        <v>185</v>
      </c>
      <c r="C38" s="6"/>
      <c r="D38" s="3"/>
      <c r="E38" s="3"/>
      <c r="F38" s="23"/>
      <c r="G38" s="8"/>
      <c r="H38" s="3"/>
      <c r="I38" s="9"/>
      <c r="J38" s="23"/>
      <c r="K38" s="8"/>
      <c r="L38" s="3"/>
      <c r="M38" s="9"/>
      <c r="N38" s="23"/>
      <c r="O38" s="8"/>
      <c r="P38" s="3"/>
      <c r="Q38" s="9"/>
      <c r="R38" s="23"/>
      <c r="S38" s="8"/>
      <c r="T38" s="3"/>
      <c r="U38" s="9"/>
      <c r="V38" s="32"/>
    </row>
    <row r="39" spans="1:22" x14ac:dyDescent="0.25">
      <c r="A39" s="23">
        <f t="shared" si="4"/>
        <v>192.5</v>
      </c>
      <c r="B39" s="13">
        <f t="shared" si="13"/>
        <v>190</v>
      </c>
      <c r="C39" s="6"/>
      <c r="D39" s="3"/>
      <c r="E39" s="3"/>
      <c r="F39" s="23"/>
      <c r="G39" s="8"/>
      <c r="H39" s="3"/>
      <c r="I39" s="9"/>
      <c r="J39" s="23"/>
      <c r="K39" s="8"/>
      <c r="L39" s="3"/>
      <c r="M39" s="9"/>
      <c r="N39" s="23"/>
      <c r="O39" s="8"/>
      <c r="P39" s="3"/>
      <c r="Q39" s="9"/>
      <c r="R39" s="23"/>
      <c r="S39" s="8"/>
      <c r="T39" s="3"/>
      <c r="U39" s="9"/>
      <c r="V39" s="32"/>
    </row>
    <row r="40" spans="1:22" x14ac:dyDescent="0.25">
      <c r="A40" s="23">
        <f t="shared" si="4"/>
        <v>197.5</v>
      </c>
      <c r="B40" s="13">
        <f t="shared" si="13"/>
        <v>195</v>
      </c>
      <c r="C40" s="6"/>
      <c r="D40" s="3"/>
      <c r="E40" s="3"/>
      <c r="F40" s="23"/>
      <c r="G40" s="8"/>
      <c r="H40" s="3"/>
      <c r="I40" s="9"/>
      <c r="J40" s="23"/>
      <c r="K40" s="8"/>
      <c r="L40" s="3"/>
      <c r="M40" s="9"/>
      <c r="N40" s="23"/>
      <c r="O40" s="8"/>
      <c r="P40" s="3"/>
      <c r="Q40" s="9"/>
      <c r="R40" s="23"/>
      <c r="S40" s="8"/>
      <c r="T40" s="3"/>
      <c r="U40" s="9"/>
      <c r="V40" s="32"/>
    </row>
    <row r="41" spans="1:22" x14ac:dyDescent="0.25">
      <c r="A41" s="14">
        <f t="shared" si="4"/>
        <v>202.5</v>
      </c>
      <c r="B41" s="15">
        <f t="shared" si="13"/>
        <v>200</v>
      </c>
      <c r="C41" s="7"/>
      <c r="D41" s="4"/>
      <c r="E41" s="4"/>
      <c r="F41" s="14"/>
      <c r="G41" s="10"/>
      <c r="H41" s="4"/>
      <c r="I41" s="11"/>
      <c r="J41" s="14"/>
      <c r="K41" s="10"/>
      <c r="L41" s="4"/>
      <c r="M41" s="11"/>
      <c r="N41" s="14"/>
      <c r="O41" s="10"/>
      <c r="P41" s="4"/>
      <c r="Q41" s="11"/>
      <c r="R41" s="14"/>
      <c r="S41" s="10"/>
      <c r="T41" s="4"/>
      <c r="U41" s="11"/>
      <c r="V41" s="33"/>
    </row>
  </sheetData>
  <mergeCells count="11">
    <mergeCell ref="S2:U2"/>
    <mergeCell ref="A1:B2"/>
    <mergeCell ref="C1:F1"/>
    <mergeCell ref="G1:J1"/>
    <mergeCell ref="K1:N1"/>
    <mergeCell ref="O1:R1"/>
    <mergeCell ref="S1:V1"/>
    <mergeCell ref="C2:E2"/>
    <mergeCell ref="G2:I2"/>
    <mergeCell ref="K2:M2"/>
    <mergeCell ref="O2:Q2"/>
  </mergeCells>
  <pageMargins left="0.7" right="0.7" top="0.75" bottom="0.75" header="0.3" footer="0.3"/>
  <pageSetup paperSize="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D773B-EC96-4C62-B603-4BFA092AD0CA}">
  <sheetPr codeName="Blad25">
    <tabColor theme="8" tint="-0.249977111117893"/>
  </sheetPr>
  <dimension ref="A1:V37"/>
  <sheetViews>
    <sheetView workbookViewId="0">
      <selection activeCell="H35" sqref="H35"/>
    </sheetView>
  </sheetViews>
  <sheetFormatPr defaultColWidth="9.140625" defaultRowHeight="15" x14ac:dyDescent="0.25"/>
  <cols>
    <col min="1" max="1" width="11.42578125" bestFit="1" customWidth="1"/>
    <col min="2" max="2" width="14" bestFit="1" customWidth="1"/>
    <col min="4" max="4" width="12.28515625" style="19" bestFit="1" customWidth="1"/>
    <col min="5" max="5" width="12" style="19" bestFit="1" customWidth="1"/>
    <col min="6" max="6" width="14.7109375" bestFit="1" customWidth="1"/>
    <col min="8" max="8" width="12.28515625" bestFit="1" customWidth="1"/>
    <col min="9" max="9" width="12" bestFit="1" customWidth="1"/>
    <col min="10" max="10" width="13.7109375" bestFit="1" customWidth="1"/>
    <col min="12" max="12" width="12.28515625" bestFit="1" customWidth="1"/>
    <col min="13" max="13" width="7.5703125" bestFit="1" customWidth="1"/>
    <col min="14" max="14" width="14.7109375" bestFit="1" customWidth="1"/>
    <col min="15" max="15" width="7.7109375" bestFit="1" customWidth="1"/>
    <col min="16" max="16" width="12.28515625" bestFit="1" customWidth="1"/>
    <col min="17" max="17" width="16.42578125" bestFit="1" customWidth="1"/>
    <col min="18" max="18" width="14.7109375" bestFit="1" customWidth="1"/>
    <col min="19" max="19" width="7.7109375" bestFit="1" customWidth="1"/>
    <col min="20" max="20" width="12.28515625" bestFit="1" customWidth="1"/>
    <col min="21" max="21" width="11.42578125" bestFit="1" customWidth="1"/>
    <col min="22" max="22" width="14.7109375" bestFit="1" customWidth="1"/>
  </cols>
  <sheetData>
    <row r="1" spans="1:22" x14ac:dyDescent="0.25">
      <c r="A1" s="50" t="s">
        <v>15</v>
      </c>
      <c r="B1" s="51"/>
      <c r="C1" s="63">
        <v>24</v>
      </c>
      <c r="D1" s="64"/>
      <c r="E1" s="64"/>
      <c r="F1" s="65"/>
      <c r="G1" s="66">
        <v>48</v>
      </c>
      <c r="H1" s="67"/>
      <c r="I1" s="67"/>
      <c r="J1" s="68"/>
      <c r="K1" s="66">
        <v>96</v>
      </c>
      <c r="L1" s="67"/>
      <c r="M1" s="67"/>
      <c r="N1" s="68"/>
      <c r="O1" s="66">
        <v>192</v>
      </c>
      <c r="P1" s="67"/>
      <c r="Q1" s="67"/>
      <c r="R1" s="68"/>
      <c r="S1" s="60">
        <v>216</v>
      </c>
      <c r="T1" s="61"/>
      <c r="U1" s="61"/>
      <c r="V1" s="62"/>
    </row>
    <row r="2" spans="1:22" x14ac:dyDescent="0.25">
      <c r="A2" s="52"/>
      <c r="B2" s="53"/>
      <c r="C2" s="57" t="s">
        <v>9</v>
      </c>
      <c r="D2" s="58"/>
      <c r="E2" s="59"/>
      <c r="F2" s="30">
        <f>24/24*365.25</f>
        <v>365.25</v>
      </c>
      <c r="G2" s="54" t="s">
        <v>9</v>
      </c>
      <c r="H2" s="55"/>
      <c r="I2" s="56"/>
      <c r="J2" s="30">
        <f>24/48*365.25</f>
        <v>182.625</v>
      </c>
      <c r="K2" s="54" t="s">
        <v>9</v>
      </c>
      <c r="L2" s="55"/>
      <c r="M2" s="56"/>
      <c r="N2" s="30">
        <f>24/96*365.25</f>
        <v>91.3125</v>
      </c>
      <c r="O2" s="54" t="s">
        <v>9</v>
      </c>
      <c r="P2" s="55"/>
      <c r="Q2" s="56"/>
      <c r="R2" s="30">
        <f>24/192*365.25</f>
        <v>45.65625</v>
      </c>
      <c r="S2" s="54" t="s">
        <v>9</v>
      </c>
      <c r="T2" s="55"/>
      <c r="U2" s="56"/>
      <c r="V2" s="30">
        <f>24/216*365.25</f>
        <v>40.583333333333329</v>
      </c>
    </row>
    <row r="3" spans="1:22" x14ac:dyDescent="0.25">
      <c r="A3" s="24" t="s">
        <v>12</v>
      </c>
      <c r="B3" s="27" t="s">
        <v>14</v>
      </c>
      <c r="C3" s="24" t="s">
        <v>8</v>
      </c>
      <c r="D3" s="25" t="s">
        <v>10</v>
      </c>
      <c r="E3" s="26" t="s">
        <v>17</v>
      </c>
      <c r="F3" s="36" t="s">
        <v>13</v>
      </c>
      <c r="G3" s="24" t="s">
        <v>8</v>
      </c>
      <c r="H3" s="25" t="s">
        <v>10</v>
      </c>
      <c r="I3" s="26" t="s">
        <v>17</v>
      </c>
      <c r="J3" s="29" t="s">
        <v>13</v>
      </c>
      <c r="K3" s="24" t="s">
        <v>8</v>
      </c>
      <c r="L3" s="25" t="s">
        <v>10</v>
      </c>
      <c r="M3" s="26" t="s">
        <v>17</v>
      </c>
      <c r="N3" s="29" t="s">
        <v>13</v>
      </c>
      <c r="O3" s="24" t="s">
        <v>8</v>
      </c>
      <c r="P3" s="25" t="s">
        <v>10</v>
      </c>
      <c r="Q3" s="26" t="s">
        <v>17</v>
      </c>
      <c r="R3" s="29" t="s">
        <v>13</v>
      </c>
      <c r="S3" s="24" t="s">
        <v>8</v>
      </c>
      <c r="T3" s="25" t="s">
        <v>10</v>
      </c>
      <c r="U3" s="26" t="s">
        <v>17</v>
      </c>
      <c r="V3" s="29" t="s">
        <v>13</v>
      </c>
    </row>
    <row r="4" spans="1:22" x14ac:dyDescent="0.25">
      <c r="A4" s="34">
        <v>17.5</v>
      </c>
      <c r="B4" s="12">
        <f>A4-2.5</f>
        <v>15</v>
      </c>
      <c r="C4" s="8">
        <f>1-GEVCUM(KVD!$D$8,KVD!$E$8,KVD!$F$8,$A4)</f>
        <v>0.98469171016403423</v>
      </c>
      <c r="D4" s="3">
        <f t="shared" ref="D4:D20" si="0">-LN(1-C4)</f>
        <v>4.1793607779706816</v>
      </c>
      <c r="E4" s="3">
        <f t="shared" ref="E4:E20" si="1">1/D4</f>
        <v>0.23927104002865174</v>
      </c>
      <c r="F4" s="31">
        <f>KLASSEFREQUENTIEUITHERHALINGSTIJD(F$2,E3,E4,E5)</f>
        <v>361.07063922202934</v>
      </c>
      <c r="G4" s="35">
        <f>1-GEVCUM(KVD!$D$9,KVD!$E$9,KVD!$F$9,$A4)</f>
        <v>0.99991339047318462</v>
      </c>
      <c r="H4" s="2">
        <f t="shared" ref="H4:H22" si="2">-LN(1-G4)</f>
        <v>9.3541007390309527</v>
      </c>
      <c r="I4" s="2">
        <f t="shared" ref="I4:I22" si="3">1/H4</f>
        <v>0.10690498508610204</v>
      </c>
      <c r="J4" s="12">
        <f>KLASSEFREQUENTIEUITHERHALINGSTIJD(J$2,I3,I4,I5)</f>
        <v>173.27089926096906</v>
      </c>
      <c r="K4" s="35"/>
      <c r="L4" s="2"/>
      <c r="M4" s="2"/>
      <c r="N4" s="12"/>
      <c r="O4" s="35"/>
      <c r="P4" s="2"/>
      <c r="Q4" s="2"/>
      <c r="R4" s="12"/>
      <c r="S4" s="6"/>
      <c r="T4" s="3"/>
      <c r="U4" s="3"/>
      <c r="V4" s="31"/>
    </row>
    <row r="5" spans="1:22" x14ac:dyDescent="0.25">
      <c r="A5" s="23">
        <f t="shared" ref="A5:A37" si="4">A4+5</f>
        <v>22.5</v>
      </c>
      <c r="B5" s="13">
        <f t="shared" ref="B5:B37" si="5">A5-2.5</f>
        <v>20</v>
      </c>
      <c r="C5" s="8">
        <f>1-GEVCUM(KVD!$D$8,KVD!$E$8,KVD!$F$8,$A5)</f>
        <v>0.81878660544127801</v>
      </c>
      <c r="D5" s="3">
        <f t="shared" si="0"/>
        <v>1.7080799666995601</v>
      </c>
      <c r="E5" s="3">
        <f t="shared" si="1"/>
        <v>0.58545268341988188</v>
      </c>
      <c r="F5" s="32">
        <f t="shared" ref="F5:F20" si="6">KLASSEFREQUENTIEUITHERHALINGSTIJD(F$2,E4,E5,E6)</f>
        <v>2.4712808112711215</v>
      </c>
      <c r="G5" s="8">
        <f>1-GEVCUM(KVD!$D$9,KVD!$E$9,KVD!$F$9,$A5)</f>
        <v>0.99083646648372947</v>
      </c>
      <c r="H5" s="3">
        <f t="shared" si="2"/>
        <v>4.6925234196290813</v>
      </c>
      <c r="I5" s="3">
        <f t="shared" si="3"/>
        <v>0.21310495666722631</v>
      </c>
      <c r="J5" s="13">
        <f t="shared" ref="J5:J22" si="7">KLASSEFREQUENTIEUITHERHALINGSTIJD(J$2,I4,I5,I6)</f>
        <v>4.6615773194018715</v>
      </c>
      <c r="K5" s="8">
        <f>1-GEVCUM(KVD!$D$10,KVD!$E$10,KVD!$F$10,$A5)</f>
        <v>0.99994658505923995</v>
      </c>
      <c r="L5" s="3">
        <f t="shared" ref="L5:L25" si="8">-LN(1-K5)</f>
        <v>9.8374200616177774</v>
      </c>
      <c r="M5" s="3">
        <f t="shared" ref="M5:M25" si="9">1/L5</f>
        <v>0.10165266845741958</v>
      </c>
      <c r="N5" s="13">
        <f>KLASSEFREQUENTIEUITHERHALINGSTIJD(N$2,M4,M5,M6)</f>
        <v>81.475079938382223</v>
      </c>
      <c r="O5" s="8"/>
      <c r="P5" s="3"/>
      <c r="Q5" s="3"/>
      <c r="R5" s="13"/>
      <c r="S5" s="6"/>
      <c r="T5" s="3"/>
      <c r="U5" s="3"/>
      <c r="V5" s="32"/>
    </row>
    <row r="6" spans="1:22" x14ac:dyDescent="0.25">
      <c r="A6" s="23">
        <f t="shared" si="4"/>
        <v>27.5</v>
      </c>
      <c r="B6" s="13">
        <f t="shared" si="5"/>
        <v>25</v>
      </c>
      <c r="C6" s="8">
        <f>1-GEVCUM(KVD!$D$8,KVD!$E$8,KVD!$F$8,$A6)</f>
        <v>0.52167466864420287</v>
      </c>
      <c r="D6" s="3">
        <f t="shared" si="0"/>
        <v>0.73746416846935237</v>
      </c>
      <c r="E6" s="3">
        <f t="shared" si="1"/>
        <v>1.3559980847280422</v>
      </c>
      <c r="F6" s="32">
        <f t="shared" si="6"/>
        <v>0.97061579823020794</v>
      </c>
      <c r="G6" s="8">
        <f>1-GEVCUM(KVD!$D$9,KVD!$E$9,KVD!$F$9,$A6)</f>
        <v>0.91065168680715713</v>
      </c>
      <c r="H6" s="3">
        <f t="shared" si="2"/>
        <v>2.4152129162024374</v>
      </c>
      <c r="I6" s="3">
        <f t="shared" si="3"/>
        <v>0.41404217130982846</v>
      </c>
      <c r="J6" s="13">
        <f t="shared" si="7"/>
        <v>2.2773105034266439</v>
      </c>
      <c r="K6" s="8">
        <f>1-GEVCUM(KVD!$D$10,KVD!$E$10,KVD!$F$10,$A6)</f>
        <v>0.99779488334101862</v>
      </c>
      <c r="L6" s="3">
        <f t="shared" si="8"/>
        <v>6.1169748649153135</v>
      </c>
      <c r="M6" s="3">
        <f t="shared" si="9"/>
        <v>0.1634795012377159</v>
      </c>
      <c r="N6" s="13">
        <f t="shared" ref="N6:N25" si="10">KLASSEFREQUENTIEUITHERHALINGSTIJD(N$2,M5,M6,M7)</f>
        <v>3.7204451967024639</v>
      </c>
      <c r="O6" s="8">
        <f>1-GEVCUM(KVD!$D$11,KVD!$E$11,KVD!$F$11,$A6)</f>
        <v>0.99997198907848561</v>
      </c>
      <c r="P6" s="3">
        <f t="shared" ref="P6:P32" si="11">-LN(1-O6)</f>
        <v>10.48291606975512</v>
      </c>
      <c r="Q6" s="3">
        <f t="shared" ref="Q6:Q32" si="12">1/P6</f>
        <v>9.5393304052596495E-2</v>
      </c>
      <c r="R6" s="13">
        <f>KLASSEFREQUENTIEUITHERHALINGSTIJD(R$2,Q5,Q6,Q7)</f>
        <v>35.17333393024488</v>
      </c>
      <c r="S6" s="6">
        <f>1-GEVCUM(KVD!$D$12,KVD!$E$12,KVD!$F$12,$A6)</f>
        <v>0.99998248661270739</v>
      </c>
      <c r="T6" s="3">
        <f t="shared" ref="T6:T33" si="13">-LN(1-S6)</f>
        <v>10.952544981339877</v>
      </c>
      <c r="U6" s="3">
        <f t="shared" ref="U6:U33" si="14">1/T6</f>
        <v>9.1302980421785515E-2</v>
      </c>
      <c r="V6" s="32">
        <f>KLASSEFREQUENTIEUITHERHALINGSTIJD(V$2,U5,U6,U7)</f>
        <v>29.630788351993452</v>
      </c>
    </row>
    <row r="7" spans="1:22" x14ac:dyDescent="0.25">
      <c r="A7" s="23">
        <f t="shared" si="4"/>
        <v>32.5</v>
      </c>
      <c r="B7" s="13">
        <f t="shared" si="5"/>
        <v>30</v>
      </c>
      <c r="C7" s="8">
        <f>1-GEVCUM(KVD!$D$8,KVD!$E$8,KVD!$F$8,$A7)</f>
        <v>0.28411480134286526</v>
      </c>
      <c r="D7" s="3">
        <f t="shared" si="0"/>
        <v>0.33423546194789461</v>
      </c>
      <c r="E7" s="3">
        <f t="shared" si="1"/>
        <v>2.9919027567334977</v>
      </c>
      <c r="F7" s="32">
        <f t="shared" si="6"/>
        <v>0.40322870652145776</v>
      </c>
      <c r="G7" s="8">
        <f>1-GEVCUM(KVD!$D$9,KVD!$E$9,KVD!$F$9,$A7)</f>
        <v>0.72002691431184962</v>
      </c>
      <c r="H7" s="3">
        <f t="shared" si="2"/>
        <v>1.2730618029752752</v>
      </c>
      <c r="I7" s="3">
        <f t="shared" si="3"/>
        <v>0.78550781875860076</v>
      </c>
      <c r="J7" s="13">
        <f t="shared" si="7"/>
        <v>1.1421511132271622</v>
      </c>
      <c r="K7" s="8">
        <f>1-GEVCUM(KVD!$D$10,KVD!$E$10,KVD!$F$10,$A7)</f>
        <v>0.97812295701285001</v>
      </c>
      <c r="L7" s="3">
        <f t="shared" si="8"/>
        <v>3.8223174574010939</v>
      </c>
      <c r="M7" s="3">
        <f t="shared" si="9"/>
        <v>0.26162138837100396</v>
      </c>
      <c r="N7" s="13">
        <f t="shared" si="10"/>
        <v>2.2946574075142196</v>
      </c>
      <c r="O7" s="8">
        <f>1-GEVCUM(KVD!$D$11,KVD!$E$11,KVD!$F$11,$A7)</f>
        <v>0.99959405282234204</v>
      </c>
      <c r="P7" s="3">
        <f t="shared" si="11"/>
        <v>7.8092875111175744</v>
      </c>
      <c r="Q7" s="3">
        <f t="shared" si="12"/>
        <v>0.12805265506953933</v>
      </c>
      <c r="R7" s="13">
        <f t="shared" ref="R7:R32" si="15">KLASSEFREQUENTIEUITHERHALINGSTIJD(R$2,Q6,Q7,Q8)</f>
        <v>2.6736285586375468</v>
      </c>
      <c r="S7" s="6">
        <f>1-GEVCUM(KVD!$D$12,KVD!$E$12,KVD!$F$12,$A7)</f>
        <v>0.99977294641347403</v>
      </c>
      <c r="T7" s="3">
        <f t="shared" si="13"/>
        <v>8.3903245043505272</v>
      </c>
      <c r="U7" s="3">
        <f t="shared" si="14"/>
        <v>0.1191849015471908</v>
      </c>
      <c r="V7" s="32">
        <f t="shared" ref="V7:V33" si="16">KLASSEFREQUENTIEUITHERHALINGSTIJD(V$2,U6,U7,U8)</f>
        <v>2.5622204769893493</v>
      </c>
    </row>
    <row r="8" spans="1:22" x14ac:dyDescent="0.25">
      <c r="A8" s="23">
        <f t="shared" si="4"/>
        <v>37.5</v>
      </c>
      <c r="B8" s="13">
        <f t="shared" si="5"/>
        <v>35</v>
      </c>
      <c r="C8" s="8">
        <f>1-GEVCUM(KVD!$D$8,KVD!$E$8,KVD!$F$8,$A8)</f>
        <v>0.14630009531960431</v>
      </c>
      <c r="D8" s="3">
        <f t="shared" si="0"/>
        <v>0.15817554662056724</v>
      </c>
      <c r="E8" s="3">
        <f t="shared" si="1"/>
        <v>6.3220897374156575</v>
      </c>
      <c r="F8" s="32">
        <f t="shared" si="6"/>
        <v>0.17605991532732737</v>
      </c>
      <c r="G8" s="8">
        <f>1-GEVCUM(KVD!$D$9,KVD!$E$9,KVD!$F$9,$A8)</f>
        <v>0.49645187824658854</v>
      </c>
      <c r="H8" s="3">
        <f t="shared" si="2"/>
        <v>0.68607599690504528</v>
      </c>
      <c r="I8" s="3">
        <f t="shared" si="3"/>
        <v>1.4575644746516363</v>
      </c>
      <c r="J8" s="13">
        <f t="shared" si="7"/>
        <v>0.58698580607022988</v>
      </c>
      <c r="K8" s="8">
        <f>1-GEVCUM(KVD!$D$10,KVD!$E$10,KVD!$F$10,$A8)</f>
        <v>0.9092802605489827</v>
      </c>
      <c r="L8" s="3">
        <f t="shared" si="8"/>
        <v>2.3999803110194153</v>
      </c>
      <c r="M8" s="3">
        <f t="shared" si="9"/>
        <v>0.41667008492050511</v>
      </c>
      <c r="N8" s="13">
        <f t="shared" si="10"/>
        <v>1.4223371463816785</v>
      </c>
      <c r="O8" s="8">
        <f>1-GEVCUM(KVD!$D$11,KVD!$E$11,KVD!$F$11,$A8)</f>
        <v>0.99695449138539372</v>
      </c>
      <c r="P8" s="3">
        <f t="shared" si="11"/>
        <v>5.7940873590572632</v>
      </c>
      <c r="Q8" s="3">
        <f t="shared" si="12"/>
        <v>0.17258973467785385</v>
      </c>
      <c r="R8" s="13">
        <f t="shared" si="15"/>
        <v>2.0152001520603102</v>
      </c>
      <c r="S8" s="6">
        <f>1-GEVCUM(KVD!$D$12,KVD!$E$12,KVD!$F$12,$A8)</f>
        <v>0.99833565350080433</v>
      </c>
      <c r="T8" s="3">
        <f t="shared" si="13"/>
        <v>6.398322725570833</v>
      </c>
      <c r="U8" s="3">
        <f t="shared" si="14"/>
        <v>0.15629095981725177</v>
      </c>
      <c r="V8" s="32">
        <f t="shared" si="16"/>
        <v>1.9920017787796933</v>
      </c>
    </row>
    <row r="9" spans="1:22" x14ac:dyDescent="0.25">
      <c r="A9" s="23">
        <f t="shared" si="4"/>
        <v>42.5</v>
      </c>
      <c r="B9" s="13">
        <f t="shared" si="5"/>
        <v>40</v>
      </c>
      <c r="C9" s="8">
        <f>1-GEVCUM(KVD!$D$8,KVD!$E$8,KVD!$F$8,$A9)</f>
        <v>7.486320431500515E-2</v>
      </c>
      <c r="D9" s="3">
        <f t="shared" si="0"/>
        <v>7.7813665176928351E-2</v>
      </c>
      <c r="E9" s="3">
        <f t="shared" si="1"/>
        <v>12.851213186350444</v>
      </c>
      <c r="F9" s="32">
        <f t="shared" si="6"/>
        <v>8.0361881443638886E-2</v>
      </c>
      <c r="G9" s="8">
        <f>1-GEVCUM(KVD!$D$9,KVD!$E$9,KVD!$F$9,$A9)</f>
        <v>0.31440427138760141</v>
      </c>
      <c r="H9" s="3">
        <f t="shared" si="2"/>
        <v>0.3774671418632507</v>
      </c>
      <c r="I9" s="3">
        <f t="shared" si="3"/>
        <v>2.6492372158906519</v>
      </c>
      <c r="J9" s="13">
        <f t="shared" si="7"/>
        <v>0.30860885504179458</v>
      </c>
      <c r="K9" s="8">
        <f>1-GEVCUM(KVD!$D$10,KVD!$E$10,KVD!$F$10,$A9)</f>
        <v>0.77998049789163981</v>
      </c>
      <c r="L9" s="3">
        <f t="shared" si="8"/>
        <v>1.5140390906115035</v>
      </c>
      <c r="M9" s="3">
        <f t="shared" si="9"/>
        <v>0.6604849281639823</v>
      </c>
      <c r="N9" s="13">
        <f t="shared" si="10"/>
        <v>0.88594122040791179</v>
      </c>
      <c r="O9" s="8">
        <f>1-GEVCUM(KVD!$D$11,KVD!$E$11,KVD!$F$11,$A9)</f>
        <v>0.9861723837308386</v>
      </c>
      <c r="P9" s="3">
        <f t="shared" si="11"/>
        <v>4.2810875075854007</v>
      </c>
      <c r="Q9" s="3">
        <f t="shared" si="12"/>
        <v>0.23358550794118557</v>
      </c>
      <c r="R9" s="13">
        <f t="shared" si="15"/>
        <v>1.5129998514718626</v>
      </c>
      <c r="S9" s="6">
        <f>1-GEVCUM(KVD!$D$12,KVD!$E$12,KVD!$F$12,$A9)</f>
        <v>0.99222104879161266</v>
      </c>
      <c r="T9" s="3">
        <f t="shared" si="13"/>
        <v>4.8563337559988771</v>
      </c>
      <c r="U9" s="3">
        <f t="shared" si="14"/>
        <v>0.20591665446484836</v>
      </c>
      <c r="V9" s="32">
        <f t="shared" si="16"/>
        <v>1.5419889695719569</v>
      </c>
    </row>
    <row r="10" spans="1:22" x14ac:dyDescent="0.25">
      <c r="A10" s="23">
        <f t="shared" si="4"/>
        <v>47.5</v>
      </c>
      <c r="B10" s="13">
        <f t="shared" si="5"/>
        <v>45</v>
      </c>
      <c r="C10" s="8">
        <f>1-GEVCUM(KVD!$D$8,KVD!$E$8,KVD!$F$8,$A10)</f>
        <v>3.8865536749368879E-2</v>
      </c>
      <c r="D10" s="3">
        <f t="shared" si="0"/>
        <v>3.9640959663821286E-2</v>
      </c>
      <c r="E10" s="3">
        <f t="shared" si="1"/>
        <v>25.226432671675703</v>
      </c>
      <c r="F10" s="32">
        <f t="shared" si="6"/>
        <v>3.8172705513107065E-2</v>
      </c>
      <c r="G10" s="8">
        <f>1-GEVCUM(KVD!$D$9,KVD!$E$9,KVD!$F$9,$A10)</f>
        <v>0.19081922190829081</v>
      </c>
      <c r="H10" s="3">
        <f t="shared" si="2"/>
        <v>0.21173292818260878</v>
      </c>
      <c r="I10" s="3">
        <f t="shared" si="3"/>
        <v>4.7229309516635567</v>
      </c>
      <c r="J10" s="13">
        <f t="shared" si="7"/>
        <v>0.16573421368064192</v>
      </c>
      <c r="K10" s="8">
        <f>1-GEVCUM(KVD!$D$10,KVD!$E$10,KVD!$F$10,$A10)</f>
        <v>0.61694007650840232</v>
      </c>
      <c r="L10" s="3">
        <f t="shared" si="8"/>
        <v>0.95956384383719429</v>
      </c>
      <c r="M10" s="3">
        <f t="shared" si="9"/>
        <v>1.0421401415054425</v>
      </c>
      <c r="N10" s="13">
        <f t="shared" si="10"/>
        <v>0.55447524677430926</v>
      </c>
      <c r="O10" s="8">
        <f>1-GEVCUM(KVD!$D$11,KVD!$E$11,KVD!$F$11,$A10)</f>
        <v>0.95713453898399481</v>
      </c>
      <c r="P10" s="3">
        <f t="shared" si="11"/>
        <v>3.1496888818408944</v>
      </c>
      <c r="Q10" s="3">
        <f t="shared" si="12"/>
        <v>0.31749167537319795</v>
      </c>
      <c r="R10" s="13">
        <f t="shared" si="15"/>
        <v>1.1313986257445063</v>
      </c>
      <c r="S10" s="6">
        <f>1-GEVCUM(KVD!$D$12,KVD!$E$12,KVD!$F$12,$A10)</f>
        <v>0.97447344717125239</v>
      </c>
      <c r="T10" s="3">
        <f t="shared" si="13"/>
        <v>3.6680360811795611</v>
      </c>
      <c r="U10" s="3">
        <f t="shared" si="14"/>
        <v>0.27262545347657041</v>
      </c>
      <c r="V10" s="32">
        <f t="shared" si="16"/>
        <v>1.1882976748193164</v>
      </c>
    </row>
    <row r="11" spans="1:22" x14ac:dyDescent="0.25">
      <c r="A11" s="23">
        <f t="shared" si="4"/>
        <v>52.5</v>
      </c>
      <c r="B11" s="13">
        <f t="shared" si="5"/>
        <v>50</v>
      </c>
      <c r="C11" s="8">
        <f>1-GEVCUM(KVD!$D$8,KVD!$E$8,KVD!$F$8,$A11)</f>
        <v>2.0628205639229735E-2</v>
      </c>
      <c r="D11" s="3">
        <f t="shared" si="0"/>
        <v>2.084393902511382E-2</v>
      </c>
      <c r="E11" s="3">
        <f t="shared" si="1"/>
        <v>47.975576919273749</v>
      </c>
      <c r="F11" s="32">
        <f t="shared" si="6"/>
        <v>1.8797020638707466E-2</v>
      </c>
      <c r="G11" s="8">
        <f>1-GEVCUM(KVD!$D$9,KVD!$E$9,KVD!$F$9,$A11)</f>
        <v>0.11391359397205492</v>
      </c>
      <c r="H11" s="3">
        <f t="shared" si="2"/>
        <v>0.12094080939861393</v>
      </c>
      <c r="I11" s="3">
        <f t="shared" si="3"/>
        <v>8.2685075862528556</v>
      </c>
      <c r="J11" s="13">
        <f t="shared" si="7"/>
        <v>9.0792118783994846E-2</v>
      </c>
      <c r="K11" s="8">
        <f>1-GEVCUM(KVD!$D$10,KVD!$E$10,KVD!$F$10,$A11)</f>
        <v>0.45714406146455833</v>
      </c>
      <c r="L11" s="3">
        <f t="shared" si="8"/>
        <v>0.61091130081277834</v>
      </c>
      <c r="M11" s="3">
        <f t="shared" si="9"/>
        <v>1.6368988405838361</v>
      </c>
      <c r="N11" s="13">
        <f t="shared" si="10"/>
        <v>0.34865254302441595</v>
      </c>
      <c r="O11" s="8">
        <f>1-GEVCUM(KVD!$D$11,KVD!$E$11,KVD!$F$11,$A11)</f>
        <v>0.90045371683229203</v>
      </c>
      <c r="P11" s="3">
        <f t="shared" si="11"/>
        <v>2.3071325855053844</v>
      </c>
      <c r="Q11" s="3">
        <f t="shared" si="12"/>
        <v>0.43343846222038729</v>
      </c>
      <c r="R11" s="13">
        <f t="shared" si="15"/>
        <v>0.84255629633550999</v>
      </c>
      <c r="S11" s="6">
        <f>1-GEVCUM(KVD!$D$12,KVD!$E$12,KVD!$F$12,$A11)</f>
        <v>0.93648920271907121</v>
      </c>
      <c r="T11" s="3">
        <f t="shared" si="13"/>
        <v>2.7565453516178211</v>
      </c>
      <c r="U11" s="3">
        <f t="shared" si="14"/>
        <v>0.36277291770770187</v>
      </c>
      <c r="V11" s="32">
        <f t="shared" si="16"/>
        <v>0.9114907295617396</v>
      </c>
    </row>
    <row r="12" spans="1:22" x14ac:dyDescent="0.25">
      <c r="A12" s="23">
        <f t="shared" si="4"/>
        <v>57.5</v>
      </c>
      <c r="B12" s="13">
        <f t="shared" si="5"/>
        <v>55</v>
      </c>
      <c r="C12" s="8">
        <f>1-GEVCUM(KVD!$D$8,KVD!$E$8,KVD!$F$8,$A12)</f>
        <v>1.1217156043676124E-2</v>
      </c>
      <c r="D12" s="3">
        <f t="shared" si="0"/>
        <v>1.1280542797025532E-2</v>
      </c>
      <c r="E12" s="3">
        <f t="shared" si="1"/>
        <v>88.648216490405176</v>
      </c>
      <c r="F12" s="32">
        <f t="shared" si="6"/>
        <v>9.5633962280882879E-3</v>
      </c>
      <c r="G12" s="8">
        <f>1-GEVCUM(KVD!$D$9,KVD!$E$9,KVD!$F$9,$A12)</f>
        <v>6.785541737079881E-2</v>
      </c>
      <c r="H12" s="3">
        <f t="shared" si="2"/>
        <v>7.026734475180843E-2</v>
      </c>
      <c r="I12" s="3">
        <f t="shared" si="3"/>
        <v>14.231361716201231</v>
      </c>
      <c r="J12" s="13">
        <f t="shared" si="7"/>
        <v>5.0673464646805499E-2</v>
      </c>
      <c r="K12" s="8">
        <f>1-GEVCUM(KVD!$D$10,KVD!$E$10,KVD!$F$10,$A12)</f>
        <v>0.32339731453476939</v>
      </c>
      <c r="L12" s="3">
        <f t="shared" si="8"/>
        <v>0.39067105358453685</v>
      </c>
      <c r="M12" s="3">
        <f t="shared" si="9"/>
        <v>2.5596982188075299</v>
      </c>
      <c r="N12" s="13">
        <f t="shared" si="10"/>
        <v>0.22024024722824148</v>
      </c>
      <c r="O12" s="8">
        <f>1-GEVCUM(KVD!$D$11,KVD!$E$11,KVD!$F$11,$A12)</f>
        <v>0.81406131396625137</v>
      </c>
      <c r="P12" s="3">
        <f t="shared" si="11"/>
        <v>1.6823383045936315</v>
      </c>
      <c r="Q12" s="3">
        <f t="shared" si="12"/>
        <v>0.59441076581891761</v>
      </c>
      <c r="R12" s="13">
        <f t="shared" si="15"/>
        <v>0.62479428091175282</v>
      </c>
      <c r="S12" s="6">
        <f>1-GEVCUM(KVD!$D$12,KVD!$E$12,KVD!$F$12,$A12)</f>
        <v>0.87264003664902123</v>
      </c>
      <c r="T12" s="3">
        <f t="shared" si="13"/>
        <v>2.0607378446453803</v>
      </c>
      <c r="U12" s="3">
        <f t="shared" si="14"/>
        <v>0.48526308312258121</v>
      </c>
      <c r="V12" s="32">
        <f t="shared" si="16"/>
        <v>0.69580750697244076</v>
      </c>
    </row>
    <row r="13" spans="1:22" x14ac:dyDescent="0.25">
      <c r="A13" s="23">
        <f t="shared" si="4"/>
        <v>62.5</v>
      </c>
      <c r="B13" s="13">
        <f t="shared" si="5"/>
        <v>60</v>
      </c>
      <c r="C13" s="8">
        <f>1-GEVCUM(KVD!$D$8,KVD!$E$8,KVD!$F$8,$A13)</f>
        <v>6.2482785311240852E-3</v>
      </c>
      <c r="D13" s="3">
        <f t="shared" si="0"/>
        <v>6.2678807193716274E-3</v>
      </c>
      <c r="E13" s="3">
        <f t="shared" si="1"/>
        <v>159.54355942182843</v>
      </c>
      <c r="F13" s="32">
        <f t="shared" si="6"/>
        <v>5.0126620776539043E-3</v>
      </c>
      <c r="G13" s="8">
        <f>1-GEVCUM(KVD!$D$9,KVD!$E$9,KVD!$F$9,$A13)</f>
        <v>4.063652459022371E-2</v>
      </c>
      <c r="H13" s="3">
        <f t="shared" si="2"/>
        <v>4.1485260880914539E-2</v>
      </c>
      <c r="I13" s="3">
        <f t="shared" si="3"/>
        <v>24.104946642870313</v>
      </c>
      <c r="J13" s="13">
        <f t="shared" si="7"/>
        <v>2.8782083870893892E-2</v>
      </c>
      <c r="K13" s="8">
        <f>1-GEVCUM(KVD!$D$10,KVD!$E$10,KVD!$F$10,$A13)</f>
        <v>0.2219154953720065</v>
      </c>
      <c r="L13" s="3">
        <f t="shared" si="8"/>
        <v>0.25092014292845816</v>
      </c>
      <c r="M13" s="3">
        <f t="shared" si="9"/>
        <v>3.9853317008715319</v>
      </c>
      <c r="N13" s="13">
        <f t="shared" si="10"/>
        <v>0.1397509106560787</v>
      </c>
      <c r="O13" s="8">
        <f>1-GEVCUM(KVD!$D$11,KVD!$E$11,KVD!$F$11,$A13)</f>
        <v>0.70507853301306012</v>
      </c>
      <c r="P13" s="3">
        <f t="shared" si="11"/>
        <v>1.2210461716870422</v>
      </c>
      <c r="Q13" s="3">
        <f t="shared" si="12"/>
        <v>0.81896984994299049</v>
      </c>
      <c r="R13" s="13">
        <f t="shared" si="15"/>
        <v>0.46129213290658933</v>
      </c>
      <c r="S13" s="6">
        <f>1-GEVCUM(KVD!$D$12,KVD!$E$12,KVD!$F$12,$A13)</f>
        <v>0.78394479367703207</v>
      </c>
      <c r="T13" s="3">
        <f t="shared" si="13"/>
        <v>1.5322213191256548</v>
      </c>
      <c r="U13" s="3">
        <f t="shared" si="14"/>
        <v>0.65264723021256421</v>
      </c>
      <c r="V13" s="32">
        <f t="shared" si="16"/>
        <v>0.52851652551972572</v>
      </c>
    </row>
    <row r="14" spans="1:22" x14ac:dyDescent="0.25">
      <c r="A14" s="23">
        <f t="shared" si="4"/>
        <v>67.5</v>
      </c>
      <c r="B14" s="13">
        <f t="shared" si="5"/>
        <v>65</v>
      </c>
      <c r="C14" s="8">
        <f>1-GEVCUM(KVD!$D$8,KVD!$E$8,KVD!$F$8,$A14)</f>
        <v>3.5615249873729438E-3</v>
      </c>
      <c r="D14" s="3">
        <f t="shared" si="0"/>
        <v>3.5678823165036424E-3</v>
      </c>
      <c r="E14" s="3">
        <f t="shared" si="1"/>
        <v>280.2783027271912</v>
      </c>
      <c r="F14" s="32">
        <f t="shared" si="6"/>
        <v>2.6999984028679854E-3</v>
      </c>
      <c r="G14" s="8">
        <f>1-GEVCUM(KVD!$D$9,KVD!$E$9,KVD!$F$9,$A14)</f>
        <v>2.4558759246770423E-2</v>
      </c>
      <c r="H14" s="3">
        <f t="shared" si="2"/>
        <v>2.4865355737549555E-2</v>
      </c>
      <c r="I14" s="3">
        <f t="shared" si="3"/>
        <v>40.216597363611598</v>
      </c>
      <c r="J14" s="13">
        <f t="shared" si="7"/>
        <v>1.6619905143364984E-2</v>
      </c>
      <c r="K14" s="8">
        <f>1-GEVCUM(KVD!$D$10,KVD!$E$10,KVD!$F$10,$A14)</f>
        <v>0.14943180492327501</v>
      </c>
      <c r="L14" s="3">
        <f t="shared" si="8"/>
        <v>0.16185068802470284</v>
      </c>
      <c r="M14" s="3">
        <f t="shared" si="9"/>
        <v>6.178534130465807</v>
      </c>
      <c r="N14" s="13">
        <f t="shared" si="10"/>
        <v>8.9069454903755313E-2</v>
      </c>
      <c r="O14" s="8">
        <f>1-GEVCUM(KVD!$D$11,KVD!$E$11,KVD!$F$11,$A14)</f>
        <v>0.58604558599079637</v>
      </c>
      <c r="P14" s="3">
        <f t="shared" si="11"/>
        <v>0.8819994223083738</v>
      </c>
      <c r="Q14" s="3">
        <f t="shared" si="12"/>
        <v>1.1337875906798152</v>
      </c>
      <c r="R14" s="13">
        <f t="shared" si="15"/>
        <v>0.33904674937866841</v>
      </c>
      <c r="S14" s="6">
        <f>1-GEVCUM(KVD!$D$12,KVD!$E$12,KVD!$F$12,$A14)</f>
        <v>0.67788543529549072</v>
      </c>
      <c r="T14" s="3">
        <f t="shared" si="13"/>
        <v>1.1328480057085477</v>
      </c>
      <c r="U14" s="3">
        <f t="shared" si="14"/>
        <v>0.88273095327959994</v>
      </c>
      <c r="V14" s="32">
        <f t="shared" si="16"/>
        <v>0.39937331341710691</v>
      </c>
    </row>
    <row r="15" spans="1:22" x14ac:dyDescent="0.25">
      <c r="A15" s="23">
        <f t="shared" si="4"/>
        <v>72.5</v>
      </c>
      <c r="B15" s="13">
        <f t="shared" si="5"/>
        <v>70</v>
      </c>
      <c r="C15" s="8">
        <f>1-GEVCUM(KVD!$D$8,KVD!$E$8,KVD!$F$8,$A15)</f>
        <v>2.0745251575771118E-3</v>
      </c>
      <c r="D15" s="3">
        <f t="shared" si="0"/>
        <v>2.0766799655431468E-3</v>
      </c>
      <c r="E15" s="3">
        <f t="shared" si="1"/>
        <v>481.53784723321786</v>
      </c>
      <c r="F15" s="32">
        <f t="shared" si="6"/>
        <v>1.4912023509604951E-3</v>
      </c>
      <c r="G15" s="8">
        <f>1-GEVCUM(KVD!$D$9,KVD!$E$9,KVD!$F$9,$A15)</f>
        <v>1.5004162314355529E-2</v>
      </c>
      <c r="H15" s="3">
        <f t="shared" si="2"/>
        <v>1.5117863518829794E-2</v>
      </c>
      <c r="I15" s="3">
        <f t="shared" si="3"/>
        <v>66.146912806460207</v>
      </c>
      <c r="J15" s="13">
        <f t="shared" si="7"/>
        <v>9.7474922187197627E-3</v>
      </c>
      <c r="K15" s="8">
        <f>1-GEVCUM(KVD!$D$10,KVD!$E$10,KVD!$F$10,$A15)</f>
        <v>9.9528338547991702E-2</v>
      </c>
      <c r="L15" s="3">
        <f t="shared" si="8"/>
        <v>0.10483658465363896</v>
      </c>
      <c r="M15" s="3">
        <f t="shared" si="9"/>
        <v>9.5386548818222039</v>
      </c>
      <c r="N15" s="13">
        <f t="shared" si="10"/>
        <v>5.7014103371063884E-2</v>
      </c>
      <c r="O15" s="8">
        <f>1-GEVCUM(KVD!$D$11,KVD!$E$11,KVD!$F$11,$A15)</f>
        <v>0.46951065329644781</v>
      </c>
      <c r="P15" s="3">
        <f t="shared" si="11"/>
        <v>0.63395540274415374</v>
      </c>
      <c r="Q15" s="3">
        <f t="shared" si="12"/>
        <v>1.5773980246423918</v>
      </c>
      <c r="R15" s="13">
        <f t="shared" si="15"/>
        <v>0.24804401956422006</v>
      </c>
      <c r="S15" s="6">
        <f>1-GEVCUM(KVD!$D$12,KVD!$E$12,KVD!$F$12,$A15)</f>
        <v>0.5651178130000396</v>
      </c>
      <c r="T15" s="3">
        <f t="shared" si="13"/>
        <v>0.83268011905858452</v>
      </c>
      <c r="U15" s="3">
        <f t="shared" si="14"/>
        <v>1.2009413664524438</v>
      </c>
      <c r="V15" s="32">
        <f t="shared" si="16"/>
        <v>0.30016788664996319</v>
      </c>
    </row>
    <row r="16" spans="1:22" x14ac:dyDescent="0.25">
      <c r="A16" s="23">
        <f t="shared" si="4"/>
        <v>77.5</v>
      </c>
      <c r="B16" s="13">
        <f t="shared" si="5"/>
        <v>75</v>
      </c>
      <c r="C16" s="8">
        <f>1-GEVCUM(KVD!$D$8,KVD!$E$8,KVD!$F$8,$A16)</f>
        <v>1.2330901030009889E-3</v>
      </c>
      <c r="D16" s="3">
        <f t="shared" si="0"/>
        <v>1.2338509841563793E-3</v>
      </c>
      <c r="E16" s="3">
        <f t="shared" si="1"/>
        <v>810.47064259848992</v>
      </c>
      <c r="F16" s="32">
        <f t="shared" si="6"/>
        <v>8.4282898138676753E-4</v>
      </c>
      <c r="G16" s="8">
        <f>1-GEVCUM(KVD!$D$9,KVD!$E$9,KVD!$F$9,$A16)</f>
        <v>9.2730730172042586E-3</v>
      </c>
      <c r="H16" s="3">
        <f t="shared" si="2"/>
        <v>9.3163356180026163E-3</v>
      </c>
      <c r="I16" s="3">
        <f t="shared" si="3"/>
        <v>107.33833998719723</v>
      </c>
      <c r="J16" s="13">
        <f t="shared" si="7"/>
        <v>5.8015279008271758E-3</v>
      </c>
      <c r="K16" s="8">
        <f>1-GEVCUM(KVD!$D$10,KVD!$E$10,KVD!$F$10,$A16)</f>
        <v>6.5913403016244376E-2</v>
      </c>
      <c r="L16" s="3">
        <f t="shared" si="8"/>
        <v>6.8186128794483242E-2</v>
      </c>
      <c r="M16" s="3">
        <f t="shared" si="9"/>
        <v>14.665739464606581</v>
      </c>
      <c r="N16" s="13">
        <f t="shared" si="10"/>
        <v>3.6650455859155717E-2</v>
      </c>
      <c r="O16" s="8">
        <f>1-GEVCUM(KVD!$D$11,KVD!$E$11,KVD!$F$11,$A16)</f>
        <v>0.3645066436897777</v>
      </c>
      <c r="P16" s="3">
        <f t="shared" si="11"/>
        <v>0.4533536426791514</v>
      </c>
      <c r="Q16" s="3">
        <f t="shared" si="12"/>
        <v>2.2057835337781162</v>
      </c>
      <c r="R16" s="13">
        <f t="shared" si="15"/>
        <v>0.18060176006500234</v>
      </c>
      <c r="S16" s="6">
        <f>1-GEVCUM(KVD!$D$12,KVD!$E$12,KVD!$F$12,$A16)</f>
        <v>0.45574196917057941</v>
      </c>
      <c r="T16" s="3">
        <f t="shared" si="13"/>
        <v>0.60833182320340928</v>
      </c>
      <c r="U16" s="3">
        <f t="shared" si="14"/>
        <v>1.6438396971148224</v>
      </c>
      <c r="V16" s="32">
        <f t="shared" si="16"/>
        <v>0.22434829585517524</v>
      </c>
    </row>
    <row r="17" spans="1:22" x14ac:dyDescent="0.25">
      <c r="A17" s="23">
        <f t="shared" si="4"/>
        <v>82.5</v>
      </c>
      <c r="B17" s="13">
        <f t="shared" si="5"/>
        <v>80</v>
      </c>
      <c r="C17" s="8">
        <f>1-GEVCUM(KVD!$D$8,KVD!$E$8,KVD!$F$8,$A17)</f>
        <v>7.4691866141884944E-4</v>
      </c>
      <c r="D17" s="3">
        <f t="shared" si="0"/>
        <v>7.4719774413895175E-4</v>
      </c>
      <c r="E17" s="3">
        <f t="shared" si="1"/>
        <v>1338.3338049987958</v>
      </c>
      <c r="F17" s="32">
        <f t="shared" si="6"/>
        <v>4.8665324001742757E-4</v>
      </c>
      <c r="G17" s="8">
        <f>1-GEVCUM(KVD!$D$9,KVD!$E$9,KVD!$F$9,$A17)</f>
        <v>5.7981222563405765E-3</v>
      </c>
      <c r="H17" s="3">
        <f t="shared" si="2"/>
        <v>5.814996625239959E-3</v>
      </c>
      <c r="I17" s="3">
        <f t="shared" si="3"/>
        <v>171.96914537482374</v>
      </c>
      <c r="J17" s="13">
        <f t="shared" si="7"/>
        <v>3.5013389927626573E-3</v>
      </c>
      <c r="K17" s="8">
        <f>1-GEVCUM(KVD!$D$10,KVD!$E$10,KVD!$F$10,$A17)</f>
        <v>4.3550926465549256E-2</v>
      </c>
      <c r="L17" s="3">
        <f t="shared" si="8"/>
        <v>4.4527734034212056E-2</v>
      </c>
      <c r="M17" s="3">
        <f t="shared" si="9"/>
        <v>22.457913515915017</v>
      </c>
      <c r="N17" s="13">
        <f t="shared" si="10"/>
        <v>2.3658394760271186E-2</v>
      </c>
      <c r="O17" s="8">
        <f>1-GEVCUM(KVD!$D$11,KVD!$E$11,KVD!$F$11,$A17)</f>
        <v>0.27566647812719758</v>
      </c>
      <c r="P17" s="3">
        <f t="shared" si="11"/>
        <v>0.32250332710006024</v>
      </c>
      <c r="Q17" s="3">
        <f t="shared" si="12"/>
        <v>3.1007432047041763</v>
      </c>
      <c r="R17" s="13">
        <f t="shared" si="15"/>
        <v>0.13085031557909116</v>
      </c>
      <c r="S17" s="6">
        <f>1-GEVCUM(KVD!$D$12,KVD!$E$12,KVD!$F$12,$A17)</f>
        <v>0.35700818043033677</v>
      </c>
      <c r="T17" s="3">
        <f t="shared" si="13"/>
        <v>0.44162327711212901</v>
      </c>
      <c r="U17" s="3">
        <f t="shared" si="14"/>
        <v>2.2643733965727946</v>
      </c>
      <c r="V17" s="32">
        <f t="shared" si="16"/>
        <v>0.16670854609128027</v>
      </c>
    </row>
    <row r="18" spans="1:22" x14ac:dyDescent="0.25">
      <c r="A18" s="23">
        <f t="shared" si="4"/>
        <v>87.5</v>
      </c>
      <c r="B18" s="13">
        <f t="shared" si="5"/>
        <v>85</v>
      </c>
      <c r="C18" s="8">
        <f>1-GEVCUM(KVD!$D$8,KVD!$E$8,KVD!$F$8,$A18)</f>
        <v>4.6047182593733638E-4</v>
      </c>
      <c r="D18" s="3">
        <f t="shared" si="0"/>
        <v>4.6057787564509532E-4</v>
      </c>
      <c r="E18" s="3">
        <f t="shared" si="1"/>
        <v>2171.1854886632982</v>
      </c>
      <c r="F18" s="32">
        <f t="shared" si="6"/>
        <v>2.8661986849385648E-4</v>
      </c>
      <c r="G18" s="8">
        <f>1-GEVCUM(KVD!$D$9,KVD!$E$9,KVD!$F$9,$A18)</f>
        <v>3.667080733872341E-3</v>
      </c>
      <c r="H18" s="3">
        <f t="shared" si="2"/>
        <v>3.6738209574347282E-3</v>
      </c>
      <c r="I18" s="3">
        <f t="shared" si="3"/>
        <v>272.1961716659859</v>
      </c>
      <c r="J18" s="13">
        <f t="shared" si="7"/>
        <v>2.1411756678052308E-3</v>
      </c>
      <c r="K18" s="8">
        <f>1-GEVCUM(KVD!$D$10,KVD!$E$10,KVD!$F$10,$A18)</f>
        <v>2.8771345842755092E-2</v>
      </c>
      <c r="L18" s="3">
        <f t="shared" si="8"/>
        <v>2.9193355243471424E-2</v>
      </c>
      <c r="M18" s="3">
        <f t="shared" si="9"/>
        <v>34.254370272277363</v>
      </c>
      <c r="N18" s="13">
        <f t="shared" si="10"/>
        <v>1.5334378790740632E-2</v>
      </c>
      <c r="O18" s="8">
        <f>1-GEVCUM(KVD!$D$11,KVD!$E$11,KVD!$F$11,$A18)</f>
        <v>0.20401893909914659</v>
      </c>
      <c r="P18" s="3">
        <f t="shared" si="11"/>
        <v>0.22817988625893196</v>
      </c>
      <c r="Q18" s="3">
        <f t="shared" si="12"/>
        <v>4.382507224432695</v>
      </c>
      <c r="R18" s="13">
        <f t="shared" si="15"/>
        <v>9.4323440841128287E-2</v>
      </c>
      <c r="S18" s="6">
        <f>1-GEVCUM(KVD!$D$12,KVD!$E$12,KVD!$F$12,$A18)</f>
        <v>0.2727554379797561</v>
      </c>
      <c r="T18" s="3">
        <f t="shared" si="13"/>
        <v>0.31849245909061746</v>
      </c>
      <c r="U18" s="3">
        <f t="shared" si="14"/>
        <v>3.1397917641606705</v>
      </c>
      <c r="V18" s="32">
        <f t="shared" si="16"/>
        <v>0.12313081802151155</v>
      </c>
    </row>
    <row r="19" spans="1:22" x14ac:dyDescent="0.25">
      <c r="A19" s="23">
        <f t="shared" si="4"/>
        <v>92.5</v>
      </c>
      <c r="B19" s="13">
        <f t="shared" si="5"/>
        <v>90</v>
      </c>
      <c r="C19" s="8">
        <f>1-GEVCUM(KVD!$D$8,KVD!$E$8,KVD!$F$8,$A19)</f>
        <v>2.8858747066107249E-4</v>
      </c>
      <c r="D19" s="3">
        <f t="shared" si="0"/>
        <v>2.8862912003836878E-4</v>
      </c>
      <c r="E19" s="3">
        <f t="shared" si="1"/>
        <v>3464.6538778452618</v>
      </c>
      <c r="F19" s="32">
        <f t="shared" si="6"/>
        <v>1.7194875560672649E-4</v>
      </c>
      <c r="G19" s="8">
        <f>1-GEVCUM(KVD!$D$9,KVD!$E$9,KVD!$F$9,$A19)</f>
        <v>2.345184167328207E-3</v>
      </c>
      <c r="H19" s="3">
        <f t="shared" si="2"/>
        <v>2.3479384187113221E-3</v>
      </c>
      <c r="I19" s="3">
        <f t="shared" si="3"/>
        <v>425.90554847211672</v>
      </c>
      <c r="J19" s="13">
        <f t="shared" si="7"/>
        <v>1.3258825387234062E-3</v>
      </c>
      <c r="K19" s="8">
        <f>1-GEVCUM(KVD!$D$10,KVD!$E$10,KVD!$F$10,$A19)</f>
        <v>1.9030885584347401E-2</v>
      </c>
      <c r="L19" s="3">
        <f t="shared" si="8"/>
        <v>1.9214303688491623E-2</v>
      </c>
      <c r="M19" s="3">
        <f t="shared" si="9"/>
        <v>52.04456097979488</v>
      </c>
      <c r="N19" s="13">
        <f t="shared" si="10"/>
        <v>9.9790515549798009E-3</v>
      </c>
      <c r="O19" s="8">
        <f>1-GEVCUM(KVD!$D$11,KVD!$E$11,KVD!$F$11,$A19)</f>
        <v>0.14831850810198666</v>
      </c>
      <c r="P19" s="3">
        <f t="shared" si="11"/>
        <v>0.16054265784729779</v>
      </c>
      <c r="Q19" s="3">
        <f t="shared" si="12"/>
        <v>6.2288740787583246</v>
      </c>
      <c r="R19" s="13">
        <f t="shared" si="15"/>
        <v>6.7637228411634165E-2</v>
      </c>
      <c r="S19" s="6">
        <f>1-GEVCUM(KVD!$D$12,KVD!$E$12,KVD!$F$12,$A19)</f>
        <v>0.20397056579095341</v>
      </c>
      <c r="T19" s="3">
        <f t="shared" si="13"/>
        <v>0.22811911617185446</v>
      </c>
      <c r="U19" s="3">
        <f t="shared" si="14"/>
        <v>4.383674708114536</v>
      </c>
      <c r="V19" s="32">
        <f t="shared" si="16"/>
        <v>9.0373342918763006E-2</v>
      </c>
    </row>
    <row r="20" spans="1:22" x14ac:dyDescent="0.25">
      <c r="A20" s="23">
        <f t="shared" si="4"/>
        <v>97.5</v>
      </c>
      <c r="B20" s="13">
        <f t="shared" si="5"/>
        <v>95</v>
      </c>
      <c r="C20" s="8">
        <f>1-GEVCUM(KVD!$D$8,KVD!$E$8,KVD!$F$8,$A20)</f>
        <v>1.8366810487113749E-4</v>
      </c>
      <c r="D20" s="3">
        <f t="shared" si="0"/>
        <v>1.8368497392308046E-4</v>
      </c>
      <c r="E20" s="3">
        <f t="shared" si="1"/>
        <v>5444.1034486509379</v>
      </c>
      <c r="F20" s="32">
        <f t="shared" si="6"/>
        <v>2.8862912003836878E-4</v>
      </c>
      <c r="G20" s="8">
        <f>1-GEVCUM(KVD!$D$9,KVD!$E$9,KVD!$F$9,$A20)</f>
        <v>1.5159385945077153E-3</v>
      </c>
      <c r="H20" s="3">
        <f t="shared" si="2"/>
        <v>1.5170887919850043E-3</v>
      </c>
      <c r="I20" s="3">
        <f t="shared" si="3"/>
        <v>659.15719981792904</v>
      </c>
      <c r="J20" s="13">
        <f t="shared" si="7"/>
        <v>8.308496267263178E-4</v>
      </c>
      <c r="K20" s="8">
        <f>1-GEVCUM(KVD!$D$10,KVD!$E$10,KVD!$F$10,$A20)</f>
        <v>1.2614441938167187E-2</v>
      </c>
      <c r="L20" s="3">
        <f t="shared" si="8"/>
        <v>1.2694679492987018E-2</v>
      </c>
      <c r="M20" s="3">
        <f t="shared" si="9"/>
        <v>78.773158515142882</v>
      </c>
      <c r="N20" s="13">
        <f t="shared" si="10"/>
        <v>6.5196241955046055E-3</v>
      </c>
      <c r="O20" s="8">
        <f>1-GEVCUM(KVD!$D$11,KVD!$E$11,KVD!$F$11,$A20)</f>
        <v>0.10622710845178029</v>
      </c>
      <c r="P20" s="3">
        <f t="shared" si="11"/>
        <v>0.11230357238083992</v>
      </c>
      <c r="Q20" s="3">
        <f t="shared" si="12"/>
        <v>8.9044362418751497</v>
      </c>
      <c r="R20" s="13">
        <f t="shared" si="15"/>
        <v>4.8239085466457887E-2</v>
      </c>
      <c r="S20" s="6">
        <f>1-GEVCUM(KVD!$D$12,KVD!$E$12,KVD!$F$12,$A20)</f>
        <v>0.14974807190613937</v>
      </c>
      <c r="T20" s="3">
        <f t="shared" si="13"/>
        <v>0.16222258741864934</v>
      </c>
      <c r="U20" s="3">
        <f t="shared" si="14"/>
        <v>6.1643696843479061</v>
      </c>
      <c r="V20" s="32">
        <f t="shared" si="16"/>
        <v>6.5896528753205119E-2</v>
      </c>
    </row>
    <row r="21" spans="1:22" x14ac:dyDescent="0.25">
      <c r="A21" s="23">
        <f t="shared" si="4"/>
        <v>102.5</v>
      </c>
      <c r="B21" s="13">
        <f t="shared" si="5"/>
        <v>100</v>
      </c>
      <c r="C21" s="8"/>
      <c r="D21" s="3"/>
      <c r="E21" s="3"/>
      <c r="F21" s="32"/>
      <c r="G21" s="8">
        <f>1-GEVCUM(KVD!$D$9,KVD!$E$9,KVD!$F$9,$A21)</f>
        <v>9.9003083147763959E-4</v>
      </c>
      <c r="H21" s="3">
        <f t="shared" si="2"/>
        <v>9.9052123570486585E-4</v>
      </c>
      <c r="I21" s="3">
        <f t="shared" si="3"/>
        <v>1009.5694710557002</v>
      </c>
      <c r="J21" s="13">
        <f t="shared" si="7"/>
        <v>5.2656755628013841E-4</v>
      </c>
      <c r="K21" s="8">
        <f>1-GEVCUM(KVD!$D$10,KVD!$E$10,KVD!$F$10,$A21)</f>
        <v>8.3833679884270929E-3</v>
      </c>
      <c r="L21" s="3">
        <f t="shared" si="8"/>
        <v>8.4187060577989702E-3</v>
      </c>
      <c r="M21" s="3">
        <f t="shared" si="9"/>
        <v>118.7830995802038</v>
      </c>
      <c r="N21" s="13">
        <f t="shared" si="10"/>
        <v>4.2759734351880477E-3</v>
      </c>
      <c r="O21" s="8">
        <f>1-GEVCUM(KVD!$D$11,KVD!$E$11,KVD!$F$11,$A21)</f>
        <v>7.5120047613003282E-2</v>
      </c>
      <c r="P21" s="3">
        <f t="shared" si="11"/>
        <v>7.8091331095267724E-2</v>
      </c>
      <c r="Q21" s="3">
        <f t="shared" si="12"/>
        <v>12.805518691697641</v>
      </c>
      <c r="R21" s="13">
        <f t="shared" si="15"/>
        <v>3.4212241285572181E-2</v>
      </c>
      <c r="S21" s="6">
        <f>1-GEVCUM(KVD!$D$12,KVD!$E$12,KVD!$F$12,$A21)</f>
        <v>0.10818945938379443</v>
      </c>
      <c r="T21" s="3">
        <f t="shared" si="13"/>
        <v>0.11450156737419054</v>
      </c>
      <c r="U21" s="3">
        <f t="shared" si="14"/>
        <v>8.7335049024438689</v>
      </c>
      <c r="V21" s="32">
        <f t="shared" si="16"/>
        <v>4.7721020044458801E-2</v>
      </c>
    </row>
    <row r="22" spans="1:22" x14ac:dyDescent="0.25">
      <c r="A22" s="23">
        <f t="shared" si="4"/>
        <v>107.5</v>
      </c>
      <c r="B22" s="13">
        <f t="shared" si="5"/>
        <v>105</v>
      </c>
      <c r="C22" s="8"/>
      <c r="D22" s="3"/>
      <c r="E22" s="3"/>
      <c r="F22" s="32"/>
      <c r="G22" s="8">
        <f>1-GEVCUM(KVD!$D$9,KVD!$E$9,KVD!$F$9,$A22)</f>
        <v>6.5296821872518063E-4</v>
      </c>
      <c r="H22" s="3">
        <f t="shared" si="2"/>
        <v>6.5318149531945881E-4</v>
      </c>
      <c r="I22" s="3">
        <f t="shared" si="3"/>
        <v>1530.9680497162872</v>
      </c>
      <c r="J22" s="13">
        <f t="shared" si="7"/>
        <v>9.9052123570486585E-4</v>
      </c>
      <c r="K22" s="8">
        <f>1-GEVCUM(KVD!$D$10,KVD!$E$10,KVD!$F$10,$A22)</f>
        <v>5.5879189751592007E-3</v>
      </c>
      <c r="L22" s="3">
        <f t="shared" si="8"/>
        <v>5.6035897998605059E-3</v>
      </c>
      <c r="M22" s="3">
        <f t="shared" si="9"/>
        <v>178.45703124538019</v>
      </c>
      <c r="N22" s="13">
        <f t="shared" si="10"/>
        <v>2.8151162579384643E-3</v>
      </c>
      <c r="O22" s="8">
        <f>1-GEVCUM(KVD!$D$11,KVD!$E$11,KVD!$F$11,$A22)</f>
        <v>5.2536834235657359E-2</v>
      </c>
      <c r="P22" s="3">
        <f t="shared" si="11"/>
        <v>5.3967217963966974E-2</v>
      </c>
      <c r="Q22" s="3">
        <f t="shared" si="12"/>
        <v>18.529767472314091</v>
      </c>
      <c r="R22" s="13">
        <f t="shared" si="15"/>
        <v>2.4124113131300751E-2</v>
      </c>
      <c r="S22" s="6">
        <f>1-GEVCUM(KVD!$D$12,KVD!$E$12,KVD!$F$12,$A22)</f>
        <v>7.7058336330899313E-2</v>
      </c>
      <c r="T22" s="3">
        <f t="shared" si="13"/>
        <v>8.0189249435396862E-2</v>
      </c>
      <c r="U22" s="3">
        <f t="shared" si="14"/>
        <v>12.470499562483539</v>
      </c>
      <c r="V22" s="32">
        <f t="shared" si="16"/>
        <v>3.4312317938793677E-2</v>
      </c>
    </row>
    <row r="23" spans="1:22" x14ac:dyDescent="0.25">
      <c r="A23" s="23">
        <f t="shared" si="4"/>
        <v>112.5</v>
      </c>
      <c r="B23" s="13">
        <f t="shared" si="5"/>
        <v>110</v>
      </c>
      <c r="C23" s="8"/>
      <c r="D23" s="3"/>
      <c r="E23" s="3"/>
      <c r="F23" s="32"/>
      <c r="G23" s="8"/>
      <c r="H23" s="3"/>
      <c r="I23" s="3"/>
      <c r="J23" s="13"/>
      <c r="K23" s="8">
        <f>1-GEVCUM(KVD!$D$10,KVD!$E$10,KVD!$F$10,$A23)</f>
        <v>3.7363173562354746E-3</v>
      </c>
      <c r="L23" s="3">
        <f t="shared" si="8"/>
        <v>3.7433148252097059E-3</v>
      </c>
      <c r="M23" s="3">
        <f t="shared" si="9"/>
        <v>267.14290587193091</v>
      </c>
      <c r="N23" s="13">
        <f t="shared" si="10"/>
        <v>1.8602749746508E-3</v>
      </c>
      <c r="O23" s="8">
        <f>1-GEVCUM(KVD!$D$11,KVD!$E$11,KVD!$F$11,$A23)</f>
        <v>3.6379793584783493E-2</v>
      </c>
      <c r="P23" s="3">
        <f t="shared" si="11"/>
        <v>3.7058038748521101E-2</v>
      </c>
      <c r="Q23" s="3">
        <f t="shared" si="12"/>
        <v>26.984698429025947</v>
      </c>
      <c r="R23" s="13">
        <f t="shared" si="15"/>
        <v>1.6909179215445873E-2</v>
      </c>
      <c r="S23" s="6">
        <f>1-GEVCUM(KVD!$D$12,KVD!$E$12,KVD!$F$12,$A23)</f>
        <v>5.4178904118295512E-2</v>
      </c>
      <c r="T23" s="3">
        <f t="shared" si="13"/>
        <v>5.5701844219138708E-2</v>
      </c>
      <c r="U23" s="3">
        <f t="shared" si="14"/>
        <v>17.952726952196819</v>
      </c>
      <c r="V23" s="32">
        <f t="shared" si="16"/>
        <v>2.4487405216258161E-2</v>
      </c>
    </row>
    <row r="24" spans="1:22" x14ac:dyDescent="0.25">
      <c r="A24" s="23">
        <f t="shared" si="4"/>
        <v>117.5</v>
      </c>
      <c r="B24" s="13">
        <f t="shared" si="5"/>
        <v>115</v>
      </c>
      <c r="C24" s="8"/>
      <c r="D24" s="3"/>
      <c r="E24" s="3"/>
      <c r="F24" s="32"/>
      <c r="G24" s="8"/>
      <c r="H24" s="3"/>
      <c r="I24" s="3"/>
      <c r="J24" s="13"/>
      <c r="K24" s="8">
        <f>1-GEVCUM(KVD!$D$10,KVD!$E$10,KVD!$F$10,$A24)</f>
        <v>2.5063572570748205E-3</v>
      </c>
      <c r="L24" s="3">
        <f t="shared" si="8"/>
        <v>2.5095034284773375E-3</v>
      </c>
      <c r="M24" s="3">
        <f t="shared" si="9"/>
        <v>398.4852097240443</v>
      </c>
      <c r="N24" s="13">
        <f t="shared" si="10"/>
        <v>1.2338113967323683E-3</v>
      </c>
      <c r="O24" s="8">
        <f>1-GEVCUM(KVD!$D$11,KVD!$E$11,KVD!$F$11,$A24)</f>
        <v>2.4962302549467297E-2</v>
      </c>
      <c r="P24" s="3">
        <f t="shared" si="11"/>
        <v>2.5279144679896649E-2</v>
      </c>
      <c r="Q24" s="3">
        <f t="shared" si="12"/>
        <v>39.558300435506993</v>
      </c>
      <c r="R24" s="13">
        <f t="shared" si="15"/>
        <v>1.1778894068624448E-2</v>
      </c>
      <c r="S24" s="6">
        <f>1-GEVCUM(KVD!$D$12,KVD!$E$12,KVD!$F$12,$A24)</f>
        <v>3.7635802246972938E-2</v>
      </c>
      <c r="T24" s="3">
        <f t="shared" si="13"/>
        <v>3.8362316018394065E-2</v>
      </c>
      <c r="U24" s="3">
        <f t="shared" si="14"/>
        <v>26.067247856477628</v>
      </c>
      <c r="V24" s="32">
        <f t="shared" si="16"/>
        <v>1.7339528200744636E-2</v>
      </c>
    </row>
    <row r="25" spans="1:22" x14ac:dyDescent="0.25">
      <c r="A25" s="23">
        <f t="shared" si="4"/>
        <v>122.5</v>
      </c>
      <c r="B25" s="13">
        <f t="shared" si="5"/>
        <v>120</v>
      </c>
      <c r="C25" s="8"/>
      <c r="D25" s="3"/>
      <c r="E25" s="3"/>
      <c r="F25" s="32"/>
      <c r="G25" s="8"/>
      <c r="H25" s="3"/>
      <c r="I25" s="3"/>
      <c r="J25" s="13"/>
      <c r="K25" s="8">
        <f>1-GEVCUM(KVD!$D$10,KVD!$E$10,KVD!$F$10,$A25)</f>
        <v>1.686814103381562E-3</v>
      </c>
      <c r="L25" s="3">
        <f t="shared" si="8"/>
        <v>1.6882383761722098E-3</v>
      </c>
      <c r="M25" s="3">
        <f t="shared" si="9"/>
        <v>592.33341340535571</v>
      </c>
      <c r="N25" s="13">
        <f t="shared" si="10"/>
        <v>2.5095034284773375E-3</v>
      </c>
      <c r="O25" s="8">
        <f>1-GEVCUM(KVD!$D$11,KVD!$E$11,KVD!$F$11,$A25)</f>
        <v>1.6980611051718331E-2</v>
      </c>
      <c r="P25" s="3">
        <f t="shared" si="11"/>
        <v>1.7126434768777368E-2</v>
      </c>
      <c r="Q25" s="3">
        <f t="shared" si="12"/>
        <v>58.389268607326649</v>
      </c>
      <c r="R25" s="13">
        <f t="shared" si="15"/>
        <v>8.1527099111192852E-3</v>
      </c>
      <c r="S25" s="6">
        <f>1-GEVCUM(KVD!$D$12,KVD!$E$12,KVD!$F$12,$A25)</f>
        <v>2.5844579777913435E-2</v>
      </c>
      <c r="T25" s="3">
        <f t="shared" si="13"/>
        <v>2.6184419052867319E-2</v>
      </c>
      <c r="U25" s="3">
        <f t="shared" si="14"/>
        <v>38.190650630092755</v>
      </c>
      <c r="V25" s="32">
        <f t="shared" si="16"/>
        <v>1.2177896965526746E-2</v>
      </c>
    </row>
    <row r="26" spans="1:22" x14ac:dyDescent="0.25">
      <c r="A26" s="23">
        <f t="shared" si="4"/>
        <v>127.5</v>
      </c>
      <c r="B26" s="13">
        <f t="shared" si="5"/>
        <v>125</v>
      </c>
      <c r="C26" s="8"/>
      <c r="D26" s="3"/>
      <c r="E26" s="3"/>
      <c r="F26" s="32"/>
      <c r="G26" s="8"/>
      <c r="H26" s="3"/>
      <c r="I26" s="3"/>
      <c r="J26" s="13"/>
      <c r="K26" s="8"/>
      <c r="L26" s="3"/>
      <c r="M26" s="3"/>
      <c r="N26" s="13"/>
      <c r="O26" s="8">
        <f>1-GEVCUM(KVD!$D$11,KVD!$E$11,KVD!$F$11,$A26)</f>
        <v>1.1454821673312354E-2</v>
      </c>
      <c r="P26" s="3">
        <f t="shared" si="11"/>
        <v>1.1520933494069652E-2</v>
      </c>
      <c r="Q26" s="3">
        <f t="shared" si="12"/>
        <v>86.798522056806021</v>
      </c>
      <c r="R26" s="13">
        <f t="shared" si="15"/>
        <v>5.6055012747077155E-3</v>
      </c>
      <c r="S26" s="6">
        <f>1-GEVCUM(KVD!$D$12,KVD!$E$12,KVD!$F$12,$A26)</f>
        <v>1.7549020815204042E-2</v>
      </c>
      <c r="T26" s="3">
        <f t="shared" si="13"/>
        <v>1.7704830442960961E-2</v>
      </c>
      <c r="U26" s="3">
        <f t="shared" si="14"/>
        <v>56.481760908225887</v>
      </c>
      <c r="V26" s="32">
        <f t="shared" si="16"/>
        <v>8.4795886099063578E-3</v>
      </c>
    </row>
    <row r="27" spans="1:22" x14ac:dyDescent="0.25">
      <c r="A27" s="23">
        <f t="shared" si="4"/>
        <v>132.5</v>
      </c>
      <c r="B27" s="13">
        <f t="shared" si="5"/>
        <v>130</v>
      </c>
      <c r="C27" s="8"/>
      <c r="D27" s="3"/>
      <c r="E27" s="3"/>
      <c r="F27" s="32"/>
      <c r="G27" s="8"/>
      <c r="H27" s="3"/>
      <c r="I27" s="3"/>
      <c r="J27" s="13"/>
      <c r="K27" s="8"/>
      <c r="L27" s="3"/>
      <c r="M27" s="3"/>
      <c r="N27" s="13"/>
      <c r="O27" s="8">
        <f>1-GEVCUM(KVD!$D$11,KVD!$E$11,KVD!$F$11,$A27)</f>
        <v>7.6637338696782242E-3</v>
      </c>
      <c r="P27" s="3">
        <f t="shared" si="11"/>
        <v>7.6932511833572494E-3</v>
      </c>
      <c r="Q27" s="3">
        <f t="shared" si="12"/>
        <v>129.9840569567379</v>
      </c>
      <c r="R27" s="13">
        <f t="shared" si="15"/>
        <v>3.8276823107124026E-3</v>
      </c>
      <c r="S27" s="6">
        <f>1-GEVCUM(KVD!$D$12,KVD!$E$12,KVD!$F$12,$A27)</f>
        <v>1.1783468797409324E-2</v>
      </c>
      <c r="T27" s="3">
        <f t="shared" si="13"/>
        <v>1.1853444110337362E-2</v>
      </c>
      <c r="U27" s="3">
        <f t="shared" si="14"/>
        <v>84.363666010615617</v>
      </c>
      <c r="V27" s="32">
        <f t="shared" si="16"/>
        <v>5.8513863326235989E-3</v>
      </c>
    </row>
    <row r="28" spans="1:22" x14ac:dyDescent="0.25">
      <c r="A28" s="23">
        <f t="shared" si="4"/>
        <v>137.5</v>
      </c>
      <c r="B28" s="13">
        <f t="shared" si="5"/>
        <v>135</v>
      </c>
      <c r="C28" s="8"/>
      <c r="D28" s="3"/>
      <c r="E28" s="3"/>
      <c r="F28" s="32"/>
      <c r="G28" s="8"/>
      <c r="H28" s="3"/>
      <c r="I28" s="3"/>
      <c r="J28" s="13"/>
      <c r="K28" s="8"/>
      <c r="L28" s="3"/>
      <c r="M28" s="3"/>
      <c r="N28" s="13"/>
      <c r="O28" s="8">
        <f>1-GEVCUM(KVD!$D$11,KVD!$E$11,KVD!$F$11,$A28)</f>
        <v>5.0851764800373678E-3</v>
      </c>
      <c r="P28" s="3">
        <f t="shared" si="11"/>
        <v>5.0981499903689489E-3</v>
      </c>
      <c r="Q28" s="3">
        <f t="shared" si="12"/>
        <v>196.14958404306006</v>
      </c>
      <c r="R28" s="13">
        <f t="shared" si="15"/>
        <v>2.5951011929883005E-3</v>
      </c>
      <c r="S28" s="6">
        <f>1-GEVCUM(KVD!$D$12,KVD!$E$12,KVD!$F$12,$A28)</f>
        <v>7.8230147600097943E-3</v>
      </c>
      <c r="T28" s="3">
        <f t="shared" si="13"/>
        <v>7.8537750705760575E-3</v>
      </c>
      <c r="U28" s="3">
        <f t="shared" si="14"/>
        <v>127.32730324127454</v>
      </c>
      <c r="V28" s="32">
        <f t="shared" si="16"/>
        <v>3.9996690397613045E-3</v>
      </c>
    </row>
    <row r="29" spans="1:22" x14ac:dyDescent="0.25">
      <c r="A29" s="23">
        <f t="shared" si="4"/>
        <v>142.5</v>
      </c>
      <c r="B29" s="13">
        <f t="shared" si="5"/>
        <v>140</v>
      </c>
      <c r="C29" s="8"/>
      <c r="D29" s="3"/>
      <c r="E29" s="3"/>
      <c r="F29" s="32"/>
      <c r="G29" s="8"/>
      <c r="H29" s="3"/>
      <c r="I29" s="3"/>
      <c r="J29" s="13"/>
      <c r="K29" s="8"/>
      <c r="L29" s="3"/>
      <c r="M29" s="3"/>
      <c r="N29" s="13"/>
      <c r="O29" s="8">
        <f>1-GEVCUM(KVD!$D$11,KVD!$E$11,KVD!$F$11,$A29)</f>
        <v>3.346108751302479E-3</v>
      </c>
      <c r="P29" s="3">
        <f t="shared" si="11"/>
        <v>3.3517194927873009E-3</v>
      </c>
      <c r="Q29" s="3">
        <f t="shared" si="12"/>
        <v>298.35432295331992</v>
      </c>
      <c r="R29" s="13">
        <f t="shared" si="15"/>
        <v>1.746430497581648E-3</v>
      </c>
      <c r="S29" s="6">
        <f>1-GEVCUM(KVD!$D$12,KVD!$E$12,KVD!$F$12,$A29)</f>
        <v>5.1337612628574725E-3</v>
      </c>
      <c r="T29" s="3">
        <f t="shared" si="13"/>
        <v>5.146984290535268E-3</v>
      </c>
      <c r="U29" s="3">
        <f t="shared" si="14"/>
        <v>194.28852771882146</v>
      </c>
      <c r="V29" s="32">
        <f t="shared" si="16"/>
        <v>2.7067907800407895E-3</v>
      </c>
    </row>
    <row r="30" spans="1:22" x14ac:dyDescent="0.25">
      <c r="A30" s="23">
        <f t="shared" si="4"/>
        <v>147.5</v>
      </c>
      <c r="B30" s="13">
        <f t="shared" si="5"/>
        <v>145</v>
      </c>
      <c r="C30" s="8"/>
      <c r="D30" s="3"/>
      <c r="E30" s="3"/>
      <c r="F30" s="32"/>
      <c r="G30" s="8"/>
      <c r="H30" s="3"/>
      <c r="I30" s="3"/>
      <c r="J30" s="13"/>
      <c r="K30" s="8"/>
      <c r="L30" s="3"/>
      <c r="M30" s="3"/>
      <c r="N30" s="13"/>
      <c r="O30" s="8">
        <f>1-GEVCUM(KVD!$D$11,KVD!$E$11,KVD!$F$11,$A30)</f>
        <v>2.1830563821241267E-3</v>
      </c>
      <c r="P30" s="3">
        <f t="shared" si="11"/>
        <v>2.1854427233520767E-3</v>
      </c>
      <c r="Q30" s="3">
        <f t="shared" si="12"/>
        <v>457.57319069253828</v>
      </c>
      <c r="R30" s="13">
        <f t="shared" si="15"/>
        <v>1.1662767694352242E-3</v>
      </c>
      <c r="S30" s="6">
        <f>1-GEVCUM(KVD!$D$12,KVD!$E$12,KVD!$F$12,$A30)</f>
        <v>3.3287676639893737E-3</v>
      </c>
      <c r="T30" s="3">
        <f t="shared" si="13"/>
        <v>3.3343203368660056E-3</v>
      </c>
      <c r="U30" s="3">
        <f t="shared" si="14"/>
        <v>299.91119597702482</v>
      </c>
      <c r="V30" s="32">
        <f t="shared" si="16"/>
        <v>1.8126639536692624E-3</v>
      </c>
    </row>
    <row r="31" spans="1:22" x14ac:dyDescent="0.25">
      <c r="A31" s="23">
        <f t="shared" si="4"/>
        <v>152.5</v>
      </c>
      <c r="B31" s="13">
        <f t="shared" si="5"/>
        <v>150</v>
      </c>
      <c r="C31" s="8"/>
      <c r="D31" s="3"/>
      <c r="E31" s="3"/>
      <c r="F31" s="32"/>
      <c r="G31" s="8"/>
      <c r="H31" s="3"/>
      <c r="I31" s="3"/>
      <c r="J31" s="13"/>
      <c r="K31" s="8"/>
      <c r="L31" s="3"/>
      <c r="M31" s="3"/>
      <c r="N31" s="13"/>
      <c r="O31" s="8">
        <f>1-GEVCUM(KVD!$D$11,KVD!$E$11,KVD!$F$11,$A31)</f>
        <v>1.411813489790692E-3</v>
      </c>
      <c r="P31" s="3">
        <f t="shared" si="11"/>
        <v>1.4128110374670595E-3</v>
      </c>
      <c r="Q31" s="3">
        <f t="shared" si="12"/>
        <v>707.80873979639728</v>
      </c>
      <c r="R31" s="13">
        <f t="shared" si="15"/>
        <v>7.7263168588501715E-4</v>
      </c>
      <c r="S31" s="6">
        <f>1-GEVCUM(KVD!$D$12,KVD!$E$12,KVD!$F$12,$A31)</f>
        <v>2.1315536394441725E-3</v>
      </c>
      <c r="T31" s="3">
        <f t="shared" si="13"/>
        <v>2.1338286333256475E-3</v>
      </c>
      <c r="U31" s="3">
        <f t="shared" si="14"/>
        <v>468.64119469681339</v>
      </c>
      <c r="V31" s="32">
        <f t="shared" si="16"/>
        <v>1.2004917035403581E-3</v>
      </c>
    </row>
    <row r="32" spans="1:22" x14ac:dyDescent="0.25">
      <c r="A32" s="23">
        <f t="shared" si="4"/>
        <v>157.5</v>
      </c>
      <c r="B32" s="13">
        <f t="shared" si="5"/>
        <v>155</v>
      </c>
      <c r="C32" s="8"/>
      <c r="D32" s="3"/>
      <c r="E32" s="3"/>
      <c r="F32" s="32"/>
      <c r="G32" s="8"/>
      <c r="H32" s="3"/>
      <c r="I32" s="3"/>
      <c r="J32" s="13"/>
      <c r="K32" s="8"/>
      <c r="L32" s="3"/>
      <c r="M32" s="3"/>
      <c r="N32" s="13"/>
      <c r="O32" s="8">
        <f>1-GEVCUM(KVD!$D$11,KVD!$E$11,KVD!$F$11,$A32)</f>
        <v>9.0479962144041082E-4</v>
      </c>
      <c r="P32" s="3">
        <f t="shared" si="11"/>
        <v>9.0520919969402653E-4</v>
      </c>
      <c r="Q32" s="3">
        <f t="shared" si="12"/>
        <v>1104.7170094360663</v>
      </c>
      <c r="R32" s="13">
        <f t="shared" si="15"/>
        <v>1.4128110374670595E-3</v>
      </c>
      <c r="S32" s="6">
        <f>1-GEVCUM(KVD!$D$12,KVD!$E$12,KVD!$F$12,$A32)</f>
        <v>1.3471313224112658E-3</v>
      </c>
      <c r="T32" s="3">
        <f t="shared" si="13"/>
        <v>1.3480395195433427E-3</v>
      </c>
      <c r="U32" s="3">
        <f t="shared" si="14"/>
        <v>741.8180146074327</v>
      </c>
      <c r="V32" s="32">
        <f t="shared" si="16"/>
        <v>7.8578911378230482E-4</v>
      </c>
    </row>
    <row r="33" spans="1:22" x14ac:dyDescent="0.25">
      <c r="A33" s="23">
        <f t="shared" si="4"/>
        <v>162.5</v>
      </c>
      <c r="B33" s="13">
        <f t="shared" si="5"/>
        <v>160</v>
      </c>
      <c r="C33" s="8"/>
      <c r="D33" s="3"/>
      <c r="E33" s="3"/>
      <c r="F33" s="32"/>
      <c r="G33" s="8"/>
      <c r="H33" s="3"/>
      <c r="I33" s="3"/>
      <c r="J33" s="13"/>
      <c r="K33" s="8"/>
      <c r="L33" s="3"/>
      <c r="M33" s="3"/>
      <c r="N33" s="13"/>
      <c r="O33" s="8"/>
      <c r="P33" s="3"/>
      <c r="Q33" s="3"/>
      <c r="R33" s="13"/>
      <c r="S33" s="6">
        <f>1-GEVCUM(KVD!$D$12,KVD!$E$12,KVD!$F$12,$A33)</f>
        <v>8.3969172198328224E-4</v>
      </c>
      <c r="T33" s="3">
        <f t="shared" si="13"/>
        <v>8.4004446055219346E-4</v>
      </c>
      <c r="U33" s="3">
        <f t="shared" si="14"/>
        <v>1190.4131828244681</v>
      </c>
      <c r="V33" s="32">
        <f t="shared" si="16"/>
        <v>1.3480395195433427E-3</v>
      </c>
    </row>
    <row r="34" spans="1:22" x14ac:dyDescent="0.25">
      <c r="A34" s="23">
        <f t="shared" si="4"/>
        <v>167.5</v>
      </c>
      <c r="B34" s="13">
        <f t="shared" si="5"/>
        <v>165</v>
      </c>
      <c r="C34" s="8"/>
      <c r="D34" s="3"/>
      <c r="E34" s="3"/>
      <c r="F34" s="32"/>
      <c r="G34" s="8"/>
      <c r="H34" s="3"/>
      <c r="I34" s="3"/>
      <c r="J34" s="13"/>
      <c r="K34" s="8"/>
      <c r="L34" s="3"/>
      <c r="M34" s="3"/>
      <c r="N34" s="13"/>
      <c r="O34" s="8"/>
      <c r="P34" s="3"/>
      <c r="Q34" s="3"/>
      <c r="R34" s="13"/>
      <c r="S34" s="6"/>
      <c r="T34" s="3"/>
      <c r="U34" s="3"/>
      <c r="V34" s="32"/>
    </row>
    <row r="35" spans="1:22" x14ac:dyDescent="0.25">
      <c r="A35" s="23">
        <f t="shared" si="4"/>
        <v>172.5</v>
      </c>
      <c r="B35" s="13">
        <f t="shared" si="5"/>
        <v>170</v>
      </c>
      <c r="C35" s="8"/>
      <c r="D35" s="3"/>
      <c r="E35" s="3"/>
      <c r="F35" s="32"/>
      <c r="G35" s="8"/>
      <c r="H35" s="3"/>
      <c r="I35" s="3"/>
      <c r="J35" s="13"/>
      <c r="K35" s="8"/>
      <c r="L35" s="3"/>
      <c r="M35" s="3"/>
      <c r="N35" s="13"/>
      <c r="O35" s="8"/>
      <c r="P35" s="3"/>
      <c r="Q35" s="3"/>
      <c r="R35" s="13"/>
      <c r="S35" s="6"/>
      <c r="T35" s="3"/>
      <c r="U35" s="3"/>
      <c r="V35" s="32"/>
    </row>
    <row r="36" spans="1:22" x14ac:dyDescent="0.25">
      <c r="A36" s="23">
        <f t="shared" si="4"/>
        <v>177.5</v>
      </c>
      <c r="B36" s="13">
        <f t="shared" si="5"/>
        <v>175</v>
      </c>
      <c r="C36" s="8"/>
      <c r="D36" s="3"/>
      <c r="E36" s="3"/>
      <c r="F36" s="32"/>
      <c r="G36" s="8"/>
      <c r="H36" s="3"/>
      <c r="I36" s="3"/>
      <c r="J36" s="13"/>
      <c r="K36" s="8"/>
      <c r="L36" s="3"/>
      <c r="M36" s="3"/>
      <c r="N36" s="13"/>
      <c r="O36" s="8"/>
      <c r="P36" s="3"/>
      <c r="Q36" s="3"/>
      <c r="R36" s="13"/>
      <c r="S36" s="6"/>
      <c r="T36" s="3"/>
      <c r="U36" s="3"/>
      <c r="V36" s="32"/>
    </row>
    <row r="37" spans="1:22" x14ac:dyDescent="0.25">
      <c r="A37" s="14">
        <f t="shared" si="4"/>
        <v>182.5</v>
      </c>
      <c r="B37" s="15">
        <f t="shared" si="5"/>
        <v>180</v>
      </c>
      <c r="C37" s="10"/>
      <c r="D37" s="4"/>
      <c r="E37" s="4"/>
      <c r="F37" s="33"/>
      <c r="G37" s="10"/>
      <c r="H37" s="4"/>
      <c r="I37" s="4"/>
      <c r="J37" s="15"/>
      <c r="K37" s="10"/>
      <c r="L37" s="4"/>
      <c r="M37" s="4"/>
      <c r="N37" s="15"/>
      <c r="O37" s="10"/>
      <c r="P37" s="4"/>
      <c r="Q37" s="4"/>
      <c r="R37" s="15"/>
      <c r="S37" s="7"/>
      <c r="T37" s="4"/>
      <c r="U37" s="4"/>
      <c r="V37" s="33"/>
    </row>
  </sheetData>
  <mergeCells count="11">
    <mergeCell ref="S2:U2"/>
    <mergeCell ref="A1:B2"/>
    <mergeCell ref="C1:F1"/>
    <mergeCell ref="G1:J1"/>
    <mergeCell ref="K1:N1"/>
    <mergeCell ref="O1:R1"/>
    <mergeCell ref="S1:V1"/>
    <mergeCell ref="C2:E2"/>
    <mergeCell ref="G2:I2"/>
    <mergeCell ref="K2:M2"/>
    <mergeCell ref="O2:Q2"/>
  </mergeCells>
  <pageMargins left="0.7" right="0.7" top="0.75" bottom="0.75" header="0.3" footer="0.3"/>
  <pageSetup paperSize="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Blad6">
    <tabColor theme="8" tint="-0.249977111117893"/>
  </sheetPr>
  <dimension ref="A1:V40"/>
  <sheetViews>
    <sheetView workbookViewId="0">
      <selection activeCell="C8" sqref="C8"/>
    </sheetView>
  </sheetViews>
  <sheetFormatPr defaultColWidth="9.140625" defaultRowHeight="15" x14ac:dyDescent="0.25"/>
  <cols>
    <col min="1" max="1" width="11.42578125" bestFit="1" customWidth="1"/>
    <col min="2" max="2" width="14" bestFit="1" customWidth="1"/>
    <col min="4" max="4" width="12.28515625" style="19" bestFit="1" customWidth="1"/>
    <col min="5" max="5" width="12" style="19" bestFit="1" customWidth="1"/>
    <col min="6" max="6" width="14.7109375" bestFit="1" customWidth="1"/>
    <col min="8" max="8" width="12.28515625" bestFit="1" customWidth="1"/>
    <col min="9" max="9" width="12" bestFit="1" customWidth="1"/>
    <col min="10" max="10" width="13.7109375" bestFit="1" customWidth="1"/>
    <col min="12" max="12" width="12.28515625" bestFit="1" customWidth="1"/>
    <col min="13" max="13" width="18.85546875" bestFit="1" customWidth="1"/>
    <col min="14" max="14" width="14.7109375" bestFit="1" customWidth="1"/>
    <col min="15" max="15" width="7.7109375" bestFit="1" customWidth="1"/>
    <col min="16" max="16" width="12.28515625" bestFit="1" customWidth="1"/>
    <col min="17" max="17" width="16.42578125" bestFit="1" customWidth="1"/>
    <col min="18" max="18" width="14.7109375" bestFit="1" customWidth="1"/>
    <col min="19" max="19" width="7.7109375" bestFit="1" customWidth="1"/>
    <col min="20" max="20" width="12.28515625" bestFit="1" customWidth="1"/>
    <col min="21" max="21" width="11.42578125" bestFit="1" customWidth="1"/>
    <col min="22" max="22" width="14.7109375" bestFit="1" customWidth="1"/>
  </cols>
  <sheetData>
    <row r="1" spans="1:22" x14ac:dyDescent="0.25">
      <c r="A1" s="50" t="s">
        <v>15</v>
      </c>
      <c r="B1" s="51"/>
      <c r="C1" s="63">
        <v>24</v>
      </c>
      <c r="D1" s="64"/>
      <c r="E1" s="64"/>
      <c r="F1" s="65"/>
      <c r="G1" s="66">
        <v>48</v>
      </c>
      <c r="H1" s="67"/>
      <c r="I1" s="67"/>
      <c r="J1" s="68"/>
      <c r="K1" s="66">
        <v>96</v>
      </c>
      <c r="L1" s="67"/>
      <c r="M1" s="67"/>
      <c r="N1" s="68"/>
      <c r="O1" s="66">
        <v>192</v>
      </c>
      <c r="P1" s="67"/>
      <c r="Q1" s="67"/>
      <c r="R1" s="68"/>
      <c r="S1" s="60">
        <v>216</v>
      </c>
      <c r="T1" s="61"/>
      <c r="U1" s="61"/>
      <c r="V1" s="62"/>
    </row>
    <row r="2" spans="1:22" x14ac:dyDescent="0.25">
      <c r="A2" s="52"/>
      <c r="B2" s="53"/>
      <c r="C2" s="57" t="s">
        <v>9</v>
      </c>
      <c r="D2" s="58"/>
      <c r="E2" s="59"/>
      <c r="F2" s="30">
        <f>24/24*365.25</f>
        <v>365.25</v>
      </c>
      <c r="G2" s="54" t="s">
        <v>9</v>
      </c>
      <c r="H2" s="55"/>
      <c r="I2" s="56"/>
      <c r="J2" s="30">
        <f>24/48*365.25</f>
        <v>182.625</v>
      </c>
      <c r="K2" s="54" t="s">
        <v>9</v>
      </c>
      <c r="L2" s="55"/>
      <c r="M2" s="56"/>
      <c r="N2" s="30">
        <f>24/96*365.25</f>
        <v>91.3125</v>
      </c>
      <c r="O2" s="54" t="s">
        <v>9</v>
      </c>
      <c r="P2" s="55"/>
      <c r="Q2" s="56"/>
      <c r="R2" s="30">
        <f>24/192*365.25</f>
        <v>45.65625</v>
      </c>
      <c r="S2" s="54" t="s">
        <v>9</v>
      </c>
      <c r="T2" s="55"/>
      <c r="U2" s="56"/>
      <c r="V2" s="30">
        <f>24/216*365.25</f>
        <v>40.583333333333329</v>
      </c>
    </row>
    <row r="3" spans="1:22" x14ac:dyDescent="0.25">
      <c r="A3" s="24" t="s">
        <v>12</v>
      </c>
      <c r="B3" s="27" t="s">
        <v>14</v>
      </c>
      <c r="C3" s="24" t="s">
        <v>8</v>
      </c>
      <c r="D3" s="25" t="s">
        <v>10</v>
      </c>
      <c r="E3" s="26" t="s">
        <v>17</v>
      </c>
      <c r="F3" s="36" t="s">
        <v>13</v>
      </c>
      <c r="G3" s="24" t="s">
        <v>8</v>
      </c>
      <c r="H3" s="25" t="s">
        <v>10</v>
      </c>
      <c r="I3" s="26" t="s">
        <v>17</v>
      </c>
      <c r="J3" s="29" t="s">
        <v>13</v>
      </c>
      <c r="K3" s="24" t="s">
        <v>8</v>
      </c>
      <c r="L3" s="25" t="s">
        <v>10</v>
      </c>
      <c r="M3" s="26" t="s">
        <v>17</v>
      </c>
      <c r="N3" s="29" t="s">
        <v>13</v>
      </c>
      <c r="O3" s="24" t="s">
        <v>8</v>
      </c>
      <c r="P3" s="25" t="s">
        <v>10</v>
      </c>
      <c r="Q3" s="26" t="s">
        <v>17</v>
      </c>
      <c r="R3" s="29" t="s">
        <v>13</v>
      </c>
      <c r="S3" s="24" t="s">
        <v>8</v>
      </c>
      <c r="T3" s="25" t="s">
        <v>10</v>
      </c>
      <c r="U3" s="26" t="s">
        <v>17</v>
      </c>
      <c r="V3" s="29" t="s">
        <v>13</v>
      </c>
    </row>
    <row r="4" spans="1:22" x14ac:dyDescent="0.25">
      <c r="A4" s="34">
        <v>17.5</v>
      </c>
      <c r="B4" s="12">
        <f>A4-2.5</f>
        <v>15</v>
      </c>
      <c r="C4" s="8">
        <f>1-GEVCUM(KVD!$D$13,KVD!$E$13,KVD!$F$13,$A4)</f>
        <v>0.99977972299135909</v>
      </c>
      <c r="D4" s="3">
        <f t="shared" ref="D4:D22" si="0">-LN(1-C4)</f>
        <v>8.4206246734655767</v>
      </c>
      <c r="E4" s="3">
        <f t="shared" ref="E4:E22" si="1">1/D4</f>
        <v>0.11875603518479133</v>
      </c>
      <c r="F4" s="31">
        <f>KLASSEFREQUENTIEUITHERHALINGSTIJD(F$2,E3,E4,E5)</f>
        <v>356.82937532653443</v>
      </c>
      <c r="G4" s="35">
        <f>1-GEVCUM(KVD!$D$14,KVD!$E$14,KVD!$F$14,$A4)</f>
        <v>0.99999897565524809</v>
      </c>
      <c r="H4" s="2">
        <f t="shared" ref="H4:H21" si="2">-LN(1-G4)</f>
        <v>13.791457416221251</v>
      </c>
      <c r="I4" s="2">
        <f t="shared" ref="I4:I21" si="3">1/H4</f>
        <v>7.250865298861156E-2</v>
      </c>
      <c r="J4" s="12">
        <f>KLASSEFREQUENTIEUITHERHALINGSTIJD(J$2,I3,I4,I5)</f>
        <v>168.83354258377875</v>
      </c>
      <c r="K4" s="35"/>
      <c r="L4" s="2"/>
      <c r="M4" s="2"/>
      <c r="N4" s="12"/>
      <c r="O4" s="35"/>
      <c r="P4" s="2"/>
      <c r="Q4" s="2"/>
      <c r="R4" s="12"/>
      <c r="S4" s="6"/>
      <c r="T4" s="3"/>
      <c r="U4" s="3"/>
      <c r="V4" s="31"/>
    </row>
    <row r="5" spans="1:22" x14ac:dyDescent="0.25">
      <c r="A5" s="23">
        <f t="shared" ref="A5:A39" si="4">A4+5</f>
        <v>22.5</v>
      </c>
      <c r="B5" s="13">
        <f t="shared" ref="B5:B37" si="5">A5-2.5</f>
        <v>20</v>
      </c>
      <c r="C5" s="8">
        <f>1-GEVCUM(KVD!$D$13,KVD!$E$13,KVD!$F$13,$A5)</f>
        <v>0.98944233994164754</v>
      </c>
      <c r="D5" s="3">
        <f t="shared" si="0"/>
        <v>4.5509036106409795</v>
      </c>
      <c r="E5" s="3">
        <f t="shared" si="1"/>
        <v>0.21973658103014698</v>
      </c>
      <c r="F5" s="32">
        <f t="shared" ref="F5:F22" si="6">KLASSEFREQUENTIEUITHERHALINGSTIJD(F$2,E4,E5,E6)</f>
        <v>3.8697210628245973</v>
      </c>
      <c r="G5" s="8">
        <f>1-GEVCUM(KVD!$D$14,KVD!$E$14,KVD!$F$14,$A5)</f>
        <v>0.99973314475395569</v>
      </c>
      <c r="H5" s="3">
        <f t="shared" si="2"/>
        <v>8.2288041962270757</v>
      </c>
      <c r="I5" s="3">
        <f t="shared" si="3"/>
        <v>0.12152434012933522</v>
      </c>
      <c r="J5" s="13">
        <f t="shared" ref="J5:J23" si="7">KLASSEFREQUENTIEUITHERHALINGSTIJD(J$2,I4,I5,I6)</f>
        <v>5.5626532199941749</v>
      </c>
      <c r="K5" s="8">
        <f>1-GEVCUM(KVD!$D$15,KVD!$E$15,KVD!$F$15,$A5)</f>
        <v>0.99999627947531289</v>
      </c>
      <c r="L5" s="3">
        <f t="shared" ref="L5:L25" si="8">-LN(1-K5)</f>
        <v>12.501645854702558</v>
      </c>
      <c r="M5" s="3">
        <f t="shared" ref="M5:M25" si="9">1/L5</f>
        <v>7.9989467916645948E-2</v>
      </c>
      <c r="N5" s="13">
        <f>KLASSEFREQUENTIEUITHERHALINGSTIJD(N$2,M4,M5,M6)</f>
        <v>78.810854145297441</v>
      </c>
      <c r="O5" s="8">
        <f>1-GEVCUM(KVD!$D$16,KVD!$E$16,KVD!$F$16,$A5)</f>
        <v>0.99999905511982135</v>
      </c>
      <c r="P5" s="3">
        <f t="shared" ref="P5:P31" si="10">-LN(1-O5)</f>
        <v>13.872207712566018</v>
      </c>
      <c r="Q5" s="3">
        <f t="shared" ref="Q5:Q31" si="11">1/P5</f>
        <v>7.208657920355091E-2</v>
      </c>
      <c r="R5" s="13">
        <f>KLASSEFREQUENTIEUITHERHALINGSTIJD(R$2,Q4,Q5,Q6)</f>
        <v>31.784042287433984</v>
      </c>
      <c r="S5" s="6">
        <f>1-GEVCUM(KVD!$D$17,KVD!$E$17,KVD!$F$17,$A5)</f>
        <v>0.99999877640046297</v>
      </c>
      <c r="T5" s="3">
        <f t="shared" ref="T5" si="12">-LN(1-S5)</f>
        <v>13.613713603040299</v>
      </c>
      <c r="U5" s="3">
        <f t="shared" ref="U5" si="13">1/T5</f>
        <v>7.345534283728973E-2</v>
      </c>
      <c r="V5" s="32">
        <f>KLASSEFREQUENTIEUITHERHALINGSTIJD(V$2,U4,U5,U6)</f>
        <v>26.969619730293029</v>
      </c>
    </row>
    <row r="6" spans="1:22" x14ac:dyDescent="0.25">
      <c r="A6" s="23">
        <f t="shared" si="4"/>
        <v>27.5</v>
      </c>
      <c r="B6" s="13">
        <f t="shared" si="5"/>
        <v>25</v>
      </c>
      <c r="C6" s="8">
        <f>1-GEVCUM(KVD!$D$13,KVD!$E$13,KVD!$F$13,$A6)</f>
        <v>0.91997905041046102</v>
      </c>
      <c r="D6" s="3">
        <f t="shared" si="0"/>
        <v>2.5254668087209478</v>
      </c>
      <c r="E6" s="3">
        <f t="shared" si="1"/>
        <v>0.39596639977480508</v>
      </c>
      <c r="F6" s="32">
        <f t="shared" si="6"/>
        <v>2.0254368019200317</v>
      </c>
      <c r="G6" s="8">
        <f>1-GEVCUM(KVD!$D$14,KVD!$E$14,KVD!$F$14,$A6)</f>
        <v>0.99313679373907227</v>
      </c>
      <c r="H6" s="3">
        <f t="shared" si="2"/>
        <v>4.9815805614597908</v>
      </c>
      <c r="I6" s="3">
        <f t="shared" si="3"/>
        <v>0.20073950178313735</v>
      </c>
      <c r="J6" s="13">
        <f t="shared" si="7"/>
        <v>3.2472236347672849</v>
      </c>
      <c r="K6" s="8">
        <f>1-GEVCUM(KVD!$D$15,KVD!$E$15,KVD!$F$15,$A6)</f>
        <v>0.99980948793839919</v>
      </c>
      <c r="L6" s="3">
        <f t="shared" si="8"/>
        <v>8.565795049912035</v>
      </c>
      <c r="M6" s="3">
        <f t="shared" si="9"/>
        <v>0.11674339558360894</v>
      </c>
      <c r="N6" s="13">
        <f t="shared" ref="N6:N25" si="14">KLASSEFREQUENTIEUITHERHALINGSTIJD(N$2,M5,M6,M7)</f>
        <v>3.9358508047905225</v>
      </c>
      <c r="O6" s="8">
        <f>1-GEVCUM(KVD!$D$16,KVD!$E$16,KVD!$F$16,$A6)</f>
        <v>0.9999821238654687</v>
      </c>
      <c r="P6" s="3">
        <f t="shared" si="10"/>
        <v>10.932044001115683</v>
      </c>
      <c r="Q6" s="3">
        <f t="shared" si="11"/>
        <v>9.1474201887400367E-2</v>
      </c>
      <c r="R6" s="13">
        <f t="shared" ref="R6:R31" si="15">KLASSEFREQUENTIEUITHERHALINGSTIJD(R$2,Q5,Q6,Q7)</f>
        <v>2.9401637114503334</v>
      </c>
      <c r="S6" s="6">
        <f>1-GEVCUM(KVD!$D$17,KVD!$E$17,KVD!$F$17,$A6)</f>
        <v>0.99998283881122318</v>
      </c>
      <c r="T6" s="3">
        <f t="shared" ref="T6:T32" si="16">-LN(1-S6)</f>
        <v>10.972860190265745</v>
      </c>
      <c r="U6" s="3">
        <f t="shared" ref="U6:U32" si="17">1/T6</f>
        <v>9.1133941621448986E-2</v>
      </c>
      <c r="V6" s="32">
        <f t="shared" ref="V6:V32" si="18">KLASSEFREQUENTIEUITHERHALINGSTIJD(V$2,U5,U6,U7)</f>
        <v>2.640853412774554</v>
      </c>
    </row>
    <row r="7" spans="1:22" x14ac:dyDescent="0.25">
      <c r="A7" s="23">
        <f t="shared" si="4"/>
        <v>32.5</v>
      </c>
      <c r="B7" s="13">
        <f t="shared" si="5"/>
        <v>30</v>
      </c>
      <c r="C7" s="8">
        <f>1-GEVCUM(KVD!$D$13,KVD!$E$13,KVD!$F$13,$A7)</f>
        <v>0.76210252192248396</v>
      </c>
      <c r="D7" s="3">
        <f t="shared" si="0"/>
        <v>1.4359154624964752</v>
      </c>
      <c r="E7" s="3">
        <f t="shared" si="1"/>
        <v>0.6964198284078682</v>
      </c>
      <c r="F7" s="32">
        <f t="shared" si="6"/>
        <v>1.0895513462244726</v>
      </c>
      <c r="G7" s="8">
        <f>1-GEVCUM(KVD!$D$14,KVD!$E$14,KVD!$F$14,$A7)</f>
        <v>0.95299172083773498</v>
      </c>
      <c r="H7" s="3">
        <f t="shared" si="2"/>
        <v>3.0574315403964714</v>
      </c>
      <c r="I7" s="3">
        <f t="shared" si="3"/>
        <v>0.32707191863086665</v>
      </c>
      <c r="J7" s="13">
        <f t="shared" si="7"/>
        <v>1.9241490210633194</v>
      </c>
      <c r="K7" s="8">
        <f>1-GEVCUM(KVD!$D$15,KVD!$E$15,KVD!$F$15,$A7)</f>
        <v>0.99722578774931447</v>
      </c>
      <c r="L7" s="3">
        <f t="shared" si="8"/>
        <v>5.8873884457103216</v>
      </c>
      <c r="M7" s="3">
        <f t="shared" si="9"/>
        <v>0.16985459838795275</v>
      </c>
      <c r="N7" s="13">
        <f t="shared" si="14"/>
        <v>2.6784066042017134</v>
      </c>
      <c r="O7" s="8">
        <f>1-GEVCUM(KVD!$D$16,KVD!$E$16,KVD!$F$16,$A7)</f>
        <v>0.99981447755191277</v>
      </c>
      <c r="P7" s="3">
        <f t="shared" si="10"/>
        <v>8.5923346692910627</v>
      </c>
      <c r="Q7" s="3">
        <f t="shared" si="11"/>
        <v>0.11638280379999538</v>
      </c>
      <c r="R7" s="13">
        <f t="shared" si="15"/>
        <v>2.3397093318246203</v>
      </c>
      <c r="S7" s="6">
        <f>1-GEVCUM(KVD!$D$17,KVD!$E$17,KVD!$F$17,$A7)</f>
        <v>0.99985196489256289</v>
      </c>
      <c r="T7" s="3">
        <f t="shared" si="16"/>
        <v>8.8180610999176992</v>
      </c>
      <c r="U7" s="3">
        <f t="shared" si="17"/>
        <v>0.11340361431713522</v>
      </c>
      <c r="V7" s="32">
        <f t="shared" si="18"/>
        <v>2.1547990903480461</v>
      </c>
    </row>
    <row r="8" spans="1:22" x14ac:dyDescent="0.25">
      <c r="A8" s="23">
        <f t="shared" si="4"/>
        <v>37.5</v>
      </c>
      <c r="B8" s="13">
        <f t="shared" si="5"/>
        <v>35</v>
      </c>
      <c r="C8" s="8">
        <f>1-GEVCUM(KVD!$D$13,KVD!$E$13,KVD!$F$13,$A8)</f>
        <v>0.56607366042448604</v>
      </c>
      <c r="D8" s="3">
        <f t="shared" si="0"/>
        <v>0.83488048376694435</v>
      </c>
      <c r="E8" s="3">
        <f t="shared" si="1"/>
        <v>1.1977762319799878</v>
      </c>
      <c r="F8" s="32">
        <f t="shared" si="6"/>
        <v>0.60103497872953082</v>
      </c>
      <c r="G8" s="8">
        <f>1-GEVCUM(KVD!$D$14,KVD!$E$14,KVD!$F$14,$A8)</f>
        <v>0.85058491328919306</v>
      </c>
      <c r="H8" s="3">
        <f t="shared" si="2"/>
        <v>1.9010270293817126</v>
      </c>
      <c r="I8" s="3">
        <f t="shared" si="3"/>
        <v>0.52603144749879682</v>
      </c>
      <c r="J8" s="13">
        <f t="shared" si="7"/>
        <v>1.1564045110147587</v>
      </c>
      <c r="K8" s="8">
        <f>1-GEVCUM(KVD!$D$15,KVD!$E$15,KVD!$F$15,$A8)</f>
        <v>0.98273227282673226</v>
      </c>
      <c r="L8" s="3">
        <f t="shared" si="8"/>
        <v>4.0589160009696768</v>
      </c>
      <c r="M8" s="3">
        <f t="shared" si="9"/>
        <v>0.24637119855673278</v>
      </c>
      <c r="N8" s="13">
        <f t="shared" si="14"/>
        <v>1.8284724447406449</v>
      </c>
      <c r="O8" s="8">
        <f>1-GEVCUM(KVD!$D$16,KVD!$E$16,KVD!$F$16,$A8)</f>
        <v>0.99881164131646882</v>
      </c>
      <c r="P8" s="3">
        <f t="shared" si="10"/>
        <v>6.7351821814467181</v>
      </c>
      <c r="Q8" s="3">
        <f t="shared" si="11"/>
        <v>0.14847408326306027</v>
      </c>
      <c r="R8" s="13">
        <f t="shared" si="15"/>
        <v>1.8571524878443446</v>
      </c>
      <c r="S8" s="6">
        <f>1-GEVCUM(KVD!$D$17,KVD!$E$17,KVD!$F$17,$A8)</f>
        <v>0.99914534084255457</v>
      </c>
      <c r="T8" s="3">
        <f t="shared" si="16"/>
        <v>7.0648078147707194</v>
      </c>
      <c r="U8" s="3">
        <f t="shared" si="17"/>
        <v>0.14154666711658509</v>
      </c>
      <c r="V8" s="32">
        <f t="shared" si="18"/>
        <v>1.7532532851469798</v>
      </c>
    </row>
    <row r="9" spans="1:22" x14ac:dyDescent="0.25">
      <c r="A9" s="23">
        <f t="shared" si="4"/>
        <v>42.5</v>
      </c>
      <c r="B9" s="13">
        <f t="shared" si="5"/>
        <v>40</v>
      </c>
      <c r="C9" s="8">
        <f>1-GEVCUM(KVD!$D$13,KVD!$E$13,KVD!$F$13,$A9)</f>
        <v>0.39076493424931991</v>
      </c>
      <c r="D9" s="3">
        <f t="shared" si="0"/>
        <v>0.49555109929152952</v>
      </c>
      <c r="E9" s="3">
        <f t="shared" si="1"/>
        <v>2.0179553661159502</v>
      </c>
      <c r="F9" s="32">
        <f t="shared" si="6"/>
        <v>0.33932938447541483</v>
      </c>
      <c r="G9" s="8">
        <f>1-GEVCUM(KVD!$D$14,KVD!$E$14,KVD!$F$14,$A9)</f>
        <v>0.69779688292689945</v>
      </c>
      <c r="H9" s="3">
        <f t="shared" si="2"/>
        <v>1.1966559145934483</v>
      </c>
      <c r="I9" s="3">
        <f t="shared" si="3"/>
        <v>0.83566210454050183</v>
      </c>
      <c r="J9" s="13">
        <f t="shared" si="7"/>
        <v>0.70437111478826431</v>
      </c>
      <c r="K9" s="8">
        <f>1-GEVCUM(KVD!$D$15,KVD!$E$15,KVD!$F$15,$A9)</f>
        <v>0.93960075621856032</v>
      </c>
      <c r="L9" s="3">
        <f t="shared" si="8"/>
        <v>2.8067786942945854</v>
      </c>
      <c r="M9" s="3">
        <f t="shared" si="9"/>
        <v>0.35628031594821741</v>
      </c>
      <c r="N9" s="13">
        <f t="shared" si="14"/>
        <v>1.2521373066750914</v>
      </c>
      <c r="O9" s="8">
        <f>1-GEVCUM(KVD!$D$16,KVD!$E$16,KVD!$F$16,$A9)</f>
        <v>0.99483003898262556</v>
      </c>
      <c r="P9" s="3">
        <f t="shared" si="10"/>
        <v>5.2648901306499098</v>
      </c>
      <c r="Q9" s="3">
        <f t="shared" si="11"/>
        <v>0.18993748685816503</v>
      </c>
      <c r="R9" s="13">
        <f t="shared" si="15"/>
        <v>1.4702920507968082</v>
      </c>
      <c r="S9" s="6">
        <f>1-GEVCUM(KVD!$D$17,KVD!$E$17,KVD!$F$17,$A9)</f>
        <v>0.99645565550057291</v>
      </c>
      <c r="T9" s="3">
        <f t="shared" si="16"/>
        <v>5.6424020445789189</v>
      </c>
      <c r="U9" s="3">
        <f t="shared" si="17"/>
        <v>0.17722948348935458</v>
      </c>
      <c r="V9" s="32">
        <f t="shared" si="18"/>
        <v>1.4224057701918005</v>
      </c>
    </row>
    <row r="10" spans="1:22" x14ac:dyDescent="0.25">
      <c r="A10" s="23">
        <f t="shared" si="4"/>
        <v>47.5</v>
      </c>
      <c r="B10" s="13">
        <f t="shared" si="5"/>
        <v>45</v>
      </c>
      <c r="C10" s="8">
        <f>1-GEVCUM(KVD!$D$13,KVD!$E$13,KVD!$F$13,$A10)</f>
        <v>0.25904972710084151</v>
      </c>
      <c r="D10" s="3">
        <f t="shared" si="0"/>
        <v>0.29982176403620098</v>
      </c>
      <c r="E10" s="3">
        <f t="shared" si="1"/>
        <v>3.3353149102253243</v>
      </c>
      <c r="F10" s="32">
        <f t="shared" si="6"/>
        <v>0.19572933525532854</v>
      </c>
      <c r="G10" s="8">
        <f>1-GEVCUM(KVD!$D$14,KVD!$E$14,KVD!$F$14,$A10)</f>
        <v>0.53332892214071903</v>
      </c>
      <c r="H10" s="3">
        <f t="shared" si="2"/>
        <v>0.76213059953596984</v>
      </c>
      <c r="I10" s="3">
        <f t="shared" si="3"/>
        <v>1.3121110746752054</v>
      </c>
      <c r="J10" s="13">
        <f t="shared" si="7"/>
        <v>0.43452531505747849</v>
      </c>
      <c r="K10" s="8">
        <f>1-GEVCUM(KVD!$D$15,KVD!$E$15,KVD!$F$15,$A10)</f>
        <v>0.85725365327805059</v>
      </c>
      <c r="L10" s="3">
        <f t="shared" si="8"/>
        <v>1.9466860229139613</v>
      </c>
      <c r="M10" s="3">
        <f t="shared" si="9"/>
        <v>0.51369352233963084</v>
      </c>
      <c r="N10" s="13">
        <f t="shared" si="14"/>
        <v>0.86009267138062429</v>
      </c>
      <c r="O10" s="8">
        <f>1-GEVCUM(KVD!$D$16,KVD!$E$16,KVD!$F$16,$A10)</f>
        <v>0.98349290056931427</v>
      </c>
      <c r="P10" s="3">
        <f t="shared" si="10"/>
        <v>4.1039647220881532</v>
      </c>
      <c r="Q10" s="3">
        <f t="shared" si="11"/>
        <v>0.24366681190455905</v>
      </c>
      <c r="R10" s="13">
        <f t="shared" si="15"/>
        <v>1.1609254085617566</v>
      </c>
      <c r="S10" s="6">
        <f>1-GEVCUM(KVD!$D$17,KVD!$E$17,KVD!$F$17,$A10)</f>
        <v>0.9888000610039327</v>
      </c>
      <c r="T10" s="3">
        <f t="shared" si="16"/>
        <v>4.4918469474756266</v>
      </c>
      <c r="U10" s="3">
        <f t="shared" si="17"/>
        <v>0.2226255728864471</v>
      </c>
      <c r="V10" s="32">
        <f t="shared" si="18"/>
        <v>1.1505550971032923</v>
      </c>
    </row>
    <row r="11" spans="1:22" x14ac:dyDescent="0.25">
      <c r="A11" s="23">
        <f t="shared" si="4"/>
        <v>52.5</v>
      </c>
      <c r="B11" s="13">
        <f t="shared" si="5"/>
        <v>50</v>
      </c>
      <c r="C11" s="8">
        <f>1-GEVCUM(KVD!$D$13,KVD!$E$13,KVD!$F$13,$A11)</f>
        <v>0.16860862891148298</v>
      </c>
      <c r="D11" s="3">
        <f t="shared" si="0"/>
        <v>0.18465463098999166</v>
      </c>
      <c r="E11" s="3">
        <f t="shared" si="1"/>
        <v>5.4155154118728834</v>
      </c>
      <c r="F11" s="32">
        <f t="shared" si="6"/>
        <v>0.11516713304620932</v>
      </c>
      <c r="G11" s="8">
        <f>1-GEVCUM(KVD!$D$14,KVD!$E$14,KVD!$F$14,$A11)</f>
        <v>0.38787299285090882</v>
      </c>
      <c r="H11" s="3">
        <f t="shared" si="2"/>
        <v>0.49081548997938118</v>
      </c>
      <c r="I11" s="3">
        <f t="shared" si="3"/>
        <v>2.0374255100262002</v>
      </c>
      <c r="J11" s="13">
        <f t="shared" si="7"/>
        <v>0.27131510955658872</v>
      </c>
      <c r="K11" s="8">
        <f>1-GEVCUM(KVD!$D$15,KVD!$E$15,KVD!$F$15,$A11)</f>
        <v>0.74182201539479375</v>
      </c>
      <c r="L11" s="3">
        <f t="shared" si="8"/>
        <v>1.3541060690956106</v>
      </c>
      <c r="M11" s="3">
        <f t="shared" si="9"/>
        <v>0.73849458533768086</v>
      </c>
      <c r="N11" s="13">
        <f t="shared" si="14"/>
        <v>0.59257995381835049</v>
      </c>
      <c r="O11" s="8">
        <f>1-GEVCUM(KVD!$D$16,KVD!$E$16,KVD!$F$16,$A11)</f>
        <v>0.95882001393835581</v>
      </c>
      <c r="P11" s="3">
        <f t="shared" si="10"/>
        <v>3.1898029158564656</v>
      </c>
      <c r="Q11" s="3">
        <f t="shared" si="11"/>
        <v>0.31349899237630452</v>
      </c>
      <c r="R11" s="13">
        <f t="shared" si="15"/>
        <v>0.91416180623168763</v>
      </c>
      <c r="S11" s="6">
        <f>1-GEVCUM(KVD!$D$17,KVD!$E$17,KVD!$F$17,$A11)</f>
        <v>0.97167575557403907</v>
      </c>
      <c r="T11" s="3">
        <f t="shared" si="16"/>
        <v>3.5640371475885182</v>
      </c>
      <c r="U11" s="3">
        <f t="shared" si="17"/>
        <v>0.28058068942312098</v>
      </c>
      <c r="V11" s="32">
        <f t="shared" si="18"/>
        <v>0.92780979988710843</v>
      </c>
    </row>
    <row r="12" spans="1:22" x14ac:dyDescent="0.25">
      <c r="A12" s="23">
        <f t="shared" si="4"/>
        <v>57.5</v>
      </c>
      <c r="B12" s="13">
        <f t="shared" si="5"/>
        <v>55</v>
      </c>
      <c r="C12" s="8">
        <f>1-GEVCUM(KVD!$D$13,KVD!$E$13,KVD!$F$13,$A12)</f>
        <v>0.10919076974285435</v>
      </c>
      <c r="D12" s="3">
        <f t="shared" si="0"/>
        <v>0.11562498189110555</v>
      </c>
      <c r="E12" s="3">
        <f t="shared" si="1"/>
        <v>8.6486500031782914</v>
      </c>
      <c r="F12" s="32">
        <f t="shared" si="6"/>
        <v>6.9029649098886092E-2</v>
      </c>
      <c r="G12" s="8">
        <f>1-GEVCUM(KVD!$D$14,KVD!$E$14,KVD!$F$14,$A12)</f>
        <v>0.27345184346158335</v>
      </c>
      <c r="H12" s="3">
        <f t="shared" si="2"/>
        <v>0.31945051249975132</v>
      </c>
      <c r="I12" s="3">
        <f t="shared" si="3"/>
        <v>3.1303753190903976</v>
      </c>
      <c r="J12" s="13">
        <f t="shared" si="7"/>
        <v>0.17136497747962981</v>
      </c>
      <c r="K12" s="8">
        <f>1-GEVCUM(KVD!$D$15,KVD!$E$15,KVD!$F$15,$A12)</f>
        <v>0.61117375876607372</v>
      </c>
      <c r="L12" s="3">
        <f t="shared" si="8"/>
        <v>0.94462271578778245</v>
      </c>
      <c r="M12" s="3">
        <f t="shared" si="9"/>
        <v>1.058623705831629</v>
      </c>
      <c r="N12" s="13">
        <f t="shared" si="14"/>
        <v>0.40948335330782804</v>
      </c>
      <c r="O12" s="8">
        <f>1-GEVCUM(KVD!$D$16,KVD!$E$16,KVD!$F$16,$A12)</f>
        <v>0.91558035828240913</v>
      </c>
      <c r="P12" s="3">
        <f t="shared" si="10"/>
        <v>2.4719551826833333</v>
      </c>
      <c r="Q12" s="3">
        <f t="shared" si="11"/>
        <v>0.40453807860484325</v>
      </c>
      <c r="R12" s="13">
        <f t="shared" si="15"/>
        <v>0.71784773317313233</v>
      </c>
      <c r="S12" s="6">
        <f>1-GEVCUM(KVD!$D$17,KVD!$E$17,KVD!$F$17,$A12)</f>
        <v>0.94028718282541124</v>
      </c>
      <c r="T12" s="3">
        <f t="shared" si="16"/>
        <v>2.8182085885851458</v>
      </c>
      <c r="U12" s="3">
        <f t="shared" si="17"/>
        <v>0.35483533903430486</v>
      </c>
      <c r="V12" s="32">
        <f t="shared" si="18"/>
        <v>0.74582855900337242</v>
      </c>
    </row>
    <row r="13" spans="1:22" x14ac:dyDescent="0.25">
      <c r="A13" s="23">
        <f t="shared" si="4"/>
        <v>62.5</v>
      </c>
      <c r="B13" s="13">
        <f t="shared" si="5"/>
        <v>60</v>
      </c>
      <c r="C13" s="8">
        <f>1-GEVCUM(KVD!$D$13,KVD!$E$13,KVD!$F$13,$A13)</f>
        <v>7.0891326295456691E-2</v>
      </c>
      <c r="D13" s="3">
        <f t="shared" si="0"/>
        <v>7.352956777997148E-2</v>
      </c>
      <c r="E13" s="3">
        <f t="shared" si="1"/>
        <v>13.599971143477703</v>
      </c>
      <c r="F13" s="32">
        <f t="shared" si="6"/>
        <v>4.2095414111134086E-2</v>
      </c>
      <c r="G13" s="8">
        <f>1-GEVCUM(KVD!$D$14,KVD!$E$14,KVD!$F$14,$A13)</f>
        <v>0.18943541977732958</v>
      </c>
      <c r="H13" s="3">
        <f t="shared" si="2"/>
        <v>0.21002426149555167</v>
      </c>
      <c r="I13" s="3">
        <f t="shared" si="3"/>
        <v>4.7613546781650271</v>
      </c>
      <c r="J13" s="13">
        <f t="shared" si="7"/>
        <v>0.10942625100419962</v>
      </c>
      <c r="K13" s="8">
        <f>1-GEVCUM(KVD!$D$15,KVD!$E$15,KVD!$F$15,$A13)</f>
        <v>0.48358032473579338</v>
      </c>
      <c r="L13" s="3">
        <f t="shared" si="8"/>
        <v>0.66083551991399847</v>
      </c>
      <c r="M13" s="3">
        <f t="shared" si="9"/>
        <v>1.5132358504732624</v>
      </c>
      <c r="N13" s="13">
        <f t="shared" si="14"/>
        <v>0.28378719587378409</v>
      </c>
      <c r="O13" s="8">
        <f>1-GEVCUM(KVD!$D$16,KVD!$E$16,KVD!$F$16,$A13)</f>
        <v>0.85190008486640556</v>
      </c>
      <c r="P13" s="3">
        <f t="shared" si="10"/>
        <v>1.9098681307430219</v>
      </c>
      <c r="Q13" s="3">
        <f t="shared" si="11"/>
        <v>0.52359635929992532</v>
      </c>
      <c r="R13" s="13">
        <f t="shared" si="15"/>
        <v>0.56208705194031139</v>
      </c>
      <c r="S13" s="6">
        <f>1-GEVCUM(KVD!$D$17,KVD!$E$17,KVD!$F$17,$A13)</f>
        <v>0.89145754483317274</v>
      </c>
      <c r="T13" s="3">
        <f t="shared" si="16"/>
        <v>2.2206138906761592</v>
      </c>
      <c r="U13" s="3">
        <f t="shared" si="17"/>
        <v>0.45032592302460467</v>
      </c>
      <c r="V13" s="32">
        <f t="shared" si="18"/>
        <v>0.59759469790898656</v>
      </c>
    </row>
    <row r="14" spans="1:22" x14ac:dyDescent="0.25">
      <c r="A14" s="23">
        <f t="shared" si="4"/>
        <v>67.5</v>
      </c>
      <c r="B14" s="13">
        <f t="shared" si="5"/>
        <v>65</v>
      </c>
      <c r="C14" s="8">
        <f>1-GEVCUM(KVD!$D$13,KVD!$E$13,KVD!$F$13,$A14)</f>
        <v>4.6334039377935121E-2</v>
      </c>
      <c r="D14" s="3">
        <f t="shared" si="0"/>
        <v>4.7441814947773477E-2</v>
      </c>
      <c r="E14" s="3">
        <f t="shared" si="1"/>
        <v>21.07845159593608</v>
      </c>
      <c r="F14" s="32">
        <f t="shared" si="6"/>
        <v>2.6087752832198004E-2</v>
      </c>
      <c r="G14" s="8">
        <f>1-GEVCUM(KVD!$D$14,KVD!$E$14,KVD!$F$14,$A14)</f>
        <v>0.1301345311148866</v>
      </c>
      <c r="H14" s="3">
        <f t="shared" si="2"/>
        <v>0.13941671275588149</v>
      </c>
      <c r="I14" s="3">
        <f t="shared" si="3"/>
        <v>7.1727412032085338</v>
      </c>
      <c r="J14" s="13">
        <f t="shared" si="7"/>
        <v>7.0607548739670206E-2</v>
      </c>
      <c r="K14" s="8">
        <f>1-GEVCUM(KVD!$D$15,KVD!$E$15,KVD!$F$15,$A14)</f>
        <v>0.37098157453102509</v>
      </c>
      <c r="L14" s="3">
        <f t="shared" si="8"/>
        <v>0.46359472943732605</v>
      </c>
      <c r="M14" s="3">
        <f t="shared" si="9"/>
        <v>2.1570564471552975</v>
      </c>
      <c r="N14" s="13">
        <f t="shared" si="14"/>
        <v>0.19724079047667242</v>
      </c>
      <c r="O14" s="8">
        <f>1-GEVCUM(KVD!$D$16,KVD!$E$16,KVD!$F$16,$A14)</f>
        <v>0.77031053814147621</v>
      </c>
      <c r="P14" s="3">
        <f t="shared" si="10"/>
        <v>1.4710270481865935</v>
      </c>
      <c r="Q14" s="3">
        <f t="shared" si="11"/>
        <v>0.67979715344646352</v>
      </c>
      <c r="R14" s="13">
        <f t="shared" si="15"/>
        <v>0.4388410825564284</v>
      </c>
      <c r="S14" s="6">
        <f>1-GEVCUM(KVD!$D$17,KVD!$E$17,KVD!$F$17,$A14)</f>
        <v>0.82507413298973065</v>
      </c>
      <c r="T14" s="3">
        <f t="shared" si="16"/>
        <v>1.7433930118938628</v>
      </c>
      <c r="U14" s="3">
        <f t="shared" si="17"/>
        <v>0.57359413120148472</v>
      </c>
      <c r="V14" s="32">
        <f t="shared" si="18"/>
        <v>0.47722087878229624</v>
      </c>
    </row>
    <row r="15" spans="1:22" x14ac:dyDescent="0.25">
      <c r="A15" s="23">
        <f t="shared" si="4"/>
        <v>72.5</v>
      </c>
      <c r="B15" s="13">
        <f t="shared" si="5"/>
        <v>70</v>
      </c>
      <c r="C15" s="8">
        <f>1-GEVCUM(KVD!$D$13,KVD!$E$13,KVD!$F$13,$A15)</f>
        <v>3.055197449558078E-2</v>
      </c>
      <c r="D15" s="3">
        <f t="shared" si="0"/>
        <v>3.1028415324491125E-2</v>
      </c>
      <c r="E15" s="3">
        <f t="shared" si="1"/>
        <v>32.228523098654257</v>
      </c>
      <c r="F15" s="32">
        <f t="shared" si="6"/>
        <v>1.6413399623282351E-2</v>
      </c>
      <c r="G15" s="8">
        <f>1-GEVCUM(KVD!$D$14,KVD!$E$14,KVD!$F$14,$A15)</f>
        <v>8.9171943981025903E-2</v>
      </c>
      <c r="H15" s="3">
        <f t="shared" si="2"/>
        <v>9.3401141557080125E-2</v>
      </c>
      <c r="I15" s="3">
        <f t="shared" si="3"/>
        <v>10.706507258145995</v>
      </c>
      <c r="J15" s="13">
        <f t="shared" si="7"/>
        <v>4.6015571198801355E-2</v>
      </c>
      <c r="K15" s="8">
        <f>1-GEVCUM(KVD!$D$15,KVD!$E$15,KVD!$F$15,$A15)</f>
        <v>0.27828009997912684</v>
      </c>
      <c r="L15" s="3">
        <f t="shared" si="8"/>
        <v>0.32611816547101707</v>
      </c>
      <c r="M15" s="3">
        <f t="shared" si="9"/>
        <v>3.0663731919247303</v>
      </c>
      <c r="N15" s="13">
        <f t="shared" si="14"/>
        <v>0.13747656396630897</v>
      </c>
      <c r="O15" s="8">
        <f>1-GEVCUM(KVD!$D$16,KVD!$E$16,KVD!$F$16,$A15)</f>
        <v>0.6767828911184488</v>
      </c>
      <c r="P15" s="3">
        <f t="shared" si="10"/>
        <v>1.1294310178403633</v>
      </c>
      <c r="Q15" s="3">
        <f t="shared" si="11"/>
        <v>0.88540157318518287</v>
      </c>
      <c r="R15" s="13">
        <f t="shared" si="15"/>
        <v>0.34159603034623021</v>
      </c>
      <c r="S15" s="6">
        <f>1-GEVCUM(KVD!$D$17,KVD!$E$17,KVD!$F$17,$A15)</f>
        <v>0.74426478854256839</v>
      </c>
      <c r="T15" s="3">
        <f t="shared" si="16"/>
        <v>1.3636127000356515</v>
      </c>
      <c r="U15" s="3">
        <f t="shared" si="17"/>
        <v>0.73334605931277641</v>
      </c>
      <c r="V15" s="32">
        <f t="shared" si="18"/>
        <v>0.37978031185821148</v>
      </c>
    </row>
    <row r="16" spans="1:22" x14ac:dyDescent="0.25">
      <c r="A16" s="23">
        <f t="shared" si="4"/>
        <v>77.5</v>
      </c>
      <c r="B16" s="13">
        <f t="shared" si="5"/>
        <v>75</v>
      </c>
      <c r="C16" s="8">
        <f>1-GEVCUM(KVD!$D$13,KVD!$E$13,KVD!$F$13,$A16)</f>
        <v>2.0344475846357679E-2</v>
      </c>
      <c r="D16" s="3">
        <f t="shared" si="0"/>
        <v>2.0554275075893261E-2</v>
      </c>
      <c r="E16" s="3">
        <f t="shared" si="1"/>
        <v>48.65167933715324</v>
      </c>
      <c r="F16" s="32">
        <f t="shared" si="6"/>
        <v>1.0474140248597864E-2</v>
      </c>
      <c r="G16" s="8">
        <f>1-GEVCUM(KVD!$D$14,KVD!$E$14,KVD!$F$14,$A16)</f>
        <v>6.1174560305586323E-2</v>
      </c>
      <c r="H16" s="3">
        <f t="shared" si="2"/>
        <v>6.3125717274403415E-2</v>
      </c>
      <c r="I16" s="3">
        <f t="shared" si="3"/>
        <v>15.841404156297576</v>
      </c>
      <c r="J16" s="13">
        <f t="shared" si="7"/>
        <v>3.0275424282676724E-2</v>
      </c>
      <c r="K16" s="8">
        <f>1-GEVCUM(KVD!$D$15,KVD!$E$15,KVD!$F$15,$A16)</f>
        <v>0.20549027660621744</v>
      </c>
      <c r="L16" s="3">
        <f t="shared" si="8"/>
        <v>0.23003005469915649</v>
      </c>
      <c r="M16" s="3">
        <f t="shared" si="9"/>
        <v>4.347258019426393</v>
      </c>
      <c r="N16" s="13">
        <f t="shared" si="14"/>
        <v>9.6088110771860552E-2</v>
      </c>
      <c r="O16" s="8">
        <f>1-GEVCUM(KVD!$D$16,KVD!$E$16,KVD!$F$16,$A16)</f>
        <v>0.57867214588406579</v>
      </c>
      <c r="P16" s="3">
        <f t="shared" si="10"/>
        <v>0.86434399749967805</v>
      </c>
      <c r="Q16" s="3">
        <f t="shared" si="11"/>
        <v>1.1569467745396964</v>
      </c>
      <c r="R16" s="13">
        <f t="shared" si="15"/>
        <v>0.26508702034068521</v>
      </c>
      <c r="S16" s="6">
        <f>1-GEVCUM(KVD!$D$17,KVD!$E$17,KVD!$F$17,$A16)</f>
        <v>0.65439248671344052</v>
      </c>
      <c r="T16" s="3">
        <f t="shared" si="16"/>
        <v>1.0624515024547485</v>
      </c>
      <c r="U16" s="3">
        <f t="shared" si="17"/>
        <v>0.94121943231248018</v>
      </c>
      <c r="V16" s="32">
        <f t="shared" si="18"/>
        <v>0.30116119758090298</v>
      </c>
    </row>
    <row r="17" spans="1:22" x14ac:dyDescent="0.25">
      <c r="A17" s="23">
        <f t="shared" si="4"/>
        <v>82.5</v>
      </c>
      <c r="B17" s="13">
        <f t="shared" si="5"/>
        <v>80</v>
      </c>
      <c r="C17" s="8">
        <f>1-GEVCUM(KVD!$D$13,KVD!$E$13,KVD!$F$13,$A17)</f>
        <v>1.3685994287112924E-2</v>
      </c>
      <c r="D17" s="3">
        <f t="shared" si="0"/>
        <v>1.3780510866612148E-2</v>
      </c>
      <c r="E17" s="3">
        <f t="shared" si="1"/>
        <v>72.566250241334032</v>
      </c>
      <c r="F17" s="32">
        <f t="shared" si="6"/>
        <v>6.7737642092811131E-3</v>
      </c>
      <c r="G17" s="8">
        <f>1-GEVCUM(KVD!$D$14,KVD!$E$14,KVD!$F$14,$A17)</f>
        <v>4.2111844789979758E-2</v>
      </c>
      <c r="H17" s="3">
        <f t="shared" si="2"/>
        <v>4.3024256041890023E-2</v>
      </c>
      <c r="I17" s="3">
        <f t="shared" si="3"/>
        <v>23.242702884306997</v>
      </c>
      <c r="J17" s="13">
        <f t="shared" si="7"/>
        <v>2.0101461232513392E-2</v>
      </c>
      <c r="K17" s="8">
        <f>1-GEVCUM(KVD!$D$15,KVD!$E$15,KVD!$F$15,$A17)</f>
        <v>0.15014174514714607</v>
      </c>
      <c r="L17" s="3">
        <f t="shared" si="8"/>
        <v>0.1626857024002448</v>
      </c>
      <c r="M17" s="3">
        <f t="shared" si="9"/>
        <v>6.1468216643879776</v>
      </c>
      <c r="N17" s="13">
        <f t="shared" si="14"/>
        <v>6.7344352298911725E-2</v>
      </c>
      <c r="O17" s="8">
        <f>1-GEVCUM(KVD!$D$16,KVD!$E$16,KVD!$F$16,$A17)</f>
        <v>0.48277349313617757</v>
      </c>
      <c r="P17" s="3">
        <f t="shared" si="10"/>
        <v>0.65927438269426075</v>
      </c>
      <c r="Q17" s="3">
        <f t="shared" si="11"/>
        <v>1.5168191366897856</v>
      </c>
      <c r="R17" s="13">
        <f t="shared" si="15"/>
        <v>0.2050696148054173</v>
      </c>
      <c r="S17" s="6">
        <f>1-GEVCUM(KVD!$D$17,KVD!$E$17,KVD!$F$17,$A17)</f>
        <v>0.56155022690129341</v>
      </c>
      <c r="T17" s="3">
        <f t="shared" si="16"/>
        <v>0.82451001626470288</v>
      </c>
      <c r="U17" s="3">
        <f t="shared" si="17"/>
        <v>1.2128415425810393</v>
      </c>
      <c r="V17" s="32">
        <f t="shared" si="18"/>
        <v>0.23794148619004563</v>
      </c>
    </row>
    <row r="18" spans="1:22" x14ac:dyDescent="0.25">
      <c r="A18" s="23">
        <f t="shared" si="4"/>
        <v>87.5</v>
      </c>
      <c r="B18" s="13">
        <f t="shared" si="5"/>
        <v>85</v>
      </c>
      <c r="C18" s="8">
        <f>1-GEVCUM(KVD!$D$13,KVD!$E$13,KVD!$F$13,$A18)</f>
        <v>9.3009086740966085E-3</v>
      </c>
      <c r="D18" s="3">
        <f t="shared" si="0"/>
        <v>9.3444322076678115E-3</v>
      </c>
      <c r="E18" s="3">
        <f t="shared" si="1"/>
        <v>107.01559792786817</v>
      </c>
      <c r="F18" s="32">
        <f t="shared" si="6"/>
        <v>4.4360786589443361E-3</v>
      </c>
      <c r="G18" s="8">
        <f>1-GEVCUM(KVD!$D$14,KVD!$E$14,KVD!$F$14,$A18)</f>
        <v>2.9128389259539866E-2</v>
      </c>
      <c r="H18" s="3">
        <f t="shared" si="2"/>
        <v>2.956104318138137E-2</v>
      </c>
      <c r="I18" s="3">
        <f t="shared" si="3"/>
        <v>33.828305512230251</v>
      </c>
      <c r="J18" s="13">
        <f t="shared" si="7"/>
        <v>1.3463212860508649E-2</v>
      </c>
      <c r="K18" s="8">
        <f>1-GEVCUM(KVD!$D$15,KVD!$E$15,KVD!$F$15,$A18)</f>
        <v>0.10895390472582578</v>
      </c>
      <c r="L18" s="3">
        <f t="shared" si="8"/>
        <v>0.11535911853505205</v>
      </c>
      <c r="M18" s="3">
        <f t="shared" si="9"/>
        <v>8.6685821866448158</v>
      </c>
      <c r="N18" s="13">
        <f t="shared" si="14"/>
        <v>4.7326583865192742E-2</v>
      </c>
      <c r="O18" s="8">
        <f>1-GEVCUM(KVD!$D$16,KVD!$E$16,KVD!$F$16,$A18)</f>
        <v>0.39416239422174248</v>
      </c>
      <c r="P18" s="3">
        <f t="shared" si="10"/>
        <v>0.50114330608874691</v>
      </c>
      <c r="Q18" s="3">
        <f t="shared" si="11"/>
        <v>1.9954372089785255</v>
      </c>
      <c r="R18" s="13">
        <f t="shared" si="15"/>
        <v>0.15813107660551384</v>
      </c>
      <c r="S18" s="6">
        <f>1-GEVCUM(KVD!$D$17,KVD!$E$17,KVD!$F$17,$A18)</f>
        <v>0.47124423602581278</v>
      </c>
      <c r="T18" s="3">
        <f t="shared" si="16"/>
        <v>0.63722864754785169</v>
      </c>
      <c r="U18" s="3">
        <f t="shared" si="17"/>
        <v>1.5692954229979226</v>
      </c>
      <c r="V18" s="32">
        <f t="shared" si="18"/>
        <v>0.18728136871685119</v>
      </c>
    </row>
    <row r="19" spans="1:22" x14ac:dyDescent="0.25">
      <c r="A19" s="23">
        <f t="shared" si="4"/>
        <v>92.5</v>
      </c>
      <c r="B19" s="13">
        <f t="shared" si="5"/>
        <v>90</v>
      </c>
      <c r="C19" s="8">
        <f>1-GEVCUM(KVD!$D$13,KVD!$E$13,KVD!$F$13,$A19)</f>
        <v>6.3841535774782354E-3</v>
      </c>
      <c r="D19" s="3">
        <f t="shared" si="0"/>
        <v>6.4046194372224217E-3</v>
      </c>
      <c r="E19" s="3">
        <f t="shared" si="1"/>
        <v>156.13730211481285</v>
      </c>
      <c r="F19" s="32">
        <f t="shared" si="6"/>
        <v>2.9398127704453898E-3</v>
      </c>
      <c r="G19" s="8">
        <f>1-GEVCUM(KVD!$D$14,KVD!$E$14,KVD!$F$14,$A19)</f>
        <v>2.0260229472154667E-2</v>
      </c>
      <c r="H19" s="3">
        <f t="shared" si="2"/>
        <v>2.0468282857290306E-2</v>
      </c>
      <c r="I19" s="3">
        <f t="shared" si="3"/>
        <v>48.856076837135575</v>
      </c>
      <c r="J19" s="13">
        <f t="shared" si="7"/>
        <v>9.0927603240910683E-3</v>
      </c>
      <c r="K19" s="8">
        <f>1-GEVCUM(KVD!$D$15,KVD!$E$15,KVD!$F$15,$A19)</f>
        <v>7.8738700886599733E-2</v>
      </c>
      <c r="L19" s="3">
        <f t="shared" si="8"/>
        <v>8.2011570573180509E-2</v>
      </c>
      <c r="M19" s="3">
        <f t="shared" si="9"/>
        <v>12.193401406789066</v>
      </c>
      <c r="N19" s="13">
        <f t="shared" si="14"/>
        <v>3.3347547961871546E-2</v>
      </c>
      <c r="O19" s="8">
        <f>1-GEVCUM(KVD!$D$16,KVD!$E$16,KVD!$F$16,$A19)</f>
        <v>0.31587079042579325</v>
      </c>
      <c r="P19" s="3">
        <f t="shared" si="10"/>
        <v>0.37960847631322298</v>
      </c>
      <c r="Q19" s="3">
        <f t="shared" si="11"/>
        <v>2.6342931267290219</v>
      </c>
      <c r="R19" s="13">
        <f t="shared" si="15"/>
        <v>0.12153482977552393</v>
      </c>
      <c r="S19" s="6">
        <f>1-GEVCUM(KVD!$D$17,KVD!$E$17,KVD!$F$17,$A19)</f>
        <v>0.38761703831640582</v>
      </c>
      <c r="T19" s="3">
        <f t="shared" si="16"/>
        <v>0.49039743778749134</v>
      </c>
      <c r="U19" s="3">
        <f t="shared" si="17"/>
        <v>2.0391623669806767</v>
      </c>
      <c r="V19" s="32">
        <f t="shared" si="18"/>
        <v>0.14683120976036035</v>
      </c>
    </row>
    <row r="20" spans="1:22" x14ac:dyDescent="0.25">
      <c r="A20" s="23">
        <f t="shared" si="4"/>
        <v>97.5</v>
      </c>
      <c r="B20" s="13">
        <f t="shared" si="5"/>
        <v>95</v>
      </c>
      <c r="C20" s="8">
        <f>1-GEVCUM(KVD!$D$13,KVD!$E$13,KVD!$F$13,$A20)</f>
        <v>4.4246021366072252E-3</v>
      </c>
      <c r="D20" s="3">
        <f t="shared" si="0"/>
        <v>4.4344196584291846E-3</v>
      </c>
      <c r="E20" s="3">
        <f t="shared" si="1"/>
        <v>225.50865209591652</v>
      </c>
      <c r="F20" s="32">
        <f t="shared" si="6"/>
        <v>1.9701997787932371E-3</v>
      </c>
      <c r="G20" s="8">
        <f>1-GEVCUM(KVD!$D$14,KVD!$E$14,KVD!$F$14,$A20)</f>
        <v>1.4176410075007473E-2</v>
      </c>
      <c r="H20" s="3">
        <f t="shared" si="2"/>
        <v>1.4277855270053411E-2</v>
      </c>
      <c r="I20" s="3">
        <f t="shared" si="3"/>
        <v>70.038530373494893</v>
      </c>
      <c r="J20" s="13">
        <f t="shared" si="7"/>
        <v>6.1904275872368946E-3</v>
      </c>
      <c r="K20" s="8">
        <f>1-GEVCUM(KVD!$D$15,KVD!$E$15,KVD!$F$15,$A20)</f>
        <v>5.6776855736054621E-2</v>
      </c>
      <c r="L20" s="3">
        <f t="shared" si="8"/>
        <v>5.8452392036337231E-2</v>
      </c>
      <c r="M20" s="3">
        <f t="shared" si="9"/>
        <v>17.107939729452728</v>
      </c>
      <c r="N20" s="13">
        <f t="shared" si="14"/>
        <v>2.3559178536843271E-2</v>
      </c>
      <c r="O20" s="8">
        <f>1-GEVCUM(KVD!$D$16,KVD!$E$16,KVD!$F$16,$A20)</f>
        <v>0.2491248531718333</v>
      </c>
      <c r="P20" s="3">
        <f t="shared" si="10"/>
        <v>0.28651589026907498</v>
      </c>
      <c r="Q20" s="3">
        <f t="shared" si="11"/>
        <v>3.4902078173076978</v>
      </c>
      <c r="R20" s="13">
        <f t="shared" si="15"/>
        <v>9.3092586044147996E-2</v>
      </c>
      <c r="S20" s="6">
        <f>1-GEVCUM(KVD!$D$17,KVD!$E$17,KVD!$F$17,$A20)</f>
        <v>0.31322224448945346</v>
      </c>
      <c r="T20" s="3">
        <f t="shared" si="16"/>
        <v>0.37574453908184391</v>
      </c>
      <c r="U20" s="3">
        <f t="shared" si="17"/>
        <v>2.6613826575991357</v>
      </c>
      <c r="V20" s="32">
        <f t="shared" si="18"/>
        <v>0.11465289870564743</v>
      </c>
    </row>
    <row r="21" spans="1:22" x14ac:dyDescent="0.25">
      <c r="A21" s="23">
        <f t="shared" si="4"/>
        <v>102.5</v>
      </c>
      <c r="B21" s="13">
        <f t="shared" si="5"/>
        <v>100</v>
      </c>
      <c r="C21" s="8">
        <f>1-GEVCUM(KVD!$D$13,KVD!$E$13,KVD!$F$13,$A21)</f>
        <v>3.0951390079865249E-3</v>
      </c>
      <c r="D21" s="3">
        <f t="shared" si="0"/>
        <v>3.0999388574188265E-3</v>
      </c>
      <c r="E21" s="3">
        <f t="shared" si="1"/>
        <v>322.58700767816208</v>
      </c>
      <c r="F21" s="32">
        <f t="shared" si="6"/>
        <v>1.3344808010103582E-3</v>
      </c>
      <c r="G21" s="8">
        <f>1-GEVCUM(KVD!$D$14,KVD!$E$14,KVD!$F$14,$A21)</f>
        <v>9.9806948308676091E-3</v>
      </c>
      <c r="H21" s="3">
        <f t="shared" si="2"/>
        <v>1.0030835872786503E-2</v>
      </c>
      <c r="I21" s="3">
        <f t="shared" si="3"/>
        <v>99.692589200166651</v>
      </c>
      <c r="J21" s="13">
        <f t="shared" si="7"/>
        <v>4.2470193972669081E-3</v>
      </c>
      <c r="K21" s="8">
        <f>1-GEVCUM(KVD!$D$15,KVD!$E$15,KVD!$F$15,$A21)</f>
        <v>4.0905282219377392E-2</v>
      </c>
      <c r="L21" s="3">
        <f t="shared" si="8"/>
        <v>4.1765441738507159E-2</v>
      </c>
      <c r="M21" s="3">
        <f t="shared" si="9"/>
        <v>23.943240113704192</v>
      </c>
      <c r="N21" s="13">
        <f t="shared" si="14"/>
        <v>1.6686950297830079E-2</v>
      </c>
      <c r="O21" s="8">
        <f>1-GEVCUM(KVD!$D$16,KVD!$E$16,KVD!$F$16,$A21)</f>
        <v>0.19382659351316622</v>
      </c>
      <c r="P21" s="3">
        <f t="shared" si="10"/>
        <v>0.21545641509116539</v>
      </c>
      <c r="Q21" s="3">
        <f t="shared" si="11"/>
        <v>4.6413099353615124</v>
      </c>
      <c r="R21" s="13">
        <f t="shared" si="15"/>
        <v>7.1059475177909587E-2</v>
      </c>
      <c r="S21" s="6">
        <f>1-GEVCUM(KVD!$D$17,KVD!$E$17,KVD!$F$17,$A21)</f>
        <v>0.24918177780756556</v>
      </c>
      <c r="T21" s="3">
        <f t="shared" si="16"/>
        <v>0.2865917041961174</v>
      </c>
      <c r="U21" s="3">
        <f t="shared" si="17"/>
        <v>3.4892845304262212</v>
      </c>
      <c r="V21" s="32">
        <f t="shared" si="18"/>
        <v>8.9152834885726506E-2</v>
      </c>
    </row>
    <row r="22" spans="1:22" x14ac:dyDescent="0.25">
      <c r="A22" s="23">
        <f t="shared" si="4"/>
        <v>107.5</v>
      </c>
      <c r="B22" s="13">
        <f t="shared" si="5"/>
        <v>105</v>
      </c>
      <c r="C22" s="8">
        <f>1-GEVCUM(KVD!$D$13,KVD!$E$13,KVD!$F$13,$A22)</f>
        <v>2.1845146511477731E-3</v>
      </c>
      <c r="D22" s="3">
        <f t="shared" si="0"/>
        <v>2.1869041838920838E-3</v>
      </c>
      <c r="E22" s="3">
        <f t="shared" si="1"/>
        <v>457.26740447323897</v>
      </c>
      <c r="F22" s="32">
        <f t="shared" si="6"/>
        <v>3.0999388574188265E-3</v>
      </c>
      <c r="G22" s="8">
        <f>1-GEVCUM(KVD!$D$14,KVD!$E$14,KVD!$F$14,$A22)</f>
        <v>7.0704014871356691E-3</v>
      </c>
      <c r="H22" s="3">
        <f t="shared" ref="H22:H23" si="19">-LN(1-G22)</f>
        <v>7.095515221866684E-3</v>
      </c>
      <c r="I22" s="3">
        <f t="shared" ref="I22:I23" si="20">1/H22</f>
        <v>140.93409269537449</v>
      </c>
      <c r="J22" s="13">
        <f t="shared" si="7"/>
        <v>2.935320650919818E-3</v>
      </c>
      <c r="K22" s="8">
        <f>1-GEVCUM(KVD!$D$15,KVD!$E$15,KVD!$F$15,$A22)</f>
        <v>2.9472946149706858E-2</v>
      </c>
      <c r="L22" s="3">
        <f t="shared" si="8"/>
        <v>2.9916000563467878E-2</v>
      </c>
      <c r="M22" s="3">
        <f t="shared" si="9"/>
        <v>33.426928104191731</v>
      </c>
      <c r="N22" s="13">
        <f t="shared" si="14"/>
        <v>1.1849441175039284E-2</v>
      </c>
      <c r="O22" s="8">
        <f>1-GEVCUM(KVD!$D$16,KVD!$E$16,KVD!$F$16,$A22)</f>
        <v>0.14905531888632761</v>
      </c>
      <c r="P22" s="3">
        <f t="shared" si="10"/>
        <v>0.16140815708842879</v>
      </c>
      <c r="Q22" s="3">
        <f t="shared" si="11"/>
        <v>6.1954737482823852</v>
      </c>
      <c r="R22" s="13">
        <f t="shared" si="15"/>
        <v>5.4048258002736604E-2</v>
      </c>
      <c r="S22" s="6">
        <f>1-GEVCUM(KVD!$D$17,KVD!$E$17,KVD!$F$17,$A22)</f>
        <v>0.19552607793730314</v>
      </c>
      <c r="T22" s="3">
        <f t="shared" si="16"/>
        <v>0.2175667281618453</v>
      </c>
      <c r="U22" s="3">
        <f t="shared" si="17"/>
        <v>4.5962910250509994</v>
      </c>
      <c r="V22" s="32">
        <f t="shared" si="18"/>
        <v>6.9024976034272129E-2</v>
      </c>
    </row>
    <row r="23" spans="1:22" x14ac:dyDescent="0.25">
      <c r="A23" s="23">
        <f t="shared" si="4"/>
        <v>112.5</v>
      </c>
      <c r="B23" s="13">
        <f t="shared" si="5"/>
        <v>110</v>
      </c>
      <c r="C23" s="8"/>
      <c r="D23" s="3"/>
      <c r="E23" s="3"/>
      <c r="F23" s="32"/>
      <c r="G23" s="8">
        <f>1-GEVCUM(KVD!$D$14,KVD!$E$14,KVD!$F$14,$A23)</f>
        <v>5.0395725044681816E-3</v>
      </c>
      <c r="H23" s="3">
        <f t="shared" si="19"/>
        <v>5.0523139757203952E-3</v>
      </c>
      <c r="I23" s="3">
        <f t="shared" si="20"/>
        <v>197.92910828694346</v>
      </c>
      <c r="J23" s="13">
        <f t="shared" si="7"/>
        <v>7.0955152218666849E-3</v>
      </c>
      <c r="K23" s="8">
        <f>1-GEVCUM(KVD!$D$15,KVD!$E$15,KVD!$F$15,$A23)</f>
        <v>2.1251516687541772E-2</v>
      </c>
      <c r="L23" s="3">
        <f t="shared" si="8"/>
        <v>2.148058129522577E-2</v>
      </c>
      <c r="M23" s="3">
        <f t="shared" si="9"/>
        <v>46.553674980027566</v>
      </c>
      <c r="N23" s="13">
        <f t="shared" si="14"/>
        <v>8.4354192682421052E-3</v>
      </c>
      <c r="O23" s="8">
        <f>1-GEVCUM(KVD!$D$16,KVD!$E$16,KVD!$F$16,$A23)</f>
        <v>0.11347754659518849</v>
      </c>
      <c r="P23" s="3">
        <f t="shared" si="10"/>
        <v>0.12044882563881107</v>
      </c>
      <c r="Q23" s="3">
        <f t="shared" si="11"/>
        <v>8.3022810284484798</v>
      </c>
      <c r="R23" s="13">
        <f t="shared" si="15"/>
        <v>4.095933144961772E-2</v>
      </c>
      <c r="S23" s="6">
        <f>1-GEVCUM(KVD!$D$17,KVD!$E$17,KVD!$F$17,$A23)</f>
        <v>0.15156699776340943</v>
      </c>
      <c r="T23" s="3">
        <f t="shared" si="16"/>
        <v>0.16436415766510815</v>
      </c>
      <c r="U23" s="3">
        <f t="shared" si="17"/>
        <v>6.0840515000691289</v>
      </c>
      <c r="V23" s="32">
        <f t="shared" si="18"/>
        <v>5.3202570496737128E-2</v>
      </c>
    </row>
    <row r="24" spans="1:22" x14ac:dyDescent="0.25">
      <c r="A24" s="23">
        <f t="shared" si="4"/>
        <v>117.5</v>
      </c>
      <c r="B24" s="13">
        <f t="shared" si="5"/>
        <v>115</v>
      </c>
      <c r="C24" s="8"/>
      <c r="D24" s="3"/>
      <c r="E24" s="3"/>
      <c r="F24" s="32"/>
      <c r="G24" s="8"/>
      <c r="H24" s="3"/>
      <c r="I24" s="3"/>
      <c r="J24" s="13"/>
      <c r="K24" s="8">
        <f>1-GEVCUM(KVD!$D$15,KVD!$E$15,KVD!$F$15,$A24)</f>
        <v>1.5341801739215177E-2</v>
      </c>
      <c r="L24" s="3">
        <f t="shared" si="8"/>
        <v>1.5460704872696891E-2</v>
      </c>
      <c r="M24" s="3">
        <f t="shared" si="9"/>
        <v>64.68010405954827</v>
      </c>
      <c r="N24" s="13">
        <f t="shared" si="14"/>
        <v>6.0198764225288769E-3</v>
      </c>
      <c r="O24" s="8">
        <f>1-GEVCUM(KVD!$D$16,KVD!$E$16,KVD!$F$16,$A24)</f>
        <v>8.5634644877174426E-2</v>
      </c>
      <c r="P24" s="3">
        <f t="shared" si="10"/>
        <v>8.9525055317705507E-2</v>
      </c>
      <c r="Q24" s="3">
        <f t="shared" si="11"/>
        <v>11.170057325864935</v>
      </c>
      <c r="R24" s="13">
        <f t="shared" si="15"/>
        <v>3.0923770321105562E-2</v>
      </c>
      <c r="S24" s="6">
        <f>1-GEVCUM(KVD!$D$17,KVD!$E$17,KVD!$F$17,$A24)</f>
        <v>0.11621971490060734</v>
      </c>
      <c r="T24" s="3">
        <f t="shared" si="16"/>
        <v>0.12354679350489152</v>
      </c>
      <c r="U24" s="3">
        <f t="shared" si="17"/>
        <v>8.0940991800034663</v>
      </c>
      <c r="V24" s="32">
        <f t="shared" si="18"/>
        <v>4.0817364160216627E-2</v>
      </c>
    </row>
    <row r="25" spans="1:22" x14ac:dyDescent="0.25">
      <c r="A25" s="23">
        <f t="shared" si="4"/>
        <v>122.5</v>
      </c>
      <c r="B25" s="13">
        <f t="shared" si="5"/>
        <v>120</v>
      </c>
      <c r="C25" s="8"/>
      <c r="D25" s="3"/>
      <c r="E25" s="3"/>
      <c r="F25" s="32"/>
      <c r="G25" s="8"/>
      <c r="H25" s="3"/>
      <c r="I25" s="3"/>
      <c r="J25" s="13"/>
      <c r="K25" s="8">
        <f>1-GEVCUM(KVD!$D$15,KVD!$E$15,KVD!$F$15,$A25)</f>
        <v>1.1092220911842365E-2</v>
      </c>
      <c r="L25" s="3">
        <f t="shared" si="8"/>
        <v>1.1154198331875946E-2</v>
      </c>
      <c r="M25" s="3">
        <f t="shared" si="9"/>
        <v>89.652341678580953</v>
      </c>
      <c r="N25" s="13">
        <f t="shared" si="14"/>
        <v>1.5460704872696893E-2</v>
      </c>
      <c r="O25" s="8">
        <f>1-GEVCUM(KVD!$D$16,KVD!$E$16,KVD!$F$16,$A25)</f>
        <v>6.411993952894568E-2</v>
      </c>
      <c r="P25" s="3">
        <f t="shared" si="10"/>
        <v>6.6267951237621026E-2</v>
      </c>
      <c r="Q25" s="3">
        <f t="shared" si="11"/>
        <v>15.09025073695487</v>
      </c>
      <c r="R25" s="13">
        <f t="shared" si="15"/>
        <v>2.3257104080084481E-2</v>
      </c>
      <c r="S25" s="6">
        <f>1-GEVCUM(KVD!$D$17,KVD!$E$17,KVD!$F$17,$A25)</f>
        <v>8.8242814789957769E-2</v>
      </c>
      <c r="T25" s="3">
        <f t="shared" si="16"/>
        <v>9.2381568644342563E-2</v>
      </c>
      <c r="U25" s="3">
        <f t="shared" si="17"/>
        <v>10.824670057832362</v>
      </c>
      <c r="V25" s="32">
        <f t="shared" si="18"/>
        <v>3.1165224860548957E-2</v>
      </c>
    </row>
    <row r="26" spans="1:22" x14ac:dyDescent="0.25">
      <c r="A26" s="23">
        <f t="shared" si="4"/>
        <v>127.5</v>
      </c>
      <c r="B26" s="13">
        <f t="shared" si="5"/>
        <v>125</v>
      </c>
      <c r="C26" s="8"/>
      <c r="D26" s="3"/>
      <c r="E26" s="3"/>
      <c r="F26" s="32"/>
      <c r="G26" s="8"/>
      <c r="H26" s="3"/>
      <c r="I26" s="3"/>
      <c r="J26" s="13"/>
      <c r="K26" s="8"/>
      <c r="L26" s="3"/>
      <c r="M26" s="3"/>
      <c r="N26" s="13"/>
      <c r="O26" s="8">
        <f>1-GEVCUM(KVD!$D$16,KVD!$E$16,KVD!$F$16,$A26)</f>
        <v>4.7672261943668359E-2</v>
      </c>
      <c r="P26" s="3">
        <f t="shared" si="10"/>
        <v>4.8846040771352024E-2</v>
      </c>
      <c r="Q26" s="3">
        <f t="shared" si="11"/>
        <v>20.472488336997323</v>
      </c>
      <c r="R26" s="13">
        <f t="shared" si="15"/>
        <v>1.7421910466269001E-2</v>
      </c>
      <c r="S26" s="6">
        <f>1-GEVCUM(KVD!$D$17,KVD!$E$17,KVD!$F$17,$A26)</f>
        <v>6.6397300701637185E-2</v>
      </c>
      <c r="T26" s="3">
        <f t="shared" si="16"/>
        <v>6.870430673466163E-2</v>
      </c>
      <c r="U26" s="3">
        <f t="shared" si="17"/>
        <v>14.555128310398851</v>
      </c>
      <c r="V26" s="32">
        <f t="shared" si="18"/>
        <v>2.3677261909680933E-2</v>
      </c>
    </row>
    <row r="27" spans="1:22" x14ac:dyDescent="0.25">
      <c r="A27" s="23">
        <f t="shared" si="4"/>
        <v>132.5</v>
      </c>
      <c r="B27" s="13">
        <f t="shared" si="5"/>
        <v>130</v>
      </c>
      <c r="C27" s="8"/>
      <c r="D27" s="3"/>
      <c r="E27" s="3"/>
      <c r="F27" s="32"/>
      <c r="G27" s="8"/>
      <c r="H27" s="3"/>
      <c r="I27" s="3"/>
      <c r="J27" s="13"/>
      <c r="K27" s="8"/>
      <c r="L27" s="3"/>
      <c r="M27" s="3"/>
      <c r="N27" s="13"/>
      <c r="O27" s="8">
        <f>1-GEVCUM(KVD!$D$16,KVD!$E$16,KVD!$F$16,$A27)</f>
        <v>3.5213465141438305E-2</v>
      </c>
      <c r="P27" s="3">
        <f t="shared" si="10"/>
        <v>3.5848409513571024E-2</v>
      </c>
      <c r="Q27" s="3">
        <f t="shared" si="11"/>
        <v>27.895240362656342</v>
      </c>
      <c r="R27" s="13">
        <f t="shared" si="15"/>
        <v>1.2997631257781E-2</v>
      </c>
      <c r="S27" s="6">
        <f>1-GEVCUM(KVD!$D$17,KVD!$E$17,KVD!$F$17,$A27)</f>
        <v>4.9539494057527667E-2</v>
      </c>
      <c r="T27" s="3">
        <f t="shared" si="16"/>
        <v>5.0808668740192596E-2</v>
      </c>
      <c r="U27" s="3">
        <f t="shared" si="17"/>
        <v>19.681680799657364</v>
      </c>
      <c r="V27" s="32">
        <f t="shared" si="18"/>
        <v>1.7895637994469034E-2</v>
      </c>
    </row>
    <row r="28" spans="1:22" x14ac:dyDescent="0.25">
      <c r="A28" s="23">
        <f t="shared" si="4"/>
        <v>137.5</v>
      </c>
      <c r="B28" s="13">
        <f t="shared" si="5"/>
        <v>135</v>
      </c>
      <c r="C28" s="8"/>
      <c r="D28" s="3"/>
      <c r="E28" s="3"/>
      <c r="F28" s="32"/>
      <c r="G28" s="8"/>
      <c r="H28" s="3"/>
      <c r="I28" s="3"/>
      <c r="J28" s="13"/>
      <c r="K28" s="8"/>
      <c r="L28" s="3"/>
      <c r="M28" s="3"/>
      <c r="N28" s="13"/>
      <c r="O28" s="8">
        <f>1-GEVCUM(KVD!$D$16,KVD!$E$16,KVD!$F$16,$A28)</f>
        <v>2.5852083364044653E-2</v>
      </c>
      <c r="P28" s="3">
        <f t="shared" si="10"/>
        <v>2.6192121740625744E-2</v>
      </c>
      <c r="Q28" s="3">
        <f t="shared" si="11"/>
        <v>38.179419365210599</v>
      </c>
      <c r="R28" s="13">
        <f t="shared" si="15"/>
        <v>9.6562877729452802E-3</v>
      </c>
      <c r="S28" s="6">
        <f>1-GEVCUM(KVD!$D$17,KVD!$E$17,KVD!$F$17,$A28)</f>
        <v>3.6666190454825998E-2</v>
      </c>
      <c r="T28" s="3">
        <f t="shared" si="16"/>
        <v>3.7355292206340214E-2</v>
      </c>
      <c r="U28" s="3">
        <f t="shared" si="17"/>
        <v>26.769968615859806</v>
      </c>
      <c r="V28" s="32">
        <f t="shared" si="18"/>
        <v>1.3453376533852382E-2</v>
      </c>
    </row>
    <row r="29" spans="1:22" x14ac:dyDescent="0.25">
      <c r="A29" s="23">
        <f t="shared" si="4"/>
        <v>142.5</v>
      </c>
      <c r="B29" s="13">
        <f t="shared" si="5"/>
        <v>140</v>
      </c>
      <c r="C29" s="8"/>
      <c r="D29" s="3"/>
      <c r="E29" s="3"/>
      <c r="F29" s="32"/>
      <c r="G29" s="8"/>
      <c r="H29" s="3"/>
      <c r="I29" s="3"/>
      <c r="J29" s="13"/>
      <c r="K29" s="8"/>
      <c r="L29" s="3"/>
      <c r="M29" s="3"/>
      <c r="N29" s="13"/>
      <c r="O29" s="8">
        <f>1-GEVCUM(KVD!$D$16,KVD!$E$16,KVD!$F$16,$A29)</f>
        <v>1.8868831530972074E-2</v>
      </c>
      <c r="P29" s="3">
        <f t="shared" si="10"/>
        <v>1.9049119416151009E-2</v>
      </c>
      <c r="Q29" s="3">
        <f t="shared" si="11"/>
        <v>52.495864934950156</v>
      </c>
      <c r="R29" s="13">
        <f t="shared" si="15"/>
        <v>7.1430023244747343E-3</v>
      </c>
      <c r="S29" s="6">
        <f>1-GEVCUM(KVD!$D$17,KVD!$E$17,KVD!$F$17,$A29)</f>
        <v>2.6928515332681702E-2</v>
      </c>
      <c r="T29" s="3">
        <f t="shared" si="16"/>
        <v>2.7297731183061079E-2</v>
      </c>
      <c r="U29" s="3">
        <f t="shared" si="17"/>
        <v>36.633081089923138</v>
      </c>
      <c r="V29" s="32">
        <f t="shared" si="18"/>
        <v>1.0057561023279135E-2</v>
      </c>
    </row>
    <row r="30" spans="1:22" x14ac:dyDescent="0.25">
      <c r="A30" s="23">
        <f t="shared" si="4"/>
        <v>147.5</v>
      </c>
      <c r="B30" s="13">
        <f t="shared" si="5"/>
        <v>145</v>
      </c>
      <c r="C30" s="8"/>
      <c r="D30" s="3"/>
      <c r="E30" s="3"/>
      <c r="F30" s="32"/>
      <c r="G30" s="8"/>
      <c r="H30" s="3"/>
      <c r="I30" s="3"/>
      <c r="J30" s="13"/>
      <c r="K30" s="8"/>
      <c r="L30" s="3"/>
      <c r="M30" s="3"/>
      <c r="N30" s="13"/>
      <c r="O30" s="8">
        <f>1-GEVCUM(KVD!$D$16,KVD!$E$16,KVD!$F$16,$A30)</f>
        <v>1.369406745042745E-2</v>
      </c>
      <c r="P30" s="3">
        <f t="shared" si="10"/>
        <v>1.3788696085830485E-2</v>
      </c>
      <c r="Q30" s="3">
        <f t="shared" si="11"/>
        <v>72.523173603602601</v>
      </c>
      <c r="R30" s="13">
        <f t="shared" si="15"/>
        <v>5.2604233303205229E-3</v>
      </c>
      <c r="S30" s="6">
        <f>1-GEVCUM(KVD!$D$17,KVD!$E$17,KVD!$F$17,$A30)</f>
        <v>1.9627155379515204E-2</v>
      </c>
      <c r="T30" s="3">
        <f t="shared" si="16"/>
        <v>1.9822325977302966E-2</v>
      </c>
      <c r="U30" s="3">
        <f t="shared" si="17"/>
        <v>50.448166433395542</v>
      </c>
      <c r="V30" s="32">
        <f t="shared" si="18"/>
        <v>7.4754052057581129E-3</v>
      </c>
    </row>
    <row r="31" spans="1:22" x14ac:dyDescent="0.25">
      <c r="A31" s="23">
        <f t="shared" si="4"/>
        <v>152.5</v>
      </c>
      <c r="B31" s="13">
        <f t="shared" si="5"/>
        <v>150</v>
      </c>
      <c r="C31" s="8"/>
      <c r="D31" s="3"/>
      <c r="E31" s="3"/>
      <c r="F31" s="32"/>
      <c r="G31" s="8"/>
      <c r="H31" s="3"/>
      <c r="I31" s="3"/>
      <c r="J31" s="13"/>
      <c r="K31" s="8"/>
      <c r="L31" s="3"/>
      <c r="M31" s="3"/>
      <c r="N31" s="13"/>
      <c r="O31" s="8">
        <f>1-GEVCUM(KVD!$D$16,KVD!$E$16,KVD!$F$16,$A31)</f>
        <v>9.883221079259874E-3</v>
      </c>
      <c r="P31" s="3">
        <f t="shared" si="10"/>
        <v>9.9323843042608273E-3</v>
      </c>
      <c r="Q31" s="3">
        <f t="shared" si="11"/>
        <v>100.68075996324636</v>
      </c>
      <c r="R31" s="13">
        <f t="shared" si="15"/>
        <v>1.3788696085830486E-2</v>
      </c>
      <c r="S31" s="6">
        <f>1-GEVCUM(KVD!$D$17,KVD!$E$17,KVD!$F$17,$A31)</f>
        <v>1.4197827319032852E-2</v>
      </c>
      <c r="T31" s="3">
        <f t="shared" si="16"/>
        <v>1.4299580735841515E-2</v>
      </c>
      <c r="U31" s="3">
        <f t="shared" si="17"/>
        <v>69.93212028192734</v>
      </c>
      <c r="V31" s="32">
        <f t="shared" si="18"/>
        <v>5.5227452414614488E-3</v>
      </c>
    </row>
    <row r="32" spans="1:22" x14ac:dyDescent="0.25">
      <c r="A32" s="23">
        <f t="shared" si="4"/>
        <v>157.5</v>
      </c>
      <c r="B32" s="13">
        <f t="shared" si="5"/>
        <v>155</v>
      </c>
      <c r="C32" s="8"/>
      <c r="D32" s="3"/>
      <c r="E32" s="3"/>
      <c r="F32" s="32"/>
      <c r="G32" s="8"/>
      <c r="H32" s="3"/>
      <c r="I32" s="3"/>
      <c r="J32" s="13"/>
      <c r="K32" s="8"/>
      <c r="L32" s="3"/>
      <c r="M32" s="3"/>
      <c r="N32" s="13"/>
      <c r="O32" s="8"/>
      <c r="P32" s="3"/>
      <c r="Q32" s="3"/>
      <c r="R32" s="13"/>
      <c r="S32" s="6">
        <f>1-GEVCUM(KVD!$D$17,KVD!$E$17,KVD!$F$17,$A32)</f>
        <v>1.0192710904239788E-2</v>
      </c>
      <c r="T32" s="3">
        <f t="shared" si="16"/>
        <v>1.0245012280757583E-2</v>
      </c>
      <c r="U32" s="3">
        <f t="shared" si="17"/>
        <v>97.608472551879984</v>
      </c>
      <c r="V32" s="32">
        <f t="shared" si="18"/>
        <v>1.4299580735841517E-2</v>
      </c>
    </row>
    <row r="33" spans="1:22" x14ac:dyDescent="0.25">
      <c r="A33" s="23">
        <f t="shared" si="4"/>
        <v>162.5</v>
      </c>
      <c r="B33" s="13">
        <f t="shared" si="5"/>
        <v>160</v>
      </c>
      <c r="C33" s="8"/>
      <c r="D33" s="3"/>
      <c r="E33" s="3"/>
      <c r="F33" s="32"/>
      <c r="G33" s="8"/>
      <c r="H33" s="3"/>
      <c r="I33" s="3"/>
      <c r="J33" s="13"/>
      <c r="K33" s="8"/>
      <c r="L33" s="3"/>
      <c r="M33" s="3"/>
      <c r="N33" s="13"/>
      <c r="O33" s="8"/>
      <c r="P33" s="3"/>
      <c r="Q33" s="3"/>
      <c r="R33" s="13"/>
      <c r="S33" s="6"/>
      <c r="T33" s="3"/>
      <c r="U33" s="3"/>
      <c r="V33" s="32"/>
    </row>
    <row r="34" spans="1:22" x14ac:dyDescent="0.25">
      <c r="A34" s="23">
        <f t="shared" si="4"/>
        <v>167.5</v>
      </c>
      <c r="B34" s="13">
        <f t="shared" si="5"/>
        <v>165</v>
      </c>
      <c r="C34" s="8"/>
      <c r="D34" s="3"/>
      <c r="E34" s="3"/>
      <c r="F34" s="32"/>
      <c r="G34" s="8"/>
      <c r="H34" s="3"/>
      <c r="I34" s="3"/>
      <c r="J34" s="13"/>
      <c r="K34" s="8"/>
      <c r="L34" s="3"/>
      <c r="M34" s="3"/>
      <c r="N34" s="13"/>
      <c r="O34" s="8"/>
      <c r="P34" s="3"/>
      <c r="Q34" s="3"/>
      <c r="R34" s="13"/>
      <c r="S34" s="6"/>
      <c r="T34" s="3"/>
      <c r="U34" s="3"/>
      <c r="V34" s="32"/>
    </row>
    <row r="35" spans="1:22" x14ac:dyDescent="0.25">
      <c r="A35" s="23">
        <f t="shared" si="4"/>
        <v>172.5</v>
      </c>
      <c r="B35" s="13">
        <f t="shared" si="5"/>
        <v>170</v>
      </c>
      <c r="C35" s="8"/>
      <c r="D35" s="3"/>
      <c r="E35" s="3"/>
      <c r="F35" s="32"/>
      <c r="G35" s="8"/>
      <c r="H35" s="3"/>
      <c r="I35" s="3"/>
      <c r="J35" s="13"/>
      <c r="K35" s="8"/>
      <c r="L35" s="3"/>
      <c r="M35" s="3"/>
      <c r="N35" s="13"/>
      <c r="O35" s="8"/>
      <c r="P35" s="3"/>
      <c r="Q35" s="3"/>
      <c r="R35" s="13"/>
      <c r="S35" s="6"/>
      <c r="T35" s="3"/>
      <c r="U35" s="3"/>
      <c r="V35" s="32"/>
    </row>
    <row r="36" spans="1:22" x14ac:dyDescent="0.25">
      <c r="A36" s="23">
        <f t="shared" si="4"/>
        <v>177.5</v>
      </c>
      <c r="B36" s="13">
        <f t="shared" si="5"/>
        <v>175</v>
      </c>
      <c r="C36" s="8"/>
      <c r="D36" s="3"/>
      <c r="E36" s="3"/>
      <c r="F36" s="32"/>
      <c r="G36" s="8"/>
      <c r="H36" s="3"/>
      <c r="I36" s="3"/>
      <c r="J36" s="13"/>
      <c r="K36" s="8"/>
      <c r="L36" s="3"/>
      <c r="M36" s="3"/>
      <c r="N36" s="13"/>
      <c r="O36" s="8"/>
      <c r="P36" s="3"/>
      <c r="Q36" s="3"/>
      <c r="R36" s="13"/>
      <c r="S36" s="6"/>
      <c r="T36" s="3"/>
      <c r="U36" s="3"/>
      <c r="V36" s="32"/>
    </row>
    <row r="37" spans="1:22" x14ac:dyDescent="0.25">
      <c r="A37" s="14">
        <f t="shared" si="4"/>
        <v>182.5</v>
      </c>
      <c r="B37" s="15">
        <f t="shared" si="5"/>
        <v>180</v>
      </c>
      <c r="C37" s="10"/>
      <c r="D37" s="4"/>
      <c r="E37" s="4"/>
      <c r="F37" s="33"/>
      <c r="G37" s="10"/>
      <c r="H37" s="4"/>
      <c r="I37" s="4"/>
      <c r="J37" s="15"/>
      <c r="K37" s="10"/>
      <c r="L37" s="4"/>
      <c r="M37" s="4"/>
      <c r="N37" s="15"/>
      <c r="O37" s="8"/>
      <c r="P37" s="3"/>
      <c r="Q37" s="3"/>
      <c r="R37" s="13"/>
      <c r="S37" s="6"/>
      <c r="T37" s="3"/>
      <c r="U37" s="3"/>
      <c r="V37" s="32"/>
    </row>
    <row r="38" spans="1:22" x14ac:dyDescent="0.25">
      <c r="A38" s="14">
        <f t="shared" si="4"/>
        <v>187.5</v>
      </c>
      <c r="B38" s="15">
        <f t="shared" ref="B38:B39" si="21">A38-2.5</f>
        <v>185</v>
      </c>
      <c r="O38" s="8"/>
      <c r="P38" s="3"/>
      <c r="Q38" s="3"/>
      <c r="R38" s="13"/>
      <c r="S38" s="6"/>
      <c r="T38" s="3"/>
      <c r="U38" s="3"/>
      <c r="V38" s="32"/>
    </row>
    <row r="39" spans="1:22" x14ac:dyDescent="0.25">
      <c r="A39" s="14">
        <f t="shared" si="4"/>
        <v>192.5</v>
      </c>
      <c r="B39" s="15">
        <f t="shared" si="21"/>
        <v>190</v>
      </c>
      <c r="S39" s="6"/>
      <c r="T39" s="3"/>
      <c r="U39" s="3"/>
      <c r="V39" s="32"/>
    </row>
    <row r="40" spans="1:22" x14ac:dyDescent="0.25">
      <c r="A40" s="14"/>
      <c r="B40" s="15"/>
    </row>
  </sheetData>
  <mergeCells count="11">
    <mergeCell ref="S2:U2"/>
    <mergeCell ref="A1:B2"/>
    <mergeCell ref="C1:F1"/>
    <mergeCell ref="G1:J1"/>
    <mergeCell ref="K1:N1"/>
    <mergeCell ref="O1:R1"/>
    <mergeCell ref="S1:V1"/>
    <mergeCell ref="C2:E2"/>
    <mergeCell ref="G2:I2"/>
    <mergeCell ref="K2:M2"/>
    <mergeCell ref="O2:Q2"/>
  </mergeCells>
  <pageMargins left="0.7" right="0.7" top="0.75" bottom="0.75" header="0.3" footer="0.3"/>
  <pageSetup paperSize="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Blad7">
    <tabColor theme="8" tint="-0.249977111117893"/>
  </sheetPr>
  <dimension ref="A1:V39"/>
  <sheetViews>
    <sheetView topLeftCell="H1" workbookViewId="0">
      <selection activeCell="J32" sqref="J32"/>
    </sheetView>
  </sheetViews>
  <sheetFormatPr defaultColWidth="9.140625" defaultRowHeight="15" x14ac:dyDescent="0.25"/>
  <cols>
    <col min="1" max="1" width="11.42578125" bestFit="1" customWidth="1"/>
    <col min="2" max="2" width="14" bestFit="1" customWidth="1"/>
    <col min="4" max="4" width="12.28515625" style="19" bestFit="1" customWidth="1"/>
    <col min="5" max="5" width="12" style="19" bestFit="1" customWidth="1"/>
    <col min="6" max="6" width="14.7109375" bestFit="1" customWidth="1"/>
    <col min="8" max="8" width="12.28515625" bestFit="1" customWidth="1"/>
    <col min="9" max="9" width="12" bestFit="1" customWidth="1"/>
    <col min="10" max="10" width="13.7109375" bestFit="1" customWidth="1"/>
    <col min="12" max="12" width="12.28515625" bestFit="1" customWidth="1"/>
    <col min="13" max="13" width="18.85546875" bestFit="1" customWidth="1"/>
    <col min="14" max="14" width="14.7109375" bestFit="1" customWidth="1"/>
    <col min="15" max="15" width="7.7109375" bestFit="1" customWidth="1"/>
    <col min="16" max="16" width="12.28515625" bestFit="1" customWidth="1"/>
    <col min="17" max="17" width="16.42578125" bestFit="1" customWidth="1"/>
    <col min="18" max="18" width="14.7109375" bestFit="1" customWidth="1"/>
    <col min="19" max="19" width="7.7109375" bestFit="1" customWidth="1"/>
    <col min="20" max="20" width="12.28515625" bestFit="1" customWidth="1"/>
    <col min="21" max="21" width="11.42578125" bestFit="1" customWidth="1"/>
    <col min="22" max="22" width="14.7109375" bestFit="1" customWidth="1"/>
  </cols>
  <sheetData>
    <row r="1" spans="1:22" x14ac:dyDescent="0.25">
      <c r="A1" s="50" t="s">
        <v>15</v>
      </c>
      <c r="B1" s="51"/>
      <c r="C1" s="63">
        <v>24</v>
      </c>
      <c r="D1" s="64"/>
      <c r="E1" s="64"/>
      <c r="F1" s="65"/>
      <c r="G1" s="66">
        <v>48</v>
      </c>
      <c r="H1" s="67"/>
      <c r="I1" s="67"/>
      <c r="J1" s="68"/>
      <c r="K1" s="66">
        <v>96</v>
      </c>
      <c r="L1" s="67"/>
      <c r="M1" s="67"/>
      <c r="N1" s="68"/>
      <c r="O1" s="66">
        <v>192</v>
      </c>
      <c r="P1" s="67"/>
      <c r="Q1" s="67"/>
      <c r="R1" s="68"/>
      <c r="S1" s="60">
        <v>216</v>
      </c>
      <c r="T1" s="61"/>
      <c r="U1" s="61"/>
      <c r="V1" s="62"/>
    </row>
    <row r="2" spans="1:22" x14ac:dyDescent="0.25">
      <c r="A2" s="52"/>
      <c r="B2" s="53"/>
      <c r="C2" s="57" t="s">
        <v>9</v>
      </c>
      <c r="D2" s="58"/>
      <c r="E2" s="59"/>
      <c r="F2" s="30">
        <f>24/24*365.25</f>
        <v>365.25</v>
      </c>
      <c r="G2" s="54" t="s">
        <v>9</v>
      </c>
      <c r="H2" s="55"/>
      <c r="I2" s="56"/>
      <c r="J2" s="30">
        <f>24/48*365.25</f>
        <v>182.625</v>
      </c>
      <c r="K2" s="54" t="s">
        <v>9</v>
      </c>
      <c r="L2" s="55"/>
      <c r="M2" s="56"/>
      <c r="N2" s="30">
        <f>24/96*365.25</f>
        <v>91.3125</v>
      </c>
      <c r="O2" s="54" t="s">
        <v>9</v>
      </c>
      <c r="P2" s="55"/>
      <c r="Q2" s="56"/>
      <c r="R2" s="30">
        <f>24/192*365.25</f>
        <v>45.65625</v>
      </c>
      <c r="S2" s="54" t="s">
        <v>9</v>
      </c>
      <c r="T2" s="55"/>
      <c r="U2" s="56"/>
      <c r="V2" s="30">
        <f>24/216*365.25</f>
        <v>40.583333333333329</v>
      </c>
    </row>
    <row r="3" spans="1:22" x14ac:dyDescent="0.25">
      <c r="A3" s="24" t="s">
        <v>12</v>
      </c>
      <c r="B3" s="27" t="s">
        <v>14</v>
      </c>
      <c r="C3" s="24" t="s">
        <v>8</v>
      </c>
      <c r="D3" s="25" t="s">
        <v>10</v>
      </c>
      <c r="E3" s="26" t="s">
        <v>17</v>
      </c>
      <c r="F3" s="36" t="s">
        <v>13</v>
      </c>
      <c r="G3" s="24" t="s">
        <v>8</v>
      </c>
      <c r="H3" s="25" t="s">
        <v>10</v>
      </c>
      <c r="I3" s="26" t="s">
        <v>17</v>
      </c>
      <c r="J3" s="29" t="s">
        <v>13</v>
      </c>
      <c r="K3" s="24" t="s">
        <v>8</v>
      </c>
      <c r="L3" s="25" t="s">
        <v>10</v>
      </c>
      <c r="M3" s="26" t="s">
        <v>17</v>
      </c>
      <c r="N3" s="29" t="s">
        <v>13</v>
      </c>
      <c r="O3" s="24" t="s">
        <v>8</v>
      </c>
      <c r="P3" s="25" t="s">
        <v>10</v>
      </c>
      <c r="Q3" s="26" t="s">
        <v>17</v>
      </c>
      <c r="R3" s="29" t="s">
        <v>13</v>
      </c>
      <c r="S3" s="24" t="s">
        <v>8</v>
      </c>
      <c r="T3" s="25" t="s">
        <v>10</v>
      </c>
      <c r="U3" s="26" t="s">
        <v>17</v>
      </c>
      <c r="V3" s="29" t="s">
        <v>13</v>
      </c>
    </row>
    <row r="4" spans="1:22" x14ac:dyDescent="0.25">
      <c r="A4" s="34">
        <v>17.5</v>
      </c>
      <c r="B4" s="12">
        <f>A4-2.5</f>
        <v>15</v>
      </c>
      <c r="C4" s="8">
        <f>1-GEVCUM(KVD!$D$18,KVD!$E$18,KVD!$F$18,$A4)</f>
        <v>0.98712629973088395</v>
      </c>
      <c r="D4" s="3">
        <f t="shared" ref="D4:D17" si="0">-LN(1-C4)</f>
        <v>4.3525687874996972</v>
      </c>
      <c r="E4" s="3">
        <f t="shared" ref="E4:E17" si="1">1/D4</f>
        <v>0.22974938451792809</v>
      </c>
      <c r="F4" s="31">
        <f>KLASSEFREQUENTIEUITHERHALINGSTIJD(F$2,E3,E4,E5)</f>
        <v>360.89743121250029</v>
      </c>
      <c r="G4" s="8">
        <f>1-GEVCUM(KVD!$D$19,KVD!$E$19,KVD!$F$19,$A4)</f>
        <v>0.99994131424848309</v>
      </c>
      <c r="H4" s="2">
        <f t="shared" ref="H4:H22" si="2">-LN(1-G4)</f>
        <v>9.743313594548761</v>
      </c>
      <c r="I4" s="2">
        <f t="shared" ref="I4:I22" si="3">1/H4</f>
        <v>0.10263448777420908</v>
      </c>
      <c r="J4" s="12">
        <f>KLASSEFREQUENTIEUITHERHALINGSTIJD(J$2,I3,I4,I5)</f>
        <v>172.88168640545123</v>
      </c>
      <c r="K4" s="35"/>
      <c r="L4" s="2"/>
      <c r="M4" s="2"/>
      <c r="N4" s="12"/>
      <c r="O4" s="35"/>
      <c r="P4" s="2"/>
      <c r="Q4" s="2"/>
      <c r="R4" s="12"/>
      <c r="S4" s="35"/>
      <c r="T4" s="2"/>
      <c r="U4" s="37"/>
      <c r="V4" s="31"/>
    </row>
    <row r="5" spans="1:22" x14ac:dyDescent="0.25">
      <c r="A5" s="23">
        <f t="shared" ref="A5:A37" si="4">A4+5</f>
        <v>22.5</v>
      </c>
      <c r="B5" s="13">
        <f t="shared" ref="B5:B37" si="5">A5-2.5</f>
        <v>20</v>
      </c>
      <c r="C5" s="8">
        <f>1-GEVCUM(KVD!$D$18,KVD!$E$18,KVD!$F$18,$A5)</f>
        <v>0.83202543841769006</v>
      </c>
      <c r="D5" s="3">
        <f t="shared" si="0"/>
        <v>1.7839427301968325</v>
      </c>
      <c r="E5" s="3">
        <f t="shared" si="1"/>
        <v>0.56055611151242746</v>
      </c>
      <c r="F5" s="32">
        <f t="shared" ref="F5:F20" si="6">KLASSEFREQUENTIEUITHERHALINGSTIJD(F$2,E4,E5,E6)</f>
        <v>2.5686260573028648</v>
      </c>
      <c r="G5" s="8">
        <f>1-GEVCUM(KVD!$D$19,KVD!$E$19,KVD!$F$19,$A5)</f>
        <v>0.99260607471555384</v>
      </c>
      <c r="H5" s="3">
        <f t="shared" si="2"/>
        <v>4.907096523408371</v>
      </c>
      <c r="I5" s="3">
        <f t="shared" si="3"/>
        <v>0.20378649476929792</v>
      </c>
      <c r="J5" s="13">
        <f t="shared" ref="J5:J22" si="7">KLASSEFREQUENTIEUITHERHALINGSTIJD(J$2,I4,I5,I6)</f>
        <v>4.83621707114039</v>
      </c>
      <c r="K5" s="8">
        <f>1-GEVCUM(KVD!$D$20,KVD!$E$20,KVD!$F$20,$A5)</f>
        <v>0.99996491000284238</v>
      </c>
      <c r="L5" s="3">
        <f t="shared" ref="L5:L25" si="8">-LN(1-K5)</f>
        <v>10.25759444937165</v>
      </c>
      <c r="M5" s="3">
        <f t="shared" ref="M5:M25" si="9">1/L5</f>
        <v>9.7488744065257621E-2</v>
      </c>
      <c r="N5" s="13">
        <f>KLASSEFREQUENTIEUITHERHALINGSTIJD(N$2,M4,M5,M6)</f>
        <v>81.054905550628348</v>
      </c>
      <c r="O5" s="8"/>
      <c r="P5" s="3"/>
      <c r="Q5" s="3"/>
      <c r="R5" s="13"/>
      <c r="S5" s="8"/>
      <c r="T5" s="3"/>
      <c r="U5" s="9"/>
      <c r="V5" s="32"/>
    </row>
    <row r="6" spans="1:22" x14ac:dyDescent="0.25">
      <c r="A6" s="23">
        <f t="shared" si="4"/>
        <v>27.5</v>
      </c>
      <c r="B6" s="13">
        <f t="shared" si="5"/>
        <v>25</v>
      </c>
      <c r="C6" s="8">
        <f>1-GEVCUM(KVD!$D$18,KVD!$E$18,KVD!$F$18,$A6)</f>
        <v>0.5379829626461341</v>
      </c>
      <c r="D6" s="3">
        <f t="shared" si="0"/>
        <v>0.77215351119103226</v>
      </c>
      <c r="E6" s="3">
        <f t="shared" si="1"/>
        <v>1.2950792627459775</v>
      </c>
      <c r="F6" s="32">
        <f t="shared" si="6"/>
        <v>1.0117892190058004</v>
      </c>
      <c r="G6" s="8">
        <f>1-GEVCUM(KVD!$D$19,KVD!$E$19,KVD!$F$19,$A6)</f>
        <v>0.92073103467326278</v>
      </c>
      <c r="H6" s="3">
        <f t="shared" si="2"/>
        <v>2.5349085847382873</v>
      </c>
      <c r="I6" s="3">
        <f t="shared" si="3"/>
        <v>0.39449154341131537</v>
      </c>
      <c r="J6" s="13">
        <f t="shared" si="7"/>
        <v>2.3721879386700837</v>
      </c>
      <c r="K6" s="8">
        <f>1-GEVCUM(KVD!$D$20,KVD!$E$20,KVD!$F$20,$A6)</f>
        <v>0.99835027726048153</v>
      </c>
      <c r="L6" s="3">
        <f t="shared" si="8"/>
        <v>6.407148041844863</v>
      </c>
      <c r="M6" s="3">
        <f t="shared" si="9"/>
        <v>0.15607568195225621</v>
      </c>
      <c r="N6" s="13">
        <f t="shared" ref="N6:N25" si="10">KLASSEFREQUENTIEUITHERHALINGSTIJD(N$2,M5,M6,M7)</f>
        <v>3.8504464075267872</v>
      </c>
      <c r="O6" s="8">
        <f>1-GEVCUM(KVD!$D$21,KVD!$E$21,KVD!$F$21,$A6)</f>
        <v>0.99998136519489711</v>
      </c>
      <c r="P6" s="3">
        <f t="shared" ref="P6:P32" si="11">-LN(1-O6)</f>
        <v>10.890479483746686</v>
      </c>
      <c r="Q6" s="3">
        <f t="shared" ref="Q6:Q32" si="12">1/P6</f>
        <v>9.182332159868932E-2</v>
      </c>
      <c r="R6" s="13">
        <f>KLASSEFREQUENTIEUITHERHALINGSTIJD(R$2,Q5,Q6,Q7)</f>
        <v>34.765770516253312</v>
      </c>
      <c r="S6" s="8">
        <f>1-GEVCUM(KVD!$D$22,KVD!$E$22,KVD!$F$22,$A6)</f>
        <v>0.99998830542878392</v>
      </c>
      <c r="T6" s="3">
        <f t="shared" ref="T6:T33" si="13">-LN(1-S6)</f>
        <v>11.356385822466795</v>
      </c>
      <c r="U6" s="9">
        <f t="shared" ref="U6:U33" si="14">1/T6</f>
        <v>8.8056184038909621E-2</v>
      </c>
      <c r="V6" s="32">
        <f>KLASSEFREQUENTIEUITHERHALINGSTIJD(V$2,U5,U6,U7)</f>
        <v>29.226947510866534</v>
      </c>
    </row>
    <row r="7" spans="1:22" x14ac:dyDescent="0.25">
      <c r="A7" s="23">
        <f t="shared" si="4"/>
        <v>32.5</v>
      </c>
      <c r="B7" s="13">
        <f t="shared" si="5"/>
        <v>30</v>
      </c>
      <c r="C7" s="8">
        <f>1-GEVCUM(KVD!$D$18,KVD!$E$18,KVD!$F$18,$A7)</f>
        <v>0.29583191729260327</v>
      </c>
      <c r="D7" s="3">
        <f t="shared" si="0"/>
        <v>0.35073819747552432</v>
      </c>
      <c r="E7" s="3">
        <f t="shared" si="1"/>
        <v>2.8511294384176202</v>
      </c>
      <c r="F7" s="32">
        <f t="shared" si="6"/>
        <v>0.42141531371550794</v>
      </c>
      <c r="G7" s="8">
        <f>1-GEVCUM(KVD!$D$19,KVD!$E$19,KVD!$F$19,$A7)</f>
        <v>0.73833905519469001</v>
      </c>
      <c r="H7" s="3">
        <f t="shared" si="2"/>
        <v>1.3407057170930008</v>
      </c>
      <c r="I7" s="3">
        <f t="shared" si="3"/>
        <v>0.74587583781492373</v>
      </c>
      <c r="J7" s="13">
        <f t="shared" si="7"/>
        <v>1.1942028676452865</v>
      </c>
      <c r="K7" s="8">
        <f>1-GEVCUM(KVD!$D$20,KVD!$E$20,KVD!$F$20,$A7)</f>
        <v>0.98207232891755081</v>
      </c>
      <c r="L7" s="3">
        <f t="shared" si="8"/>
        <v>4.0214098892354135</v>
      </c>
      <c r="M7" s="3">
        <f t="shared" si="9"/>
        <v>0.24866900603114819</v>
      </c>
      <c r="N7" s="13">
        <f t="shared" si="10"/>
        <v>2.3857381526094494</v>
      </c>
      <c r="O7" s="8">
        <f>1-GEVCUM(KVD!$D$21,KVD!$E$21,KVD!$F$21,$A7)</f>
        <v>0.9997111511409742</v>
      </c>
      <c r="P7" s="3">
        <f t="shared" si="11"/>
        <v>8.1496069858026061</v>
      </c>
      <c r="Q7" s="3">
        <f t="shared" si="12"/>
        <v>0.12270530367195566</v>
      </c>
      <c r="R7" s="13">
        <f t="shared" ref="R7:R32" si="15">KLASSEFREQUENTIEUITHERHALINGSTIJD(R$2,Q6,Q7,Q8)</f>
        <v>2.7408724979440802</v>
      </c>
      <c r="S7" s="8">
        <f>1-GEVCUM(KVD!$D$22,KVD!$E$22,KVD!$F$22,$A7)</f>
        <v>0.99983961901453633</v>
      </c>
      <c r="T7" s="3">
        <f t="shared" si="13"/>
        <v>8.7379584140496451</v>
      </c>
      <c r="U7" s="9">
        <f t="shared" si="14"/>
        <v>0.1144432088841386</v>
      </c>
      <c r="V7" s="32">
        <f t="shared" ref="V7:V33" si="16">KLASSEFREQUENTIEUITHERHALINGSTIJD(V$2,U6,U7,U8)</f>
        <v>2.6184274084171495</v>
      </c>
    </row>
    <row r="8" spans="1:22" x14ac:dyDescent="0.25">
      <c r="A8" s="23">
        <f t="shared" si="4"/>
        <v>37.5</v>
      </c>
      <c r="B8" s="13">
        <f t="shared" si="5"/>
        <v>35</v>
      </c>
      <c r="C8" s="8">
        <f>1-GEVCUM(KVD!$D$18,KVD!$E$18,KVD!$F$18,$A8)</f>
        <v>0.15322168861585372</v>
      </c>
      <c r="D8" s="3">
        <f t="shared" si="0"/>
        <v>0.16631635249139351</v>
      </c>
      <c r="E8" s="3">
        <f t="shared" si="1"/>
        <v>6.0126378736675798</v>
      </c>
      <c r="F8" s="32">
        <f t="shared" si="6"/>
        <v>0.18442184498413081</v>
      </c>
      <c r="G8" s="8">
        <f>1-GEVCUM(KVD!$D$19,KVD!$E$19,KVD!$F$19,$A8)</f>
        <v>0.51559055502168061</v>
      </c>
      <c r="H8" s="3">
        <f t="shared" si="2"/>
        <v>0.72482476918957461</v>
      </c>
      <c r="I8" s="3">
        <f t="shared" si="3"/>
        <v>1.3796438015192256</v>
      </c>
      <c r="J8" s="13">
        <f t="shared" si="7"/>
        <v>0.61588094790342618</v>
      </c>
      <c r="K8" s="8">
        <f>1-GEVCUM(KVD!$D$20,KVD!$E$20,KVD!$F$20,$A8)</f>
        <v>0.9208149763538277</v>
      </c>
      <c r="L8" s="3">
        <f t="shared" si="8"/>
        <v>2.5359680934191542</v>
      </c>
      <c r="M8" s="3">
        <f t="shared" si="9"/>
        <v>0.39432672776720001</v>
      </c>
      <c r="N8" s="13">
        <f t="shared" si="10"/>
        <v>1.4854417958162593</v>
      </c>
      <c r="O8" s="8">
        <f>1-GEVCUM(KVD!$D$21,KVD!$E$21,KVD!$F$21,$A8)</f>
        <v>0.99769965080829992</v>
      </c>
      <c r="P8" s="3">
        <f t="shared" si="11"/>
        <v>6.0746943450926034</v>
      </c>
      <c r="Q8" s="3">
        <f t="shared" si="12"/>
        <v>0.16461733598297706</v>
      </c>
      <c r="R8" s="13">
        <f t="shared" si="15"/>
        <v>2.0749126407100018</v>
      </c>
      <c r="S8" s="8">
        <f>1-GEVCUM(KVD!$D$22,KVD!$E$22,KVD!$F$22,$A8)</f>
        <v>0.99876135348349138</v>
      </c>
      <c r="T8" s="3">
        <f t="shared" si="13"/>
        <v>6.6937360144504918</v>
      </c>
      <c r="U8" s="9">
        <f t="shared" si="14"/>
        <v>0.14939340270384011</v>
      </c>
      <c r="V8" s="32">
        <f t="shared" si="16"/>
        <v>2.0442223995991533</v>
      </c>
    </row>
    <row r="9" spans="1:22" x14ac:dyDescent="0.25">
      <c r="A9" s="23">
        <f t="shared" si="4"/>
        <v>42.5</v>
      </c>
      <c r="B9" s="13">
        <f t="shared" si="5"/>
        <v>40</v>
      </c>
      <c r="C9" s="8">
        <f>1-GEVCUM(KVD!$D$18,KVD!$E$18,KVD!$F$18,$A9)</f>
        <v>7.8695952167152083E-2</v>
      </c>
      <c r="D9" s="3">
        <f t="shared" si="0"/>
        <v>8.1965169266951493E-2</v>
      </c>
      <c r="E9" s="3">
        <f t="shared" si="1"/>
        <v>12.200304213892496</v>
      </c>
      <c r="F9" s="32">
        <f t="shared" si="6"/>
        <v>8.4351183224442017E-2</v>
      </c>
      <c r="G9" s="8">
        <f>1-GEVCUM(KVD!$D$19,KVD!$E$19,KVD!$F$19,$A9)</f>
        <v>0.32965920790594827</v>
      </c>
      <c r="H9" s="3">
        <f t="shared" si="2"/>
        <v>0.39996905099660696</v>
      </c>
      <c r="I9" s="3">
        <f t="shared" si="3"/>
        <v>2.5001934462386273</v>
      </c>
      <c r="J9" s="13">
        <f t="shared" si="7"/>
        <v>0.32485571819296766</v>
      </c>
      <c r="K9" s="8">
        <f>1-GEVCUM(KVD!$D$20,KVD!$E$20,KVD!$F$20,$A9)</f>
        <v>0.79944060318760735</v>
      </c>
      <c r="L9" s="3">
        <f t="shared" si="8"/>
        <v>1.6066448326536109</v>
      </c>
      <c r="M9" s="3">
        <f t="shared" si="9"/>
        <v>0.62241509739794354</v>
      </c>
      <c r="N9" s="13">
        <f t="shared" si="10"/>
        <v>0.92932326076554328</v>
      </c>
      <c r="O9" s="8">
        <f>1-GEVCUM(KVD!$D$21,KVD!$E$21,KVD!$F$21,$A9)</f>
        <v>0.98900006820690811</v>
      </c>
      <c r="P9" s="3">
        <f t="shared" si="11"/>
        <v>4.5098662068310009</v>
      </c>
      <c r="Q9" s="3">
        <f t="shared" si="12"/>
        <v>0.22173606802022658</v>
      </c>
      <c r="R9" s="13">
        <f t="shared" si="15"/>
        <v>1.5648281382616034</v>
      </c>
      <c r="S9" s="8">
        <f>1-GEVCUM(KVD!$D$22,KVD!$E$22,KVD!$F$22,$A9)</f>
        <v>0.99393044705940814</v>
      </c>
      <c r="T9" s="3">
        <f t="shared" si="13"/>
        <v>5.1044703272669167</v>
      </c>
      <c r="U9" s="9">
        <f t="shared" si="14"/>
        <v>0.19590671232982351</v>
      </c>
      <c r="V9" s="32">
        <f t="shared" si="16"/>
        <v>1.5892656871835751</v>
      </c>
    </row>
    <row r="10" spans="1:22" x14ac:dyDescent="0.25">
      <c r="A10" s="23">
        <f t="shared" si="4"/>
        <v>47.5</v>
      </c>
      <c r="B10" s="13">
        <f t="shared" si="5"/>
        <v>45</v>
      </c>
      <c r="C10" s="8">
        <f>1-GEVCUM(KVD!$D$18,KVD!$E$18,KVD!$F$18,$A10)</f>
        <v>4.0961006519387388E-2</v>
      </c>
      <c r="D10" s="3">
        <f t="shared" si="0"/>
        <v>4.1823544361591795E-2</v>
      </c>
      <c r="E10" s="3">
        <f t="shared" si="1"/>
        <v>23.909977388677255</v>
      </c>
      <c r="F10" s="32">
        <f t="shared" si="6"/>
        <v>4.0141624905359698E-2</v>
      </c>
      <c r="G10" s="8">
        <f>1-GEVCUM(KVD!$D$19,KVD!$E$19,KVD!$F$19,$A10)</f>
        <v>0.20146631600412923</v>
      </c>
      <c r="H10" s="3">
        <f t="shared" si="2"/>
        <v>0.22497812812678641</v>
      </c>
      <c r="I10" s="3">
        <f t="shared" si="3"/>
        <v>4.4448765234478707</v>
      </c>
      <c r="J10" s="13">
        <f t="shared" si="7"/>
        <v>0.17499092286982054</v>
      </c>
      <c r="K10" s="8">
        <f>1-GEVCUM(KVD!$D$20,KVD!$E$20,KVD!$F$20,$A10)</f>
        <v>0.6403082459656545</v>
      </c>
      <c r="L10" s="3">
        <f t="shared" si="8"/>
        <v>1.0225078531072853</v>
      </c>
      <c r="M10" s="3">
        <f t="shared" si="9"/>
        <v>0.9779875987857829</v>
      </c>
      <c r="N10" s="13">
        <f t="shared" si="10"/>
        <v>0.5841369795463256</v>
      </c>
      <c r="O10" s="8">
        <f>1-GEVCUM(KVD!$D$21,KVD!$E$21,KVD!$F$21,$A10)</f>
        <v>0.96436077341098625</v>
      </c>
      <c r="P10" s="3">
        <f t="shared" si="11"/>
        <v>3.3343083772599473</v>
      </c>
      <c r="Q10" s="3">
        <f t="shared" si="12"/>
        <v>0.29991227170828616</v>
      </c>
      <c r="R10" s="13">
        <f t="shared" si="15"/>
        <v>1.1755578295710536</v>
      </c>
      <c r="S10" s="8">
        <f>1-GEVCUM(KVD!$D$22,KVD!$E$22,KVD!$F$22,$A10)</f>
        <v>0.97923008320129512</v>
      </c>
      <c r="T10" s="3">
        <f t="shared" si="13"/>
        <v>3.8742496469420589</v>
      </c>
      <c r="U10" s="9">
        <f t="shared" si="14"/>
        <v>0.25811449729092678</v>
      </c>
      <c r="V10" s="32">
        <f t="shared" si="16"/>
        <v>1.2302206803248583</v>
      </c>
    </row>
    <row r="11" spans="1:22" x14ac:dyDescent="0.25">
      <c r="A11" s="23">
        <f t="shared" si="4"/>
        <v>52.5</v>
      </c>
      <c r="B11" s="13">
        <f t="shared" si="5"/>
        <v>50</v>
      </c>
      <c r="C11" s="8">
        <f>1-GEVCUM(KVD!$D$18,KVD!$E$18,KVD!$F$18,$A11)</f>
        <v>2.1783196726977372E-2</v>
      </c>
      <c r="D11" s="3">
        <f t="shared" si="0"/>
        <v>2.2023953276488612E-2</v>
      </c>
      <c r="E11" s="3">
        <f t="shared" si="1"/>
        <v>45.405109039508233</v>
      </c>
      <c r="F11" s="32">
        <f t="shared" si="6"/>
        <v>1.9799591085103183E-2</v>
      </c>
      <c r="G11" s="8">
        <f>1-GEVCUM(KVD!$D$19,KVD!$E$19,KVD!$F$19,$A11)</f>
        <v>0.12088655931174619</v>
      </c>
      <c r="H11" s="3">
        <f t="shared" si="2"/>
        <v>0.12884133309587603</v>
      </c>
      <c r="I11" s="3">
        <f t="shared" si="3"/>
        <v>7.761484424069562</v>
      </c>
      <c r="J11" s="13">
        <f t="shared" si="7"/>
        <v>9.6136795030910382E-2</v>
      </c>
      <c r="K11" s="8">
        <f>1-GEVCUM(KVD!$D$20,KVD!$E$20,KVD!$F$20,$A11)</f>
        <v>0.47985624312505626</v>
      </c>
      <c r="L11" s="3">
        <f t="shared" si="8"/>
        <v>0.65365005008471422</v>
      </c>
      <c r="M11" s="3">
        <f t="shared" si="9"/>
        <v>1.5298706087001726</v>
      </c>
      <c r="N11" s="13">
        <f t="shared" si="10"/>
        <v>0.3688578030225711</v>
      </c>
      <c r="O11" s="8">
        <f>1-GEVCUM(KVD!$D$21,KVD!$E$21,KVD!$F$21,$A11)</f>
        <v>0.91411186136482492</v>
      </c>
      <c r="P11" s="3">
        <f t="shared" si="11"/>
        <v>2.4547095429352237</v>
      </c>
      <c r="Q11" s="3">
        <f t="shared" si="12"/>
        <v>0.40738017370651847</v>
      </c>
      <c r="R11" s="13">
        <f t="shared" si="15"/>
        <v>0.87959883432472363</v>
      </c>
      <c r="S11" s="8">
        <f>1-GEVCUM(KVD!$D$22,KVD!$E$22,KVD!$F$22,$A11)</f>
        <v>0.94640075331857698</v>
      </c>
      <c r="T11" s="3">
        <f t="shared" si="13"/>
        <v>2.9262202654552087</v>
      </c>
      <c r="U11" s="9">
        <f t="shared" si="14"/>
        <v>0.34173777408531408</v>
      </c>
      <c r="V11" s="32">
        <f t="shared" si="16"/>
        <v>0.94802938148684968</v>
      </c>
    </row>
    <row r="12" spans="1:22" x14ac:dyDescent="0.25">
      <c r="A12" s="23">
        <f t="shared" si="4"/>
        <v>57.5</v>
      </c>
      <c r="B12" s="13">
        <f t="shared" si="5"/>
        <v>55</v>
      </c>
      <c r="C12" s="8">
        <f>1-GEVCUM(KVD!$D$18,KVD!$E$18,KVD!$F$18,$A12)</f>
        <v>1.1864221303929612E-2</v>
      </c>
      <c r="D12" s="3">
        <f t="shared" si="0"/>
        <v>1.193516284657763E-2</v>
      </c>
      <c r="E12" s="3">
        <f t="shared" si="1"/>
        <v>83.786037346507328</v>
      </c>
      <c r="F12" s="32">
        <f t="shared" si="6"/>
        <v>1.0088790429910982E-2</v>
      </c>
      <c r="G12" s="8">
        <f>1-GEVCUM(KVD!$D$19,KVD!$E$19,KVD!$F$19,$A12)</f>
        <v>7.2294574290185376E-2</v>
      </c>
      <c r="H12" s="3">
        <f t="shared" si="2"/>
        <v>7.5041025779256615E-2</v>
      </c>
      <c r="I12" s="3">
        <f t="shared" si="3"/>
        <v>13.326043848889221</v>
      </c>
      <c r="J12" s="13">
        <f t="shared" si="7"/>
        <v>5.3800307316619417E-2</v>
      </c>
      <c r="K12" s="8">
        <f>1-GEVCUM(KVD!$D$20,KVD!$E$20,KVD!$F$20,$A12)</f>
        <v>0.34274281829496556</v>
      </c>
      <c r="L12" s="3">
        <f t="shared" si="8"/>
        <v>0.41967988853183025</v>
      </c>
      <c r="M12" s="3">
        <f t="shared" si="9"/>
        <v>2.3827684559732147</v>
      </c>
      <c r="N12" s="13">
        <f t="shared" si="10"/>
        <v>0.23397016155288397</v>
      </c>
      <c r="O12" s="8">
        <f>1-GEVCUM(KVD!$D$21,KVD!$E$21,KVD!$F$21,$A12)</f>
        <v>0.83457872315852155</v>
      </c>
      <c r="P12" s="3">
        <f t="shared" si="11"/>
        <v>1.799259865962781</v>
      </c>
      <c r="Q12" s="3">
        <f t="shared" si="12"/>
        <v>0.55578408595520001</v>
      </c>
      <c r="R12" s="13">
        <f t="shared" si="15"/>
        <v>0.6554496769724425</v>
      </c>
      <c r="S12" s="8">
        <f>1-GEVCUM(KVD!$D$22,KVD!$E$22,KVD!$F$22,$A12)</f>
        <v>0.88909017289955827</v>
      </c>
      <c r="T12" s="3">
        <f t="shared" si="13"/>
        <v>2.1990377762843671</v>
      </c>
      <c r="U12" s="9">
        <f t="shared" si="14"/>
        <v>0.45474434808921882</v>
      </c>
      <c r="V12" s="32">
        <f t="shared" si="16"/>
        <v>0.72718248917084161</v>
      </c>
    </row>
    <row r="13" spans="1:22" x14ac:dyDescent="0.25">
      <c r="A13" s="23">
        <f t="shared" si="4"/>
        <v>62.5</v>
      </c>
      <c r="B13" s="13">
        <f t="shared" si="5"/>
        <v>60</v>
      </c>
      <c r="C13" s="8">
        <f>1-GEVCUM(KVD!$D$18,KVD!$E$18,KVD!$F$18,$A13)</f>
        <v>6.6177755441131358E-3</v>
      </c>
      <c r="D13" s="3">
        <f t="shared" si="0"/>
        <v>6.6397701111313781E-3</v>
      </c>
      <c r="E13" s="3">
        <f t="shared" si="1"/>
        <v>150.60762394823422</v>
      </c>
      <c r="F13" s="32">
        <f t="shared" si="6"/>
        <v>5.2953927354462511E-3</v>
      </c>
      <c r="G13" s="8">
        <f>1-GEVCUM(KVD!$D$19,KVD!$E$19,KVD!$F$19,$A13)</f>
        <v>4.3434348916638554E-2</v>
      </c>
      <c r="H13" s="3">
        <f t="shared" si="2"/>
        <v>4.4405855673784592E-2</v>
      </c>
      <c r="I13" s="3">
        <f t="shared" si="3"/>
        <v>22.519552541588773</v>
      </c>
      <c r="J13" s="13">
        <f t="shared" si="7"/>
        <v>3.0635170105472023E-2</v>
      </c>
      <c r="K13" s="8">
        <f>1-GEVCUM(KVD!$D$20,KVD!$E$20,KVD!$F$20,$A13)</f>
        <v>0.23708831432101451</v>
      </c>
      <c r="L13" s="3">
        <f t="shared" si="8"/>
        <v>0.27061300055800869</v>
      </c>
      <c r="M13" s="3">
        <f t="shared" si="9"/>
        <v>3.6953139647318594</v>
      </c>
      <c r="N13" s="13">
        <f t="shared" si="10"/>
        <v>0.14906688797382156</v>
      </c>
      <c r="O13" s="8">
        <f>1-GEVCUM(KVD!$D$21,KVD!$E$21,KVD!$F$21,$A13)</f>
        <v>0.73096157821660679</v>
      </c>
      <c r="P13" s="3">
        <f t="shared" si="11"/>
        <v>1.3129010776712788</v>
      </c>
      <c r="Q13" s="3">
        <f t="shared" si="12"/>
        <v>0.76167200789698619</v>
      </c>
      <c r="R13" s="13">
        <f t="shared" si="15"/>
        <v>0.48635878829150236</v>
      </c>
      <c r="S13" s="8">
        <f>1-GEVCUM(KVD!$D$22,KVD!$E$22,KVD!$F$22,$A13)</f>
        <v>0.80678145421179848</v>
      </c>
      <c r="T13" s="3">
        <f t="shared" si="13"/>
        <v>1.6439333691181686</v>
      </c>
      <c r="U13" s="9">
        <f t="shared" si="14"/>
        <v>0.6082971602045012</v>
      </c>
      <c r="V13" s="32">
        <f t="shared" si="16"/>
        <v>0.55510440716619858</v>
      </c>
    </row>
    <row r="14" spans="1:22" x14ac:dyDescent="0.25">
      <c r="A14" s="23">
        <f t="shared" si="4"/>
        <v>67.5</v>
      </c>
      <c r="B14" s="13">
        <f t="shared" si="5"/>
        <v>65</v>
      </c>
      <c r="C14" s="8">
        <f>1-GEVCUM(KVD!$D$18,KVD!$E$18,KVD!$F$18,$A14)</f>
        <v>3.7766994261382303E-3</v>
      </c>
      <c r="D14" s="3">
        <f t="shared" si="0"/>
        <v>3.7838491626968926E-3</v>
      </c>
      <c r="E14" s="3">
        <f t="shared" si="1"/>
        <v>264.28114784767536</v>
      </c>
      <c r="F14" s="32">
        <f t="shared" si="6"/>
        <v>2.8559209484344868E-3</v>
      </c>
      <c r="G14" s="8">
        <f>1-GEVCUM(KVD!$D$19,KVD!$E$19,KVD!$F$19,$A14)</f>
        <v>2.6321252358474045E-2</v>
      </c>
      <c r="H14" s="3">
        <f t="shared" si="2"/>
        <v>2.6673857628225106E-2</v>
      </c>
      <c r="I14" s="3">
        <f t="shared" si="3"/>
        <v>37.489890436464052</v>
      </c>
      <c r="J14" s="13">
        <f t="shared" si="7"/>
        <v>1.7731998045559489E-2</v>
      </c>
      <c r="K14" s="8">
        <f>1-GEVCUM(KVD!$D$20,KVD!$E$20,KVD!$F$20,$A14)</f>
        <v>0.16073359769594053</v>
      </c>
      <c r="L14" s="3">
        <f t="shared" si="8"/>
        <v>0.17522709931052033</v>
      </c>
      <c r="M14" s="3">
        <f t="shared" si="9"/>
        <v>5.7068798372784668</v>
      </c>
      <c r="N14" s="13">
        <f t="shared" si="10"/>
        <v>9.5385901247488358E-2</v>
      </c>
      <c r="O14" s="8">
        <f>1-GEVCUM(KVD!$D$21,KVD!$E$21,KVD!$F$21,$A14)</f>
        <v>0.61464084578399358</v>
      </c>
      <c r="P14" s="3">
        <f t="shared" si="11"/>
        <v>0.95357951145185149</v>
      </c>
      <c r="Q14" s="3">
        <f t="shared" si="12"/>
        <v>1.0486802495131968</v>
      </c>
      <c r="R14" s="13">
        <f t="shared" si="15"/>
        <v>0.35932156621942735</v>
      </c>
      <c r="S14" s="8">
        <f>1-GEVCUM(KVD!$D$22,KVD!$E$22,KVD!$F$22,$A14)</f>
        <v>0.70544712064464909</v>
      </c>
      <c r="T14" s="3">
        <f t="shared" si="13"/>
        <v>1.2222967356239212</v>
      </c>
      <c r="U14" s="9">
        <f t="shared" si="14"/>
        <v>0.81813194035043391</v>
      </c>
      <c r="V14" s="32">
        <f t="shared" si="16"/>
        <v>0.4216366334942474</v>
      </c>
    </row>
    <row r="15" spans="1:22" x14ac:dyDescent="0.25">
      <c r="A15" s="23">
        <f t="shared" si="4"/>
        <v>72.5</v>
      </c>
      <c r="B15" s="13">
        <f t="shared" si="5"/>
        <v>70</v>
      </c>
      <c r="C15" s="8">
        <f>1-GEVCUM(KVD!$D$18,KVD!$E$18,KVD!$F$18,$A15)</f>
        <v>2.2022528834306776E-3</v>
      </c>
      <c r="D15" s="3">
        <f t="shared" si="0"/>
        <v>2.2046814084512307E-3</v>
      </c>
      <c r="E15" s="3">
        <f t="shared" si="1"/>
        <v>453.58027521195964</v>
      </c>
      <c r="F15" s="32">
        <f t="shared" si="6"/>
        <v>1.5791677542456614E-3</v>
      </c>
      <c r="G15" s="8">
        <f>1-GEVCUM(KVD!$D$19,KVD!$E$19,KVD!$F$19,$A15)</f>
        <v>1.6119458656095986E-2</v>
      </c>
      <c r="H15" s="3">
        <f t="shared" si="2"/>
        <v>1.6250790372858669E-2</v>
      </c>
      <c r="I15" s="3">
        <f t="shared" si="3"/>
        <v>61.535468556049715</v>
      </c>
      <c r="J15" s="13">
        <f t="shared" si="7"/>
        <v>1.0423067255366434E-2</v>
      </c>
      <c r="K15" s="8">
        <f>1-GEVCUM(KVD!$D$20,KVD!$E$20,KVD!$F$20,$A15)</f>
        <v>0.10768037770354377</v>
      </c>
      <c r="L15" s="3">
        <f t="shared" si="8"/>
        <v>0.1139308896235989</v>
      </c>
      <c r="M15" s="3">
        <f t="shared" si="9"/>
        <v>8.7772508693978146</v>
      </c>
      <c r="N15" s="13">
        <f t="shared" si="10"/>
        <v>6.1296209686921413E-2</v>
      </c>
      <c r="O15" s="8">
        <f>1-GEVCUM(KVD!$D$21,KVD!$E$21,KVD!$F$21,$A15)</f>
        <v>0.49807288063573096</v>
      </c>
      <c r="P15" s="3">
        <f t="shared" si="11"/>
        <v>0.68930035037938875</v>
      </c>
      <c r="Q15" s="3">
        <f t="shared" si="12"/>
        <v>1.4507463973427595</v>
      </c>
      <c r="R15" s="13">
        <f t="shared" si="15"/>
        <v>0.26427916107246274</v>
      </c>
      <c r="S15" s="8">
        <f>1-GEVCUM(KVD!$D$22,KVD!$E$22,KVD!$F$22,$A15)</f>
        <v>0.59492846129907506</v>
      </c>
      <c r="T15" s="3">
        <f t="shared" si="13"/>
        <v>0.90369158870667232</v>
      </c>
      <c r="U15" s="9">
        <f t="shared" si="14"/>
        <v>1.1065722116891235</v>
      </c>
      <c r="V15" s="32">
        <f t="shared" si="16"/>
        <v>0.31860514691724895</v>
      </c>
    </row>
    <row r="16" spans="1:22" x14ac:dyDescent="0.25">
      <c r="A16" s="23">
        <f t="shared" si="4"/>
        <v>77.5</v>
      </c>
      <c r="B16" s="13">
        <f t="shared" si="5"/>
        <v>75</v>
      </c>
      <c r="C16" s="8">
        <f>1-GEVCUM(KVD!$D$18,KVD!$E$18,KVD!$F$18,$A16)</f>
        <v>1.3103083569272478E-3</v>
      </c>
      <c r="D16" s="3">
        <f t="shared" si="0"/>
        <v>1.3111675615530437E-3</v>
      </c>
      <c r="E16" s="3">
        <f t="shared" si="1"/>
        <v>762.67902693956682</v>
      </c>
      <c r="F16" s="32">
        <f t="shared" si="6"/>
        <v>8.9351384689818707E-4</v>
      </c>
      <c r="G16" s="8">
        <f>1-GEVCUM(KVD!$D$19,KVD!$E$19,KVD!$F$19,$A16)</f>
        <v>9.9838352344669978E-3</v>
      </c>
      <c r="H16" s="3">
        <f t="shared" si="2"/>
        <v>1.0034007940809601E-2</v>
      </c>
      <c r="I16" s="3">
        <f t="shared" si="3"/>
        <v>99.661073212118097</v>
      </c>
      <c r="J16" s="13">
        <f t="shared" si="7"/>
        <v>6.2167824320490672E-3</v>
      </c>
      <c r="K16" s="8">
        <f>1-GEVCUM(KVD!$D$20,KVD!$E$20,KVD!$F$20,$A16)</f>
        <v>7.1677889498093839E-2</v>
      </c>
      <c r="L16" s="3">
        <f t="shared" si="8"/>
        <v>7.4376504587891495E-2</v>
      </c>
      <c r="M16" s="3">
        <f t="shared" si="9"/>
        <v>13.445106160081636</v>
      </c>
      <c r="N16" s="13">
        <f t="shared" si="10"/>
        <v>3.9554385035707421E-2</v>
      </c>
      <c r="O16" s="8">
        <f>1-GEVCUM(KVD!$D$21,KVD!$E$21,KVD!$F$21,$A16)</f>
        <v>0.39092865362637208</v>
      </c>
      <c r="P16" s="3">
        <f t="shared" si="11"/>
        <v>0.49581986481128448</v>
      </c>
      <c r="Q16" s="3">
        <f t="shared" si="12"/>
        <v>2.0168615075166727</v>
      </c>
      <c r="R16" s="13">
        <f t="shared" si="15"/>
        <v>0.19348048556810432</v>
      </c>
      <c r="S16" s="8">
        <f>1-GEVCUM(KVD!$D$22,KVD!$E$22,KVD!$F$22,$A16)</f>
        <v>0.48533150378913115</v>
      </c>
      <c r="T16" s="3">
        <f t="shared" si="13"/>
        <v>0.66423228225797926</v>
      </c>
      <c r="U16" s="9">
        <f t="shared" si="14"/>
        <v>1.5054974392401075</v>
      </c>
      <c r="V16" s="32">
        <f t="shared" si="16"/>
        <v>0.23945930644869295</v>
      </c>
    </row>
    <row r="17" spans="1:22" x14ac:dyDescent="0.25">
      <c r="A17" s="23">
        <f t="shared" si="4"/>
        <v>82.5</v>
      </c>
      <c r="B17" s="13">
        <f t="shared" si="5"/>
        <v>80</v>
      </c>
      <c r="C17" s="8">
        <f>1-GEVCUM(KVD!$D$18,KVD!$E$18,KVD!$F$18,$A17)</f>
        <v>7.9441525422740966E-4</v>
      </c>
      <c r="D17" s="3">
        <f t="shared" si="0"/>
        <v>7.9473096924244087E-4</v>
      </c>
      <c r="E17" s="3">
        <f t="shared" si="1"/>
        <v>1258.287444055725</v>
      </c>
      <c r="F17" s="32">
        <f t="shared" si="6"/>
        <v>5.164365923106028E-4</v>
      </c>
      <c r="G17" s="8">
        <f>1-GEVCUM(KVD!$D$19,KVD!$E$19,KVD!$F$19,$A17)</f>
        <v>6.2548701348359437E-3</v>
      </c>
      <c r="H17" s="3">
        <f t="shared" si="2"/>
        <v>6.2745137902189682E-3</v>
      </c>
      <c r="I17" s="3">
        <f t="shared" si="3"/>
        <v>159.37489874655324</v>
      </c>
      <c r="J17" s="13">
        <f t="shared" si="7"/>
        <v>3.7594941505906332E-3</v>
      </c>
      <c r="K17" s="8">
        <f>1-GEVCUM(KVD!$D$20,KVD!$E$20,KVD!$F$20,$A17)</f>
        <v>4.7578322652850669E-2</v>
      </c>
      <c r="L17" s="3">
        <f t="shared" si="8"/>
        <v>4.8747403869159878E-2</v>
      </c>
      <c r="M17" s="3">
        <f t="shared" si="9"/>
        <v>20.513912960042813</v>
      </c>
      <c r="N17" s="13">
        <f t="shared" si="10"/>
        <v>2.5629100718731618E-2</v>
      </c>
      <c r="O17" s="8">
        <f>1-GEVCUM(KVD!$D$21,KVD!$E$21,KVD!$F$21,$A17)</f>
        <v>0.29871714656302906</v>
      </c>
      <c r="P17" s="3">
        <f t="shared" si="11"/>
        <v>0.35484397342165713</v>
      </c>
      <c r="Q17" s="3">
        <f t="shared" si="12"/>
        <v>2.8181400133621861</v>
      </c>
      <c r="R17" s="13">
        <f t="shared" si="15"/>
        <v>0.14097589138962729</v>
      </c>
      <c r="S17" s="8">
        <f>1-GEVCUM(KVD!$D$22,KVD!$E$22,KVD!$F$22,$A17)</f>
        <v>0.3844633732215571</v>
      </c>
      <c r="T17" s="3">
        <f t="shared" si="13"/>
        <v>0.48526082777078122</v>
      </c>
      <c r="U17" s="9">
        <f t="shared" si="14"/>
        <v>2.0607474223581095</v>
      </c>
      <c r="V17" s="32">
        <f t="shared" si="16"/>
        <v>0.17897145448719798</v>
      </c>
    </row>
    <row r="18" spans="1:22" x14ac:dyDescent="0.25">
      <c r="A18" s="23">
        <f t="shared" si="4"/>
        <v>87.5</v>
      </c>
      <c r="B18" s="13">
        <f t="shared" si="5"/>
        <v>85</v>
      </c>
      <c r="C18" s="8">
        <f>1-GEVCUM(KVD!$D$18,KVD!$E$18,KVD!$F$18,$A18)</f>
        <v>4.9016614712560358E-4</v>
      </c>
      <c r="D18" s="3">
        <f t="shared" ref="D18:D20" si="17">-LN(1-C18)</f>
        <v>4.9028631782217357E-4</v>
      </c>
      <c r="E18" s="3">
        <f t="shared" ref="E18:E20" si="18">1/D18</f>
        <v>2039.6245288711059</v>
      </c>
      <c r="F18" s="32">
        <f t="shared" si="6"/>
        <v>3.044446514202673E-4</v>
      </c>
      <c r="G18" s="8">
        <f>1-GEVCUM(KVD!$D$19,KVD!$E$19,KVD!$F$19,$A18)</f>
        <v>3.9632115952812352E-3</v>
      </c>
      <c r="H18" s="3">
        <f t="shared" si="2"/>
        <v>3.9710859303455559E-3</v>
      </c>
      <c r="I18" s="3">
        <f t="shared" si="3"/>
        <v>251.82028733208048</v>
      </c>
      <c r="J18" s="13">
        <f t="shared" si="7"/>
        <v>2.3034278598734123E-3</v>
      </c>
      <c r="K18" s="8">
        <f>1-GEVCUM(KVD!$D$20,KVD!$E$20,KVD!$F$20,$A18)</f>
        <v>3.1565359304810747E-2</v>
      </c>
      <c r="L18" s="3">
        <f t="shared" si="8"/>
        <v>3.2074283497295152E-2</v>
      </c>
      <c r="M18" s="3">
        <f t="shared" si="9"/>
        <v>31.177625529322604</v>
      </c>
      <c r="N18" s="13">
        <f t="shared" si="10"/>
        <v>1.6673120371864726E-2</v>
      </c>
      <c r="O18" s="8">
        <f>1-GEVCUM(KVD!$D$21,KVD!$E$21,KVD!$F$21,$A18)</f>
        <v>0.22324263916141807</v>
      </c>
      <c r="P18" s="3">
        <f t="shared" si="11"/>
        <v>0.25262725429609989</v>
      </c>
      <c r="Q18" s="3">
        <f t="shared" si="12"/>
        <v>3.958401094871252</v>
      </c>
      <c r="R18" s="13">
        <f t="shared" si="15"/>
        <v>0.10221671912555724</v>
      </c>
      <c r="S18" s="8">
        <f>1-GEVCUM(KVD!$D$22,KVD!$E$22,KVD!$F$22,$A18)</f>
        <v>0.29691180377272763</v>
      </c>
      <c r="T18" s="3">
        <f t="shared" si="13"/>
        <v>0.35227293810273708</v>
      </c>
      <c r="U18" s="9">
        <f t="shared" si="14"/>
        <v>2.8387079784946736</v>
      </c>
      <c r="V18" s="32">
        <f t="shared" si="16"/>
        <v>0.1329878896680442</v>
      </c>
    </row>
    <row r="19" spans="1:22" x14ac:dyDescent="0.25">
      <c r="A19" s="23">
        <f t="shared" si="4"/>
        <v>92.5</v>
      </c>
      <c r="B19" s="13">
        <f t="shared" si="5"/>
        <v>90</v>
      </c>
      <c r="C19" s="8">
        <f>1-GEVCUM(KVD!$D$18,KVD!$E$18,KVD!$F$18,$A19)</f>
        <v>3.0743826751811199E-4</v>
      </c>
      <c r="D19" s="3">
        <f t="shared" si="17"/>
        <v>3.0748553635069284E-4</v>
      </c>
      <c r="E19" s="3">
        <f t="shared" si="18"/>
        <v>3252.1854909607255</v>
      </c>
      <c r="F19" s="32">
        <f t="shared" si="6"/>
        <v>1.8280078147148073E-4</v>
      </c>
      <c r="G19" s="8">
        <f>1-GEVCUM(KVD!$D$19,KVD!$E$19,KVD!$F$19,$A19)</f>
        <v>2.53892097530517E-3</v>
      </c>
      <c r="H19" s="3">
        <f t="shared" si="2"/>
        <v>2.5421495009700394E-3</v>
      </c>
      <c r="I19" s="3">
        <f t="shared" si="3"/>
        <v>393.36789579779537</v>
      </c>
      <c r="J19" s="13">
        <f t="shared" si="7"/>
        <v>1.4289364293755165E-3</v>
      </c>
      <c r="K19" s="8">
        <f>1-GEVCUM(KVD!$D$20,KVD!$E$20,KVD!$F$20,$A19)</f>
        <v>2.0961833832846777E-2</v>
      </c>
      <c r="L19" s="3">
        <f t="shared" si="8"/>
        <v>2.1184652362534303E-2</v>
      </c>
      <c r="M19" s="3">
        <f t="shared" si="9"/>
        <v>47.203984416970194</v>
      </c>
      <c r="N19" s="13">
        <f t="shared" si="10"/>
        <v>1.0889631134760849E-2</v>
      </c>
      <c r="O19" s="8">
        <f>1-GEVCUM(KVD!$D$21,KVD!$E$21,KVD!$F$21,$A19)</f>
        <v>0.16380007587715817</v>
      </c>
      <c r="P19" s="3">
        <f t="shared" si="11"/>
        <v>0.1788875508001192</v>
      </c>
      <c r="Q19" s="3">
        <f t="shared" si="12"/>
        <v>5.5901039257748826</v>
      </c>
      <c r="R19" s="13">
        <f t="shared" si="15"/>
        <v>7.3739703495980691E-2</v>
      </c>
      <c r="S19" s="8">
        <f>1-GEVCUM(KVD!$D$22,KVD!$E$22,KVD!$F$22,$A19)</f>
        <v>0.22434680015167796</v>
      </c>
      <c r="T19" s="3">
        <f t="shared" si="13"/>
        <v>0.2540497661037549</v>
      </c>
      <c r="U19" s="9">
        <f t="shared" si="14"/>
        <v>3.9362366489705649</v>
      </c>
      <c r="V19" s="32">
        <f t="shared" si="16"/>
        <v>9.8223171998982173E-2</v>
      </c>
    </row>
    <row r="20" spans="1:22" x14ac:dyDescent="0.25">
      <c r="A20" s="23">
        <f t="shared" si="4"/>
        <v>97.5</v>
      </c>
      <c r="B20" s="13">
        <f t="shared" si="5"/>
        <v>95</v>
      </c>
      <c r="C20" s="8">
        <f>1-GEVCUM(KVD!$D$18,KVD!$E$18,KVD!$F$18,$A20)</f>
        <v>1.9580852236478208E-4</v>
      </c>
      <c r="D20" s="3">
        <f t="shared" si="17"/>
        <v>1.9582769535636169E-4</v>
      </c>
      <c r="E20" s="3">
        <f t="shared" si="18"/>
        <v>5106.5299940349514</v>
      </c>
      <c r="F20" s="32">
        <f t="shared" si="6"/>
        <v>3.0748553635069284E-4</v>
      </c>
      <c r="G20" s="8">
        <f>1-GEVCUM(KVD!$D$19,KVD!$E$19,KVD!$F$19,$A20)</f>
        <v>1.6438280873779521E-3</v>
      </c>
      <c r="H20" s="3">
        <f t="shared" si="2"/>
        <v>1.6451806552309561E-3</v>
      </c>
      <c r="I20" s="3">
        <f t="shared" si="3"/>
        <v>607.83598252291426</v>
      </c>
      <c r="J20" s="13">
        <f t="shared" si="7"/>
        <v>8.9696884573908331E-4</v>
      </c>
      <c r="K20" s="8">
        <f>1-GEVCUM(KVD!$D$20,KVD!$E$20,KVD!$F$20,$A20)</f>
        <v>1.3946602095717187E-2</v>
      </c>
      <c r="L20" s="3">
        <f t="shared" si="8"/>
        <v>1.4044769756353388E-2</v>
      </c>
      <c r="M20" s="3">
        <f t="shared" si="9"/>
        <v>71.200882417287986</v>
      </c>
      <c r="N20" s="13">
        <f t="shared" si="10"/>
        <v>7.1398826061809147E-3</v>
      </c>
      <c r="O20" s="8">
        <f>1-GEVCUM(KVD!$D$21,KVD!$E$21,KVD!$F$21,$A20)</f>
        <v>0.11835728589827299</v>
      </c>
      <c r="P20" s="3">
        <f t="shared" si="11"/>
        <v>0.12596839109732863</v>
      </c>
      <c r="Q20" s="3">
        <f t="shared" si="12"/>
        <v>7.9384994226635532</v>
      </c>
      <c r="R20" s="13">
        <f t="shared" si="15"/>
        <v>5.2919159702790569E-2</v>
      </c>
      <c r="S20" s="8">
        <f>1-GEVCUM(KVD!$D$22,KVD!$E$22,KVD!$F$22,$A20)</f>
        <v>0.16636440360589466</v>
      </c>
      <c r="T20" s="3">
        <f t="shared" si="13"/>
        <v>0.18195890688645563</v>
      </c>
      <c r="U20" s="9">
        <f t="shared" si="14"/>
        <v>5.4957463589513154</v>
      </c>
      <c r="V20" s="32">
        <f t="shared" si="16"/>
        <v>7.2090859217299269E-2</v>
      </c>
    </row>
    <row r="21" spans="1:22" x14ac:dyDescent="0.25">
      <c r="A21" s="23">
        <f t="shared" si="4"/>
        <v>102.5</v>
      </c>
      <c r="B21" s="13">
        <f t="shared" si="5"/>
        <v>100</v>
      </c>
      <c r="C21" s="8"/>
      <c r="D21" s="3"/>
      <c r="E21" s="3"/>
      <c r="F21" s="32"/>
      <c r="G21" s="8">
        <f>1-GEVCUM(KVD!$D$19,KVD!$E$19,KVD!$F$19,$A21)</f>
        <v>1.075198374096753E-3</v>
      </c>
      <c r="H21" s="3">
        <f t="shared" si="2"/>
        <v>1.0757768145312314E-3</v>
      </c>
      <c r="I21" s="3">
        <f t="shared" si="3"/>
        <v>929.56084058731915</v>
      </c>
      <c r="J21" s="13">
        <f t="shared" si="7"/>
        <v>5.6940384069972469E-4</v>
      </c>
      <c r="K21" s="8">
        <f>1-GEVCUM(KVD!$D$20,KVD!$E$20,KVD!$F$20,$A21)</f>
        <v>9.3020746873622162E-3</v>
      </c>
      <c r="L21" s="3">
        <f t="shared" si="8"/>
        <v>9.3456091684241023E-3</v>
      </c>
      <c r="M21" s="3">
        <f t="shared" si="9"/>
        <v>107.00212067274202</v>
      </c>
      <c r="N21" s="13">
        <f t="shared" si="10"/>
        <v>4.699160587929286E-3</v>
      </c>
      <c r="O21" s="8">
        <f>1-GEVCUM(KVD!$D$21,KVD!$E$21,KVD!$F$21,$A21)</f>
        <v>8.4417923125517658E-2</v>
      </c>
      <c r="P21" s="3">
        <f t="shared" si="11"/>
        <v>8.8195266374394968E-2</v>
      </c>
      <c r="Q21" s="3">
        <f t="shared" si="12"/>
        <v>11.338477007994184</v>
      </c>
      <c r="R21" s="13">
        <f t="shared" si="15"/>
        <v>3.7773124722933663E-2</v>
      </c>
      <c r="S21" s="8">
        <f>1-GEVCUM(KVD!$D$22,KVD!$E$22,KVD!$F$22,$A21)</f>
        <v>0.121372405078082</v>
      </c>
      <c r="T21" s="3">
        <f t="shared" si="13"/>
        <v>0.12939414010085085</v>
      </c>
      <c r="U21" s="9">
        <f t="shared" si="14"/>
        <v>7.7283252488914247</v>
      </c>
      <c r="V21" s="32">
        <f t="shared" si="16"/>
        <v>5.2564766785604788E-2</v>
      </c>
    </row>
    <row r="22" spans="1:22" x14ac:dyDescent="0.25">
      <c r="A22" s="23">
        <f t="shared" si="4"/>
        <v>107.5</v>
      </c>
      <c r="B22" s="13">
        <f t="shared" si="5"/>
        <v>105</v>
      </c>
      <c r="C22" s="8"/>
      <c r="D22" s="3"/>
      <c r="E22" s="3"/>
      <c r="F22" s="32"/>
      <c r="G22" s="8">
        <f>1-GEVCUM(KVD!$D$19,KVD!$E$19,KVD!$F$19,$A22)</f>
        <v>7.1017212565516186E-4</v>
      </c>
      <c r="H22" s="3">
        <f t="shared" si="2"/>
        <v>7.1042441733327392E-4</v>
      </c>
      <c r="I22" s="3">
        <f t="shared" si="3"/>
        <v>1407.6092763727186</v>
      </c>
      <c r="J22" s="13">
        <f t="shared" si="7"/>
        <v>1.0757768145312314E-3</v>
      </c>
      <c r="K22" s="8">
        <f>1-GEVCUM(KVD!$D$20,KVD!$E$20,KVD!$F$20,$A22)</f>
        <v>6.2218183986296749E-3</v>
      </c>
      <c r="L22" s="3">
        <f t="shared" si="8"/>
        <v>6.2412545715535752E-3</v>
      </c>
      <c r="M22" s="3">
        <f t="shared" si="9"/>
        <v>160.22419667959156</v>
      </c>
      <c r="N22" s="13">
        <f t="shared" si="10"/>
        <v>3.1043545968705271E-3</v>
      </c>
      <c r="O22" s="8">
        <f>1-GEVCUM(KVD!$D$21,KVD!$E$21,KVD!$F$21,$A22)</f>
        <v>5.9537000360020187E-2</v>
      </c>
      <c r="P22" s="3">
        <f t="shared" si="11"/>
        <v>6.1382972173915133E-2</v>
      </c>
      <c r="Q22" s="3">
        <f t="shared" si="12"/>
        <v>16.291162916756786</v>
      </c>
      <c r="R22" s="13">
        <f t="shared" si="15"/>
        <v>2.6812294200479828E-2</v>
      </c>
      <c r="S22" s="8">
        <f>1-GEVCUM(KVD!$D$22,KVD!$E$22,KVD!$F$22,$A22)</f>
        <v>8.7282102197980715E-2</v>
      </c>
      <c r="T22" s="3">
        <f t="shared" si="13"/>
        <v>9.1328429919986895E-2</v>
      </c>
      <c r="U22" s="9">
        <f t="shared" si="14"/>
        <v>10.949492954998821</v>
      </c>
      <c r="V22" s="32">
        <f t="shared" si="16"/>
        <v>3.8065710180863951E-2</v>
      </c>
    </row>
    <row r="23" spans="1:22" x14ac:dyDescent="0.25">
      <c r="A23" s="23">
        <f t="shared" si="4"/>
        <v>112.5</v>
      </c>
      <c r="B23" s="13">
        <f t="shared" si="5"/>
        <v>110</v>
      </c>
      <c r="C23" s="8"/>
      <c r="D23" s="3"/>
      <c r="E23" s="3"/>
      <c r="F23" s="32"/>
      <c r="G23" s="8"/>
      <c r="H23" s="3"/>
      <c r="I23" s="3"/>
      <c r="J23" s="13"/>
      <c r="K23" s="8">
        <f>1-GEVCUM(KVD!$D$20,KVD!$E$20,KVD!$F$20,$A23)</f>
        <v>4.1741861261271884E-3</v>
      </c>
      <c r="L23" s="3">
        <f t="shared" si="8"/>
        <v>4.1829223606229858E-3</v>
      </c>
      <c r="M23" s="3">
        <f t="shared" si="9"/>
        <v>239.06731079059867</v>
      </c>
      <c r="N23" s="13">
        <f t="shared" si="10"/>
        <v>2.0583322109305894E-3</v>
      </c>
      <c r="O23" s="8">
        <f>1-GEVCUM(KVD!$D$21,KVD!$E$21,KVD!$F$21,$A23)</f>
        <v>4.1571383710554799E-2</v>
      </c>
      <c r="P23" s="3">
        <f t="shared" si="11"/>
        <v>4.2460193667868455E-2</v>
      </c>
      <c r="Q23" s="3">
        <f t="shared" si="12"/>
        <v>23.551470533134783</v>
      </c>
      <c r="R23" s="13">
        <f t="shared" si="15"/>
        <v>1.8922778506046685E-2</v>
      </c>
      <c r="S23" s="8">
        <f>1-GEVCUM(KVD!$D$22,KVD!$E$22,KVD!$F$22,$A23)</f>
        <v>6.1956530779657681E-2</v>
      </c>
      <c r="T23" s="3">
        <f t="shared" si="13"/>
        <v>6.395898859730012E-2</v>
      </c>
      <c r="U23" s="9">
        <f t="shared" si="14"/>
        <v>15.635018969674775</v>
      </c>
      <c r="V23" s="32">
        <f t="shared" si="16"/>
        <v>2.7369441322686774E-2</v>
      </c>
    </row>
    <row r="24" spans="1:22" x14ac:dyDescent="0.25">
      <c r="A24" s="23">
        <f t="shared" si="4"/>
        <v>117.5</v>
      </c>
      <c r="B24" s="13">
        <f t="shared" si="5"/>
        <v>115</v>
      </c>
      <c r="C24" s="8"/>
      <c r="D24" s="3"/>
      <c r="E24" s="3"/>
      <c r="F24" s="32"/>
      <c r="G24" s="8"/>
      <c r="H24" s="3"/>
      <c r="I24" s="3"/>
      <c r="J24" s="13"/>
      <c r="K24" s="8">
        <f>1-GEVCUM(KVD!$D$20,KVD!$E$20,KVD!$F$20,$A24)</f>
        <v>2.8092710986008518E-3</v>
      </c>
      <c r="L24" s="3">
        <f t="shared" si="8"/>
        <v>2.8132245065192588E-3</v>
      </c>
      <c r="M24" s="3">
        <f t="shared" si="9"/>
        <v>355.46398720849982</v>
      </c>
      <c r="N24" s="13">
        <f t="shared" si="10"/>
        <v>1.369697854103727E-3</v>
      </c>
      <c r="O24" s="8">
        <f>1-GEVCUM(KVD!$D$21,KVD!$E$21,KVD!$F$21,$A24)</f>
        <v>2.8762950294562328E-2</v>
      </c>
      <c r="P24" s="3">
        <f t="shared" si="11"/>
        <v>2.9184711025788589E-2</v>
      </c>
      <c r="Q24" s="3">
        <f t="shared" si="12"/>
        <v>34.264516072006558</v>
      </c>
      <c r="R24" s="13">
        <f t="shared" si="15"/>
        <v>1.327548264207987E-2</v>
      </c>
      <c r="S24" s="8">
        <f>1-GEVCUM(KVD!$D$22,KVD!$E$22,KVD!$F$22,$A24)</f>
        <v>4.3454425999231105E-2</v>
      </c>
      <c r="T24" s="3">
        <f t="shared" si="13"/>
        <v>4.442684460775774E-2</v>
      </c>
      <c r="U24" s="9">
        <f t="shared" si="14"/>
        <v>22.508913447014908</v>
      </c>
      <c r="V24" s="32">
        <f t="shared" si="16"/>
        <v>1.953214398954238E-2</v>
      </c>
    </row>
    <row r="25" spans="1:22" x14ac:dyDescent="0.25">
      <c r="A25" s="23">
        <f t="shared" si="4"/>
        <v>122.5</v>
      </c>
      <c r="B25" s="13">
        <f t="shared" si="5"/>
        <v>120</v>
      </c>
      <c r="C25" s="8"/>
      <c r="D25" s="3"/>
      <c r="E25" s="3"/>
      <c r="F25" s="32"/>
      <c r="G25" s="8"/>
      <c r="H25" s="3"/>
      <c r="I25" s="3"/>
      <c r="J25" s="13"/>
      <c r="K25" s="8">
        <f>1-GEVCUM(KVD!$D$20,KVD!$E$20,KVD!$F$20,$A25)</f>
        <v>1.8967374603549025E-3</v>
      </c>
      <c r="L25" s="3">
        <f t="shared" si="8"/>
        <v>1.8985385446680593E-3</v>
      </c>
      <c r="M25" s="3">
        <f t="shared" si="9"/>
        <v>526.72093637942976</v>
      </c>
      <c r="N25" s="13">
        <f t="shared" si="10"/>
        <v>2.8132245065192588E-3</v>
      </c>
      <c r="O25" s="8">
        <f>1-GEVCUM(KVD!$D$21,KVD!$E$21,KVD!$F$21,$A25)</f>
        <v>1.9731090850140909E-2</v>
      </c>
      <c r="P25" s="3">
        <f t="shared" si="11"/>
        <v>1.9928347865823082E-2</v>
      </c>
      <c r="Q25" s="3">
        <f t="shared" si="12"/>
        <v>50.179774396400916</v>
      </c>
      <c r="R25" s="13">
        <f t="shared" si="15"/>
        <v>9.2563631599655027E-3</v>
      </c>
      <c r="S25" s="8">
        <f>1-GEVCUM(KVD!$D$22,KVD!$E$22,KVD!$F$22,$A25)</f>
        <v>3.0133093898087049E-2</v>
      </c>
      <c r="T25" s="3">
        <f t="shared" si="13"/>
        <v>3.0596427103103226E-2</v>
      </c>
      <c r="U25" s="9">
        <f t="shared" si="14"/>
        <v>32.683554737624107</v>
      </c>
      <c r="V25" s="32">
        <f t="shared" si="16"/>
        <v>1.3830417504654517E-2</v>
      </c>
    </row>
    <row r="26" spans="1:22" x14ac:dyDescent="0.25">
      <c r="A26" s="23">
        <f t="shared" si="4"/>
        <v>127.5</v>
      </c>
      <c r="B26" s="13">
        <f t="shared" si="5"/>
        <v>125</v>
      </c>
      <c r="C26" s="8"/>
      <c r="D26" s="3"/>
      <c r="E26" s="3"/>
      <c r="F26" s="32"/>
      <c r="G26" s="8"/>
      <c r="H26" s="3"/>
      <c r="I26" s="3"/>
      <c r="J26" s="13"/>
      <c r="K26" s="8"/>
      <c r="L26" s="3"/>
      <c r="M26" s="3"/>
      <c r="N26" s="13"/>
      <c r="O26" s="8">
        <f>1-GEVCUM(KVD!$D$21,KVD!$E$21,KVD!$F$21,$A26)</f>
        <v>1.3424436246541771E-2</v>
      </c>
      <c r="P26" s="3">
        <f t="shared" si="11"/>
        <v>1.3515358628847191E-2</v>
      </c>
      <c r="Q26" s="3">
        <f t="shared" si="12"/>
        <v>73.989897527809532</v>
      </c>
      <c r="R26" s="13">
        <f t="shared" si="15"/>
        <v>6.4129892369758912E-3</v>
      </c>
      <c r="S26" s="8">
        <f>1-GEVCUM(KVD!$D$22,KVD!$E$22,KVD!$F$22,$A26)</f>
        <v>2.0666717466787277E-2</v>
      </c>
      <c r="T26" s="3">
        <f t="shared" si="13"/>
        <v>2.0883262788570413E-2</v>
      </c>
      <c r="U26" s="9">
        <f t="shared" si="14"/>
        <v>47.885237576347912</v>
      </c>
      <c r="V26" s="32">
        <f t="shared" si="16"/>
        <v>9.7131643145328093E-3</v>
      </c>
    </row>
    <row r="27" spans="1:22" x14ac:dyDescent="0.25">
      <c r="A27" s="23">
        <f t="shared" si="4"/>
        <v>132.5</v>
      </c>
      <c r="B27" s="13">
        <f t="shared" si="5"/>
        <v>130</v>
      </c>
      <c r="C27" s="8"/>
      <c r="D27" s="3"/>
      <c r="E27" s="3"/>
      <c r="F27" s="32"/>
      <c r="G27" s="8"/>
      <c r="H27" s="3"/>
      <c r="I27" s="3"/>
      <c r="J27" s="13"/>
      <c r="K27" s="8"/>
      <c r="L27" s="3"/>
      <c r="M27" s="3"/>
      <c r="N27" s="13"/>
      <c r="O27" s="8">
        <f>1-GEVCUM(KVD!$D$21,KVD!$E$21,KVD!$F$21,$A27)</f>
        <v>9.0602814455957859E-3</v>
      </c>
      <c r="P27" s="3">
        <f t="shared" si="11"/>
        <v>9.1015754080494924E-3</v>
      </c>
      <c r="Q27" s="3">
        <f t="shared" si="12"/>
        <v>109.87108881343701</v>
      </c>
      <c r="R27" s="13">
        <f t="shared" si="15"/>
        <v>4.4137832207976988E-3</v>
      </c>
      <c r="S27" s="8">
        <f>1-GEVCUM(KVD!$D$22,KVD!$E$22,KVD!$F$22,$A27)</f>
        <v>1.4020827697900695E-2</v>
      </c>
      <c r="T27" s="3">
        <f t="shared" si="13"/>
        <v>1.412004802846711E-2</v>
      </c>
      <c r="U27" s="9">
        <f t="shared" si="14"/>
        <v>70.821288850004095</v>
      </c>
      <c r="V27" s="32">
        <f t="shared" si="16"/>
        <v>6.7632147601033032E-3</v>
      </c>
    </row>
    <row r="28" spans="1:22" x14ac:dyDescent="0.25">
      <c r="A28" s="23">
        <f t="shared" si="4"/>
        <v>137.5</v>
      </c>
      <c r="B28" s="13">
        <f t="shared" si="5"/>
        <v>135</v>
      </c>
      <c r="C28" s="8"/>
      <c r="D28" s="3"/>
      <c r="E28" s="3"/>
      <c r="F28" s="32"/>
      <c r="G28" s="8"/>
      <c r="H28" s="3"/>
      <c r="I28" s="3"/>
      <c r="J28" s="13"/>
      <c r="K28" s="8"/>
      <c r="L28" s="3"/>
      <c r="M28" s="3"/>
      <c r="N28" s="13"/>
      <c r="O28" s="8">
        <f>1-GEVCUM(KVD!$D$21,KVD!$E$21,KVD!$F$21,$A28)</f>
        <v>6.0660233979256128E-3</v>
      </c>
      <c r="P28" s="3">
        <f t="shared" si="11"/>
        <v>6.0844964610996905E-3</v>
      </c>
      <c r="Q28" s="3">
        <f t="shared" si="12"/>
        <v>164.35213766551578</v>
      </c>
      <c r="R28" s="13">
        <f t="shared" si="15"/>
        <v>3.0170789469498019E-3</v>
      </c>
      <c r="S28" s="8">
        <f>1-GEVCUM(KVD!$D$22,KVD!$E$22,KVD!$F$22,$A28)</f>
        <v>9.4086274786655544E-3</v>
      </c>
      <c r="T28" s="3">
        <f t="shared" si="13"/>
        <v>9.4531682124491742E-3</v>
      </c>
      <c r="U28" s="9">
        <f t="shared" si="14"/>
        <v>105.7846404005663</v>
      </c>
      <c r="V28" s="32">
        <f t="shared" si="16"/>
        <v>4.666879816017936E-3</v>
      </c>
    </row>
    <row r="29" spans="1:22" x14ac:dyDescent="0.25">
      <c r="A29" s="23">
        <f t="shared" si="4"/>
        <v>142.5</v>
      </c>
      <c r="B29" s="13">
        <f t="shared" si="5"/>
        <v>140</v>
      </c>
      <c r="C29" s="8"/>
      <c r="D29" s="3"/>
      <c r="E29" s="3"/>
      <c r="F29" s="32"/>
      <c r="G29" s="8"/>
      <c r="H29" s="3"/>
      <c r="I29" s="3"/>
      <c r="J29" s="13"/>
      <c r="K29" s="8"/>
      <c r="L29" s="3"/>
      <c r="M29" s="3"/>
      <c r="N29" s="13"/>
      <c r="O29" s="8">
        <f>1-GEVCUM(KVD!$D$21,KVD!$E$21,KVD!$F$21,$A29)</f>
        <v>4.0286119185976021E-3</v>
      </c>
      <c r="P29" s="3">
        <f t="shared" si="11"/>
        <v>4.0367486360631906E-3</v>
      </c>
      <c r="Q29" s="3">
        <f t="shared" si="12"/>
        <v>247.72411912554523</v>
      </c>
      <c r="R29" s="13">
        <f t="shared" si="15"/>
        <v>2.0477478250365E-3</v>
      </c>
      <c r="S29" s="8">
        <f>1-GEVCUM(KVD!$D$22,KVD!$E$22,KVD!$F$22,$A29)</f>
        <v>6.2436675788951623E-3</v>
      </c>
      <c r="T29" s="3">
        <f t="shared" si="13"/>
        <v>6.2632407862454132E-3</v>
      </c>
      <c r="U29" s="9">
        <f t="shared" si="14"/>
        <v>159.66175245826113</v>
      </c>
      <c r="V29" s="32">
        <f t="shared" si="16"/>
        <v>3.189927426203761E-3</v>
      </c>
    </row>
    <row r="30" spans="1:22" x14ac:dyDescent="0.25">
      <c r="A30" s="23">
        <f t="shared" si="4"/>
        <v>147.5</v>
      </c>
      <c r="B30" s="13">
        <f t="shared" si="5"/>
        <v>145</v>
      </c>
      <c r="C30" s="8"/>
      <c r="D30" s="3"/>
      <c r="E30" s="3"/>
      <c r="F30" s="32"/>
      <c r="G30" s="8"/>
      <c r="H30" s="3"/>
      <c r="I30" s="3"/>
      <c r="J30" s="13"/>
      <c r="K30" s="8"/>
      <c r="L30" s="3"/>
      <c r="M30" s="3"/>
      <c r="N30" s="13"/>
      <c r="O30" s="8">
        <f>1-GEVCUM(KVD!$D$21,KVD!$E$21,KVD!$F$21,$A30)</f>
        <v>2.6535904503893759E-3</v>
      </c>
      <c r="P30" s="3">
        <f t="shared" si="11"/>
        <v>2.6571174624072259E-3</v>
      </c>
      <c r="Q30" s="3">
        <f t="shared" si="12"/>
        <v>376.34768283598805</v>
      </c>
      <c r="R30" s="13">
        <f t="shared" si="15"/>
        <v>1.3796311736559647E-3</v>
      </c>
      <c r="S30" s="8">
        <f>1-GEVCUM(KVD!$D$22,KVD!$E$22,KVD!$F$22,$A30)</f>
        <v>4.0960917618050319E-3</v>
      </c>
      <c r="T30" s="3">
        <f t="shared" si="13"/>
        <v>4.1045037243038329E-3</v>
      </c>
      <c r="U30" s="9">
        <f t="shared" si="14"/>
        <v>243.63481365085386</v>
      </c>
      <c r="V30" s="32">
        <f t="shared" si="16"/>
        <v>2.1587370619415803E-3</v>
      </c>
    </row>
    <row r="31" spans="1:22" x14ac:dyDescent="0.25">
      <c r="A31" s="23">
        <f t="shared" si="4"/>
        <v>152.5</v>
      </c>
      <c r="B31" s="13">
        <f t="shared" si="5"/>
        <v>150</v>
      </c>
      <c r="C31" s="8"/>
      <c r="D31" s="3"/>
      <c r="E31" s="3"/>
      <c r="F31" s="32"/>
      <c r="G31" s="8"/>
      <c r="H31" s="3"/>
      <c r="I31" s="3"/>
      <c r="J31" s="13"/>
      <c r="K31" s="8"/>
      <c r="L31" s="3"/>
      <c r="M31" s="3"/>
      <c r="N31" s="13"/>
      <c r="O31" s="8">
        <f>1-GEVCUM(KVD!$D$21,KVD!$E$21,KVD!$F$21,$A31)</f>
        <v>1.7332079119657395E-3</v>
      </c>
      <c r="P31" s="3">
        <f t="shared" si="11"/>
        <v>1.7347116545823812E-3</v>
      </c>
      <c r="Q31" s="3">
        <f t="shared" si="12"/>
        <v>576.46468066229863</v>
      </c>
      <c r="R31" s="13">
        <f t="shared" si="15"/>
        <v>9.2240580782484483E-4</v>
      </c>
      <c r="S31" s="8">
        <f>1-GEVCUM(KVD!$D$22,KVD!$E$22,KVD!$F$22,$A31)</f>
        <v>2.655365684976041E-3</v>
      </c>
      <c r="T31" s="3">
        <f t="shared" si="13"/>
        <v>2.6588974218572127E-3</v>
      </c>
      <c r="U31" s="9">
        <f t="shared" si="14"/>
        <v>376.09574246061368</v>
      </c>
      <c r="V31" s="32">
        <f t="shared" si="16"/>
        <v>1.4456063024466202E-3</v>
      </c>
    </row>
    <row r="32" spans="1:22" x14ac:dyDescent="0.25">
      <c r="A32" s="23">
        <f t="shared" si="4"/>
        <v>157.5</v>
      </c>
      <c r="B32" s="13">
        <f t="shared" si="5"/>
        <v>155</v>
      </c>
      <c r="C32" s="8"/>
      <c r="D32" s="3"/>
      <c r="E32" s="3"/>
      <c r="F32" s="32"/>
      <c r="G32" s="8"/>
      <c r="H32" s="3"/>
      <c r="I32" s="3"/>
      <c r="J32" s="13"/>
      <c r="K32" s="8"/>
      <c r="L32" s="3"/>
      <c r="M32" s="3"/>
      <c r="N32" s="13"/>
      <c r="O32" s="8">
        <f>1-GEVCUM(KVD!$D$21,KVD!$E$21,KVD!$F$21,$A32)</f>
        <v>1.1222638312745614E-3</v>
      </c>
      <c r="P32" s="3">
        <f t="shared" si="11"/>
        <v>1.1228940408798084E-3</v>
      </c>
      <c r="Q32" s="3">
        <f t="shared" si="12"/>
        <v>890.55597731775424</v>
      </c>
      <c r="R32" s="13">
        <f t="shared" si="15"/>
        <v>1.734711654582381E-3</v>
      </c>
      <c r="S32" s="8">
        <f>1-GEVCUM(KVD!$D$22,KVD!$E$22,KVD!$F$22,$A32)</f>
        <v>1.7000826979023387E-3</v>
      </c>
      <c r="T32" s="3">
        <f t="shared" si="13"/>
        <v>1.7015294784891431E-3</v>
      </c>
      <c r="U32" s="9">
        <f t="shared" si="14"/>
        <v>587.70653852435191</v>
      </c>
      <c r="V32" s="32">
        <f t="shared" si="16"/>
        <v>9.5736794336806963E-4</v>
      </c>
    </row>
    <row r="33" spans="1:22" x14ac:dyDescent="0.25">
      <c r="A33" s="23">
        <f t="shared" si="4"/>
        <v>162.5</v>
      </c>
      <c r="B33" s="13">
        <f t="shared" si="5"/>
        <v>160</v>
      </c>
      <c r="C33" s="8"/>
      <c r="D33" s="3"/>
      <c r="E33" s="3"/>
      <c r="F33" s="32"/>
      <c r="G33" s="8"/>
      <c r="H33" s="3"/>
      <c r="I33" s="3"/>
      <c r="J33" s="13"/>
      <c r="K33" s="8"/>
      <c r="L33" s="3"/>
      <c r="M33" s="3"/>
      <c r="N33" s="13"/>
      <c r="O33" s="8"/>
      <c r="P33" s="3"/>
      <c r="Q33" s="3"/>
      <c r="R33" s="13"/>
      <c r="S33" s="8">
        <f>1-GEVCUM(KVD!$D$22,KVD!$E$22,KVD!$F$22,$A33)</f>
        <v>1.0743208623161804E-3</v>
      </c>
      <c r="T33" s="3">
        <f t="shared" si="13"/>
        <v>1.0748983586217208E-3</v>
      </c>
      <c r="U33" s="9">
        <f t="shared" si="14"/>
        <v>930.32052005572086</v>
      </c>
      <c r="V33" s="32">
        <f t="shared" si="16"/>
        <v>1.7015294784891431E-3</v>
      </c>
    </row>
    <row r="34" spans="1:22" x14ac:dyDescent="0.25">
      <c r="A34" s="23">
        <f t="shared" si="4"/>
        <v>167.5</v>
      </c>
      <c r="B34" s="13">
        <f t="shared" si="5"/>
        <v>165</v>
      </c>
      <c r="C34" s="8"/>
      <c r="D34" s="3"/>
      <c r="E34" s="3"/>
      <c r="F34" s="32"/>
      <c r="G34" s="8"/>
      <c r="H34" s="3"/>
      <c r="I34" s="3"/>
      <c r="J34" s="13"/>
      <c r="K34" s="8"/>
      <c r="L34" s="3"/>
      <c r="M34" s="3"/>
      <c r="N34" s="13"/>
      <c r="O34" s="8"/>
      <c r="P34" s="3"/>
      <c r="Q34" s="3"/>
      <c r="R34" s="13"/>
      <c r="S34" s="8"/>
      <c r="T34" s="3"/>
      <c r="U34" s="9"/>
      <c r="V34" s="32"/>
    </row>
    <row r="35" spans="1:22" x14ac:dyDescent="0.25">
      <c r="A35" s="23">
        <f t="shared" si="4"/>
        <v>172.5</v>
      </c>
      <c r="B35" s="13">
        <f t="shared" si="5"/>
        <v>170</v>
      </c>
      <c r="C35" s="8"/>
      <c r="D35" s="3"/>
      <c r="E35" s="3"/>
      <c r="F35" s="32"/>
      <c r="G35" s="8"/>
      <c r="H35" s="3"/>
      <c r="I35" s="3"/>
      <c r="J35" s="13"/>
      <c r="K35" s="8"/>
      <c r="L35" s="3"/>
      <c r="M35" s="3"/>
      <c r="N35" s="13"/>
      <c r="O35" s="8"/>
      <c r="P35" s="3"/>
      <c r="Q35" s="3"/>
      <c r="R35" s="13"/>
      <c r="S35" s="8"/>
      <c r="T35" s="3"/>
      <c r="U35" s="9"/>
      <c r="V35" s="32"/>
    </row>
    <row r="36" spans="1:22" x14ac:dyDescent="0.25">
      <c r="A36" s="23">
        <f t="shared" si="4"/>
        <v>177.5</v>
      </c>
      <c r="B36" s="13">
        <f t="shared" si="5"/>
        <v>175</v>
      </c>
      <c r="C36" s="8"/>
      <c r="D36" s="3"/>
      <c r="E36" s="3"/>
      <c r="F36" s="32"/>
      <c r="G36" s="8"/>
      <c r="H36" s="3"/>
      <c r="I36" s="3"/>
      <c r="J36" s="13"/>
      <c r="K36" s="8"/>
      <c r="L36" s="3"/>
      <c r="M36" s="3"/>
      <c r="N36" s="13"/>
      <c r="O36" s="8"/>
      <c r="P36" s="3"/>
      <c r="Q36" s="3"/>
      <c r="R36" s="13"/>
      <c r="S36" s="8"/>
      <c r="T36" s="3"/>
      <c r="U36" s="9"/>
      <c r="V36" s="32"/>
    </row>
    <row r="37" spans="1:22" x14ac:dyDescent="0.25">
      <c r="A37" s="14">
        <f t="shared" si="4"/>
        <v>182.5</v>
      </c>
      <c r="B37" s="15">
        <f t="shared" si="5"/>
        <v>180</v>
      </c>
      <c r="C37" s="10"/>
      <c r="D37" s="4"/>
      <c r="E37" s="4"/>
      <c r="F37" s="33"/>
      <c r="G37" s="10"/>
      <c r="H37" s="4"/>
      <c r="I37" s="4"/>
      <c r="J37" s="15"/>
      <c r="K37" s="10"/>
      <c r="L37" s="4"/>
      <c r="M37" s="4"/>
      <c r="N37" s="15"/>
      <c r="O37" s="10"/>
      <c r="P37" s="4"/>
      <c r="Q37" s="4"/>
      <c r="R37" s="15"/>
      <c r="S37" s="10"/>
      <c r="T37" s="4"/>
      <c r="U37" s="11"/>
      <c r="V37" s="33"/>
    </row>
    <row r="38" spans="1:22" x14ac:dyDescent="0.25">
      <c r="O38" s="3"/>
      <c r="P38" s="3"/>
      <c r="Q38" s="3"/>
      <c r="R38" s="3"/>
      <c r="S38" s="6"/>
      <c r="T38" s="3"/>
      <c r="U38" s="3"/>
      <c r="V38" s="3"/>
    </row>
    <row r="39" spans="1:22" x14ac:dyDescent="0.25">
      <c r="S39" s="6"/>
      <c r="T39" s="3"/>
      <c r="U39" s="3"/>
      <c r="V39" s="3"/>
    </row>
  </sheetData>
  <mergeCells count="11">
    <mergeCell ref="S2:U2"/>
    <mergeCell ref="A1:B2"/>
    <mergeCell ref="C1:F1"/>
    <mergeCell ref="G1:J1"/>
    <mergeCell ref="K1:N1"/>
    <mergeCell ref="O1:R1"/>
    <mergeCell ref="S1:V1"/>
    <mergeCell ref="C2:E2"/>
    <mergeCell ref="G2:I2"/>
    <mergeCell ref="K2:M2"/>
    <mergeCell ref="O2:Q2"/>
  </mergeCells>
  <pageMargins left="0.7" right="0.7" top="0.75" bottom="0.75" header="0.3" footer="0.3"/>
  <pageSetup paperSize="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Blad9">
    <tabColor theme="8" tint="-0.249977111117893"/>
  </sheetPr>
  <dimension ref="A1:V40"/>
  <sheetViews>
    <sheetView topLeftCell="H1" workbookViewId="0">
      <selection activeCell="V6" sqref="V6"/>
    </sheetView>
  </sheetViews>
  <sheetFormatPr defaultColWidth="9.140625" defaultRowHeight="15" x14ac:dyDescent="0.25"/>
  <cols>
    <col min="1" max="1" width="11.42578125" bestFit="1" customWidth="1"/>
    <col min="2" max="2" width="14" bestFit="1" customWidth="1"/>
    <col min="4" max="4" width="12.28515625" style="19" bestFit="1" customWidth="1"/>
    <col min="5" max="5" width="12" style="19" bestFit="1" customWidth="1"/>
    <col min="6" max="6" width="14.7109375" bestFit="1" customWidth="1"/>
    <col min="8" max="8" width="12.28515625" bestFit="1" customWidth="1"/>
    <col min="9" max="9" width="12" bestFit="1" customWidth="1"/>
    <col min="10" max="10" width="13.7109375" bestFit="1" customWidth="1"/>
    <col min="12" max="12" width="12.28515625" bestFit="1" customWidth="1"/>
    <col min="13" max="13" width="18.85546875" bestFit="1" customWidth="1"/>
    <col min="14" max="14" width="14.7109375" bestFit="1" customWidth="1"/>
    <col min="15" max="15" width="7.7109375" bestFit="1" customWidth="1"/>
    <col min="16" max="16" width="12.28515625" bestFit="1" customWidth="1"/>
    <col min="17" max="17" width="16.42578125" bestFit="1" customWidth="1"/>
    <col min="18" max="18" width="14.7109375" bestFit="1" customWidth="1"/>
    <col min="19" max="19" width="7.7109375" bestFit="1" customWidth="1"/>
    <col min="20" max="20" width="12.28515625" bestFit="1" customWidth="1"/>
    <col min="21" max="21" width="11.42578125" bestFit="1" customWidth="1"/>
    <col min="22" max="22" width="14.7109375" bestFit="1" customWidth="1"/>
  </cols>
  <sheetData>
    <row r="1" spans="1:22" x14ac:dyDescent="0.25">
      <c r="A1" s="50" t="s">
        <v>15</v>
      </c>
      <c r="B1" s="51"/>
      <c r="C1" s="63">
        <v>24</v>
      </c>
      <c r="D1" s="64"/>
      <c r="E1" s="64"/>
      <c r="F1" s="65"/>
      <c r="G1" s="66">
        <v>48</v>
      </c>
      <c r="H1" s="67"/>
      <c r="I1" s="67"/>
      <c r="J1" s="68"/>
      <c r="K1" s="66">
        <v>96</v>
      </c>
      <c r="L1" s="67"/>
      <c r="M1" s="67"/>
      <c r="N1" s="68"/>
      <c r="O1" s="66">
        <v>192</v>
      </c>
      <c r="P1" s="67"/>
      <c r="Q1" s="67"/>
      <c r="R1" s="68"/>
      <c r="S1" s="60">
        <v>216</v>
      </c>
      <c r="T1" s="61"/>
      <c r="U1" s="61"/>
      <c r="V1" s="62"/>
    </row>
    <row r="2" spans="1:22" x14ac:dyDescent="0.25">
      <c r="A2" s="52"/>
      <c r="B2" s="53"/>
      <c r="C2" s="57" t="s">
        <v>9</v>
      </c>
      <c r="D2" s="58"/>
      <c r="E2" s="59"/>
      <c r="F2" s="30">
        <f>24/24*365.25</f>
        <v>365.25</v>
      </c>
      <c r="G2" s="54" t="s">
        <v>9</v>
      </c>
      <c r="H2" s="55"/>
      <c r="I2" s="56"/>
      <c r="J2" s="30">
        <f>24/48*365.25</f>
        <v>182.625</v>
      </c>
      <c r="K2" s="54" t="s">
        <v>9</v>
      </c>
      <c r="L2" s="55"/>
      <c r="M2" s="56"/>
      <c r="N2" s="30">
        <f>24/96*365.25</f>
        <v>91.3125</v>
      </c>
      <c r="O2" s="54" t="s">
        <v>9</v>
      </c>
      <c r="P2" s="55"/>
      <c r="Q2" s="56"/>
      <c r="R2" s="30">
        <f>24/192*365.25</f>
        <v>45.65625</v>
      </c>
      <c r="S2" s="54" t="s">
        <v>9</v>
      </c>
      <c r="T2" s="55"/>
      <c r="U2" s="56"/>
      <c r="V2" s="30">
        <f>24/216*365.25</f>
        <v>40.583333333333329</v>
      </c>
    </row>
    <row r="3" spans="1:22" x14ac:dyDescent="0.25">
      <c r="A3" s="24" t="s">
        <v>12</v>
      </c>
      <c r="B3" s="27" t="s">
        <v>14</v>
      </c>
      <c r="C3" s="24" t="s">
        <v>8</v>
      </c>
      <c r="D3" s="25" t="s">
        <v>10</v>
      </c>
      <c r="E3" s="26" t="s">
        <v>17</v>
      </c>
      <c r="F3" s="36" t="s">
        <v>13</v>
      </c>
      <c r="G3" s="24" t="s">
        <v>8</v>
      </c>
      <c r="H3" s="25" t="s">
        <v>10</v>
      </c>
      <c r="I3" s="26" t="s">
        <v>17</v>
      </c>
      <c r="J3" s="29" t="s">
        <v>13</v>
      </c>
      <c r="K3" s="24" t="s">
        <v>8</v>
      </c>
      <c r="L3" s="25" t="s">
        <v>10</v>
      </c>
      <c r="M3" s="26" t="s">
        <v>17</v>
      </c>
      <c r="N3" s="29" t="s">
        <v>13</v>
      </c>
      <c r="O3" s="24" t="s">
        <v>8</v>
      </c>
      <c r="P3" s="25" t="s">
        <v>10</v>
      </c>
      <c r="Q3" s="26" t="s">
        <v>17</v>
      </c>
      <c r="R3" s="29" t="s">
        <v>13</v>
      </c>
      <c r="S3" s="24" t="s">
        <v>8</v>
      </c>
      <c r="T3" s="25" t="s">
        <v>10</v>
      </c>
      <c r="U3" s="26" t="s">
        <v>17</v>
      </c>
      <c r="V3" s="29" t="s">
        <v>13</v>
      </c>
    </row>
    <row r="4" spans="1:22" x14ac:dyDescent="0.25">
      <c r="A4" s="34">
        <v>17.5</v>
      </c>
      <c r="B4" s="12">
        <f>A4-2.5</f>
        <v>15</v>
      </c>
      <c r="C4" s="8">
        <f>1-GEVCUM(KVD!$D$28,KVD!$E$28,KVD!$F$28,$A4)</f>
        <v>0.98440443762356167</v>
      </c>
      <c r="D4" s="3">
        <f t="shared" ref="D4:D20" si="0">-LN(1-C4)</f>
        <v>4.1607688682427577</v>
      </c>
      <c r="E4" s="3">
        <f t="shared" ref="E4:E20" si="1">1/D4</f>
        <v>0.24034019472519655</v>
      </c>
      <c r="F4" s="31">
        <f>KLASSEFREQUENTIEUITHERHALINGSTIJD(F$2,E3,E4,E5)</f>
        <v>361.08923113175723</v>
      </c>
      <c r="G4" s="8">
        <f>1-GEVCUM(KVD!$D$29,KVD!$E$29,KVD!$F$29,$A4)</f>
        <v>0.99990063890481262</v>
      </c>
      <c r="H4" s="2">
        <f t="shared" ref="H4:H22" si="2">-LN(1-G4)</f>
        <v>9.216749917422602</v>
      </c>
      <c r="I4" s="2">
        <f t="shared" ref="I4:I22" si="3">1/H4</f>
        <v>0.10849811581734256</v>
      </c>
      <c r="J4" s="12">
        <f>KLASSEFREQUENTIEUITHERHALINGSTIJD(J$2,I3,I4,I5)</f>
        <v>173.40825008257741</v>
      </c>
      <c r="K4" s="35"/>
      <c r="L4" s="2"/>
      <c r="M4" s="2"/>
      <c r="N4" s="12"/>
      <c r="O4" s="35"/>
      <c r="P4" s="2"/>
      <c r="Q4" s="2"/>
      <c r="R4" s="12"/>
      <c r="S4" s="35"/>
      <c r="T4" s="2"/>
      <c r="U4" s="37"/>
      <c r="V4" s="31"/>
    </row>
    <row r="5" spans="1:22" x14ac:dyDescent="0.25">
      <c r="A5" s="23">
        <f t="shared" ref="A5:A40" si="4">A4+5</f>
        <v>22.5</v>
      </c>
      <c r="B5" s="13">
        <f t="shared" ref="B5:B40" si="5">A5-2.5</f>
        <v>20</v>
      </c>
      <c r="C5" s="8">
        <f>1-GEVCUM(KVD!$D$28,KVD!$E$28,KVD!$F$28,$A5)</f>
        <v>0.82045184138458316</v>
      </c>
      <c r="D5" s="3">
        <f t="shared" si="0"/>
        <v>1.7173118139158676</v>
      </c>
      <c r="E5" s="3">
        <f t="shared" si="1"/>
        <v>0.58230543335037621</v>
      </c>
      <c r="F5" s="32">
        <f t="shared" ref="F5:F20" si="6">KLASSEFREQUENTIEUITHERHALINGSTIJD(F$2,E4,E5,E6)</f>
        <v>2.4434570543268901</v>
      </c>
      <c r="G5" s="8">
        <f>1-GEVCUM(KVD!$D$29,KVD!$E$29,KVD!$F$29,$A5)</f>
        <v>0.99053062617002641</v>
      </c>
      <c r="H5" s="3">
        <f t="shared" si="2"/>
        <v>4.6596924954091712</v>
      </c>
      <c r="I5" s="3">
        <f t="shared" si="3"/>
        <v>0.21460643615114547</v>
      </c>
      <c r="J5" s="13">
        <f t="shared" ref="J5:J22" si="7">KLASSEFREQUENTIEUITHERHALINGSTIJD(J$2,I4,I5,I6)</f>
        <v>4.5570574220134308</v>
      </c>
      <c r="K5" s="8">
        <f>1-GEVCUM(KVD!$D$30,KVD!$E$30,KVD!$F$30,$A5)</f>
        <v>0.99993763070971509</v>
      </c>
      <c r="L5" s="3">
        <f t="shared" ref="L5:L25" si="8">-LN(1-K5)</f>
        <v>9.682437546600914</v>
      </c>
      <c r="M5" s="3">
        <f t="shared" ref="M5:M25" si="9">1/L5</f>
        <v>0.10327977796779664</v>
      </c>
      <c r="N5" s="13">
        <f>KLASSEFREQUENTIEUITHERHALINGSTIJD(N$2,M4,M5,M6)</f>
        <v>81.630062453399091</v>
      </c>
      <c r="O5" s="8"/>
      <c r="P5" s="3"/>
      <c r="Q5" s="3"/>
      <c r="R5" s="13"/>
      <c r="S5" s="8"/>
      <c r="T5" s="3"/>
      <c r="U5" s="9"/>
      <c r="V5" s="32"/>
    </row>
    <row r="6" spans="1:22" x14ac:dyDescent="0.25">
      <c r="A6" s="23">
        <f t="shared" si="4"/>
        <v>27.5</v>
      </c>
      <c r="B6" s="13">
        <f t="shared" si="5"/>
        <v>25</v>
      </c>
      <c r="C6" s="8">
        <f>1-GEVCUM(KVD!$D$28,KVD!$E$28,KVD!$F$28,$A6)</f>
        <v>0.52664808396582874</v>
      </c>
      <c r="D6" s="3">
        <f t="shared" si="0"/>
        <v>0.74791615859844118</v>
      </c>
      <c r="E6" s="3">
        <f t="shared" si="1"/>
        <v>1.3370482620324071</v>
      </c>
      <c r="F6" s="32">
        <f t="shared" si="6"/>
        <v>0.96939565531742666</v>
      </c>
      <c r="G6" s="8">
        <f>1-GEVCUM(KVD!$D$29,KVD!$E$29,KVD!$F$29,$A6)</f>
        <v>0.91069178812066198</v>
      </c>
      <c r="H6" s="3">
        <f t="shared" si="2"/>
        <v>2.4156618369923399</v>
      </c>
      <c r="I6" s="3">
        <f t="shared" si="3"/>
        <v>0.41396522670783537</v>
      </c>
      <c r="J6" s="13">
        <f t="shared" si="7"/>
        <v>2.2440306584168312</v>
      </c>
      <c r="K6" s="8">
        <f>1-GEVCUM(KVD!$D$30,KVD!$E$30,KVD!$F$30,$A6)</f>
        <v>0.99764464278748188</v>
      </c>
      <c r="L6" s="3">
        <f t="shared" si="8"/>
        <v>6.0510628804184714</v>
      </c>
      <c r="M6" s="3">
        <f t="shared" si="9"/>
        <v>0.16526022283391695</v>
      </c>
      <c r="N6" s="13">
        <f t="shared" ref="N6:N25" si="10">KLASSEFREQUENTIEUITHERHALINGSTIJD(N$2,M5,M6,M7)</f>
        <v>3.6313746661824418</v>
      </c>
      <c r="O6" s="8">
        <f>1-GEVCUM(KVD!$D$31,KVD!$E$31,KVD!$F$31,$A6)</f>
        <v>0.9999668061204966</v>
      </c>
      <c r="P6" s="3">
        <f t="shared" ref="P6:P32" si="11">-LN(1-O6)</f>
        <v>10.313145051343991</v>
      </c>
      <c r="Q6" s="3">
        <f t="shared" ref="Q6:Q32" si="12">1/P6</f>
        <v>9.6963631852504756E-2</v>
      </c>
      <c r="R6" s="13">
        <f>KLASSEFREQUENTIEUITHERHALINGSTIJD(R$2,Q5,Q6,Q7)</f>
        <v>35.343104948656006</v>
      </c>
      <c r="S6" s="8">
        <f>1-GEVCUM(KVD!$D$32,KVD!$E$32,KVD!$F$32,$A6)</f>
        <v>0.99997902945467021</v>
      </c>
      <c r="T6" s="3">
        <f t="shared" ref="T6:T33" si="13">-LN(1-S6)</f>
        <v>10.772391708152984</v>
      </c>
      <c r="U6" s="9">
        <f t="shared" ref="U6:U33" si="14">1/T6</f>
        <v>9.2829895819993194E-2</v>
      </c>
      <c r="V6" s="32">
        <f>KLASSEFREQUENTIEUITHERHALINGSTIJD(V$2,U5,U6,U7)</f>
        <v>29.810941625180345</v>
      </c>
    </row>
    <row r="7" spans="1:22" x14ac:dyDescent="0.25">
      <c r="A7" s="23">
        <f t="shared" si="4"/>
        <v>32.5</v>
      </c>
      <c r="B7" s="13">
        <f t="shared" si="5"/>
        <v>30</v>
      </c>
      <c r="C7" s="8">
        <f>1-GEVCUM(KVD!$D$28,KVD!$E$28,KVD!$F$28,$A7)</f>
        <v>0.28936555027170074</v>
      </c>
      <c r="D7" s="3">
        <f t="shared" si="0"/>
        <v>0.34159711679505739</v>
      </c>
      <c r="E7" s="3">
        <f t="shared" si="1"/>
        <v>2.9274251767176191</v>
      </c>
      <c r="F7" s="32">
        <f t="shared" si="6"/>
        <v>0.4063190418033838</v>
      </c>
      <c r="G7" s="8">
        <f>1-GEVCUM(KVD!$D$29,KVD!$E$29,KVD!$F$29,$A7)</f>
        <v>0.72247948826815189</v>
      </c>
      <c r="H7" s="3">
        <f t="shared" si="2"/>
        <v>1.2818604323765079</v>
      </c>
      <c r="I7" s="3">
        <f t="shared" si="3"/>
        <v>0.78011613022959747</v>
      </c>
      <c r="J7" s="13">
        <f t="shared" si="7"/>
        <v>1.133801404615832</v>
      </c>
      <c r="K7" s="8">
        <f>1-GEVCUM(KVD!$D$30,KVD!$E$30,KVD!$F$30,$A7)</f>
        <v>0.97762624074948801</v>
      </c>
      <c r="L7" s="3">
        <f t="shared" si="8"/>
        <v>3.7998664688498485</v>
      </c>
      <c r="M7" s="3">
        <f t="shared" si="9"/>
        <v>0.26316714237136918</v>
      </c>
      <c r="N7" s="13">
        <f t="shared" si="10"/>
        <v>2.2511964115686234</v>
      </c>
      <c r="O7" s="8">
        <f>1-GEVCUM(KVD!$D$31,KVD!$E$31,KVD!$F$31,$A7)</f>
        <v>0.99954901012740516</v>
      </c>
      <c r="P7" s="3">
        <f t="shared" si="11"/>
        <v>7.7040656741575315</v>
      </c>
      <c r="Q7" s="3">
        <f t="shared" si="12"/>
        <v>0.12980159337872646</v>
      </c>
      <c r="R7" s="13">
        <f t="shared" ref="R7:R32" si="15">KLASSEFREQUENTIEUITHERHALINGSTIJD(R$2,Q6,Q7,Q8)</f>
        <v>2.6090793771864593</v>
      </c>
      <c r="S7" s="8">
        <f>1-GEVCUM(KVD!$D$32,KVD!$E$32,KVD!$F$32,$A7)</f>
        <v>0.99974449657622166</v>
      </c>
      <c r="T7" s="3">
        <f t="shared" si="13"/>
        <v>8.2722747481036993</v>
      </c>
      <c r="U7" s="9">
        <f t="shared" si="14"/>
        <v>0.12088573342286965</v>
      </c>
      <c r="V7" s="32">
        <f t="shared" ref="V7:V33" si="16">KLASSEFREQUENTIEUITHERHALINGSTIJD(V$2,U6,U7,U8)</f>
        <v>2.5001169600492847</v>
      </c>
    </row>
    <row r="8" spans="1:22" x14ac:dyDescent="0.25">
      <c r="A8" s="23">
        <f t="shared" si="4"/>
        <v>37.5</v>
      </c>
      <c r="B8" s="13">
        <f t="shared" si="5"/>
        <v>35</v>
      </c>
      <c r="C8" s="8">
        <f>1-GEVCUM(KVD!$D$28,KVD!$E$28,KVD!$F$28,$A8)</f>
        <v>0.15022034462941691</v>
      </c>
      <c r="D8" s="3">
        <f t="shared" si="0"/>
        <v>0.1627781920791983</v>
      </c>
      <c r="E8" s="3">
        <f t="shared" si="1"/>
        <v>6.1433290739183217</v>
      </c>
      <c r="F8" s="32">
        <f t="shared" si="6"/>
        <v>0.17881892471585908</v>
      </c>
      <c r="G8" s="8">
        <f>1-GEVCUM(KVD!$D$29,KVD!$E$29,KVD!$F$29,$A8)</f>
        <v>0.50099913366911752</v>
      </c>
      <c r="H8" s="3">
        <f t="shared" si="2"/>
        <v>0.6951474470980924</v>
      </c>
      <c r="I8" s="3">
        <f t="shared" si="3"/>
        <v>1.4385437279163162</v>
      </c>
      <c r="J8" s="13">
        <f t="shared" si="7"/>
        <v>0.58671298527841553</v>
      </c>
      <c r="K8" s="8">
        <f>1-GEVCUM(KVD!$D$30,KVD!$E$30,KVD!$F$30,$A8)</f>
        <v>0.90905182984103228</v>
      </c>
      <c r="L8" s="3">
        <f t="shared" si="8"/>
        <v>2.3974654934181157</v>
      </c>
      <c r="M8" s="3">
        <f t="shared" si="9"/>
        <v>0.41710715034078738</v>
      </c>
      <c r="N8" s="13">
        <f t="shared" si="10"/>
        <v>1.4024009754317333</v>
      </c>
      <c r="O8" s="8">
        <f>1-GEVCUM(KVD!$D$31,KVD!$E$31,KVD!$F$31,$A8)</f>
        <v>0.99676026470109358</v>
      </c>
      <c r="P8" s="3">
        <f t="shared" si="11"/>
        <v>5.7322636503837403</v>
      </c>
      <c r="Q8" s="3">
        <f t="shared" si="12"/>
        <v>0.17445115245755594</v>
      </c>
      <c r="R8" s="13">
        <f t="shared" si="15"/>
        <v>1.9718020237737912</v>
      </c>
      <c r="S8" s="8">
        <f>1-GEVCUM(KVD!$D$32,KVD!$E$32,KVD!$F$32,$A8)</f>
        <v>0.99820738654901531</v>
      </c>
      <c r="T8" s="3">
        <f t="shared" si="13"/>
        <v>6.3240806954516859</v>
      </c>
      <c r="U8" s="9">
        <f t="shared" si="14"/>
        <v>0.15812574952106564</v>
      </c>
      <c r="V8" s="32">
        <f t="shared" si="16"/>
        <v>1.9481940526520125</v>
      </c>
    </row>
    <row r="9" spans="1:22" x14ac:dyDescent="0.25">
      <c r="A9" s="23">
        <f t="shared" si="4"/>
        <v>42.5</v>
      </c>
      <c r="B9" s="13">
        <f t="shared" si="5"/>
        <v>40</v>
      </c>
      <c r="C9" s="8">
        <f>1-GEVCUM(KVD!$D$28,KVD!$E$28,KVD!$F$28,$A9)</f>
        <v>7.741542410123381E-2</v>
      </c>
      <c r="D9" s="3">
        <f t="shared" si="0"/>
        <v>8.0576226078843877E-2</v>
      </c>
      <c r="E9" s="3">
        <f t="shared" si="1"/>
        <v>12.410608546266483</v>
      </c>
      <c r="F9" s="32">
        <f t="shared" si="6"/>
        <v>8.2201966000354426E-2</v>
      </c>
      <c r="G9" s="8">
        <f>1-GEVCUM(KVD!$D$29,KVD!$E$29,KVD!$F$29,$A9)</f>
        <v>0.31934363171941138</v>
      </c>
      <c r="H9" s="3">
        <f t="shared" si="2"/>
        <v>0.3846976988923137</v>
      </c>
      <c r="I9" s="3">
        <f t="shared" si="3"/>
        <v>2.5994436745511296</v>
      </c>
      <c r="J9" s="13">
        <f t="shared" si="7"/>
        <v>0.3104497482057787</v>
      </c>
      <c r="K9" s="8">
        <f>1-GEVCUM(KVD!$D$30,KVD!$E$30,KVD!$F$30,$A9)</f>
        <v>0.78121086751969704</v>
      </c>
      <c r="L9" s="3">
        <f t="shared" si="8"/>
        <v>1.5196468784050328</v>
      </c>
      <c r="M9" s="3">
        <f t="shared" si="9"/>
        <v>0.65804761238319021</v>
      </c>
      <c r="N9" s="13">
        <f t="shared" si="10"/>
        <v>0.87781861501308289</v>
      </c>
      <c r="O9" s="8">
        <f>1-GEVCUM(KVD!$D$31,KVD!$E$31,KVD!$F$31,$A9)</f>
        <v>0.98570408543199106</v>
      </c>
      <c r="P9" s="3">
        <f t="shared" si="11"/>
        <v>4.2477814770795659</v>
      </c>
      <c r="Q9" s="3">
        <f t="shared" si="12"/>
        <v>0.23541700659411507</v>
      </c>
      <c r="R9" s="13">
        <f t="shared" si="15"/>
        <v>1.4844821733041744</v>
      </c>
      <c r="S9" s="8">
        <f>1-GEVCUM(KVD!$D$32,KVD!$E$32,KVD!$F$32,$A9)</f>
        <v>0.99187176073330718</v>
      </c>
      <c r="T9" s="3">
        <f t="shared" si="13"/>
        <v>4.8124109512401061</v>
      </c>
      <c r="U9" s="9">
        <f t="shared" si="14"/>
        <v>0.20779605277523336</v>
      </c>
      <c r="V9" s="32">
        <f t="shared" si="16"/>
        <v>1.5116697442115807</v>
      </c>
    </row>
    <row r="10" spans="1:22" x14ac:dyDescent="0.25">
      <c r="A10" s="23">
        <f t="shared" si="4"/>
        <v>47.5</v>
      </c>
      <c r="B10" s="13">
        <f t="shared" si="5"/>
        <v>45</v>
      </c>
      <c r="C10" s="8">
        <f>1-GEVCUM(KVD!$D$28,KVD!$E$28,KVD!$F$28,$A10)</f>
        <v>4.0438843547342729E-2</v>
      </c>
      <c r="D10" s="3">
        <f t="shared" si="0"/>
        <v>4.1279227730578238E-2</v>
      </c>
      <c r="E10" s="3">
        <f t="shared" si="1"/>
        <v>24.225259409570647</v>
      </c>
      <c r="F10" s="32">
        <f t="shared" si="6"/>
        <v>3.9296998348265638E-2</v>
      </c>
      <c r="G10" s="8">
        <f>1-GEVCUM(KVD!$D$29,KVD!$E$29,KVD!$F$29,$A10)</f>
        <v>0.19504751643822682</v>
      </c>
      <c r="H10" s="3">
        <f t="shared" si="2"/>
        <v>0.2169720299370515</v>
      </c>
      <c r="I10" s="3">
        <f t="shared" si="3"/>
        <v>4.6088889903925523</v>
      </c>
      <c r="J10" s="13">
        <f t="shared" si="7"/>
        <v>0.16772566895526217</v>
      </c>
      <c r="K10" s="8">
        <f>1-GEVCUM(KVD!$D$30,KVD!$E$30,KVD!$F$30,$A10)</f>
        <v>0.6200090991106868</v>
      </c>
      <c r="L10" s="3">
        <f t="shared" si="8"/>
        <v>0.96760797157651557</v>
      </c>
      <c r="M10" s="3">
        <f t="shared" si="9"/>
        <v>1.0334763968208203</v>
      </c>
      <c r="N10" s="13">
        <f t="shared" si="10"/>
        <v>0.5520389068285172</v>
      </c>
      <c r="O10" s="8">
        <f>1-GEVCUM(KVD!$D$31,KVD!$E$31,KVD!$F$31,$A10)</f>
        <v>0.95648170636101537</v>
      </c>
      <c r="P10" s="3">
        <f t="shared" si="11"/>
        <v>3.1345738858661667</v>
      </c>
      <c r="Q10" s="3">
        <f t="shared" si="12"/>
        <v>0.31902262840541507</v>
      </c>
      <c r="R10" s="13">
        <f t="shared" si="15"/>
        <v>1.1132075912133992</v>
      </c>
      <c r="S10" s="8">
        <f>1-GEVCUM(KVD!$D$32,KVD!$E$32,KVD!$F$32,$A10)</f>
        <v>0.9738682913967891</v>
      </c>
      <c r="T10" s="3">
        <f t="shared" si="13"/>
        <v>3.64460581302207</v>
      </c>
      <c r="U10" s="9">
        <f t="shared" si="14"/>
        <v>0.27437809499919835</v>
      </c>
      <c r="V10" s="32">
        <f t="shared" si="16"/>
        <v>1.1678051382180366</v>
      </c>
    </row>
    <row r="11" spans="1:22" x14ac:dyDescent="0.25">
      <c r="A11" s="23">
        <f t="shared" si="4"/>
        <v>52.5</v>
      </c>
      <c r="B11" s="13">
        <f t="shared" si="5"/>
        <v>50</v>
      </c>
      <c r="C11" s="8">
        <f>1-GEVCUM(KVD!$D$28,KVD!$E$28,KVD!$F$28,$A11)</f>
        <v>2.1580043366545731E-2</v>
      </c>
      <c r="D11" s="3">
        <f t="shared" si="0"/>
        <v>2.1816297603934078E-2</v>
      </c>
      <c r="E11" s="3">
        <f t="shared" si="1"/>
        <v>45.837291833591074</v>
      </c>
      <c r="F11" s="32">
        <f t="shared" si="6"/>
        <v>1.946293012664416E-2</v>
      </c>
      <c r="G11" s="8">
        <f>1-GEVCUM(KVD!$D$29,KVD!$E$29,KVD!$F$29,$A11)</f>
        <v>0.11712447395064096</v>
      </c>
      <c r="H11" s="3">
        <f t="shared" si="2"/>
        <v>0.12457105541649138</v>
      </c>
      <c r="I11" s="3">
        <f t="shared" si="3"/>
        <v>8.0275469823756076</v>
      </c>
      <c r="J11" s="13">
        <f t="shared" si="7"/>
        <v>9.2400974520560147E-2</v>
      </c>
      <c r="K11" s="8">
        <f>1-GEVCUM(KVD!$D$30,KVD!$E$30,KVD!$F$30,$A11)</f>
        <v>0.46143546692400472</v>
      </c>
      <c r="L11" s="3">
        <f t="shared" si="8"/>
        <v>0.6188479509845275</v>
      </c>
      <c r="M11" s="3">
        <f t="shared" si="9"/>
        <v>1.6159058108039241</v>
      </c>
      <c r="N11" s="13">
        <f t="shared" si="10"/>
        <v>0.34876002059198807</v>
      </c>
      <c r="O11" s="8">
        <f>1-GEVCUM(KVD!$D$31,KVD!$E$31,KVD!$F$31,$A11)</f>
        <v>0.90005719944334928</v>
      </c>
      <c r="P11" s="3">
        <f t="shared" si="11"/>
        <v>2.3031572510787623</v>
      </c>
      <c r="Q11" s="3">
        <f t="shared" si="12"/>
        <v>0.43418659300471812</v>
      </c>
      <c r="R11" s="13">
        <f t="shared" si="15"/>
        <v>0.83141663478740435</v>
      </c>
      <c r="S11" s="8">
        <f>1-GEVCUM(KVD!$D$32,KVD!$E$32,KVD!$F$32,$A11)</f>
        <v>0.93585096675570945</v>
      </c>
      <c r="T11" s="3">
        <f t="shared" si="13"/>
        <v>2.7465462582711409</v>
      </c>
      <c r="U11" s="9">
        <f t="shared" si="14"/>
        <v>0.36409363104245207</v>
      </c>
      <c r="V11" s="32">
        <f t="shared" si="16"/>
        <v>0.89805955475092869</v>
      </c>
    </row>
    <row r="12" spans="1:22" x14ac:dyDescent="0.25">
      <c r="A12" s="23">
        <f t="shared" si="4"/>
        <v>57.5</v>
      </c>
      <c r="B12" s="13">
        <f t="shared" si="5"/>
        <v>55</v>
      </c>
      <c r="C12" s="8">
        <f>1-GEVCUM(KVD!$D$28,KVD!$E$28,KVD!$F$28,$A12)</f>
        <v>1.1791757346150789E-2</v>
      </c>
      <c r="D12" s="3">
        <f t="shared" si="0"/>
        <v>1.1861831526697602E-2</v>
      </c>
      <c r="E12" s="3">
        <f t="shared" si="1"/>
        <v>84.304013064869878</v>
      </c>
      <c r="F12" s="32">
        <f t="shared" si="6"/>
        <v>9.9544660772364763E-3</v>
      </c>
      <c r="G12" s="8">
        <f>1-GEVCUM(KVD!$D$29,KVD!$E$29,KVD!$F$29,$A12)</f>
        <v>7.0145064554940739E-2</v>
      </c>
      <c r="H12" s="3">
        <f t="shared" si="2"/>
        <v>7.2726688393919395E-2</v>
      </c>
      <c r="I12" s="3">
        <f t="shared" si="3"/>
        <v>13.750110476412246</v>
      </c>
      <c r="J12" s="13">
        <f t="shared" si="7"/>
        <v>5.1844367022571988E-2</v>
      </c>
      <c r="K12" s="8">
        <f>1-GEVCUM(KVD!$D$30,KVD!$E$30,KVD!$F$30,$A12)</f>
        <v>0.32801532112142673</v>
      </c>
      <c r="L12" s="3">
        <f t="shared" si="8"/>
        <v>0.39751973800673263</v>
      </c>
      <c r="M12" s="3">
        <f t="shared" si="9"/>
        <v>2.5155983574910272</v>
      </c>
      <c r="N12" s="13">
        <f t="shared" si="10"/>
        <v>0.22132821297779487</v>
      </c>
      <c r="O12" s="8">
        <f>1-GEVCUM(KVD!$D$31,KVD!$E$31,KVD!$F$31,$A12)</f>
        <v>0.81451504086838833</v>
      </c>
      <c r="P12" s="3">
        <f t="shared" si="11"/>
        <v>1.6847814830704937</v>
      </c>
      <c r="Q12" s="3">
        <f t="shared" si="12"/>
        <v>0.59354878365443109</v>
      </c>
      <c r="R12" s="13">
        <f t="shared" si="15"/>
        <v>0.61837576800826866</v>
      </c>
      <c r="S12" s="8">
        <f>1-GEVCUM(KVD!$D$32,KVD!$E$32,KVD!$F$32,$A12)</f>
        <v>0.87244109402325087</v>
      </c>
      <c r="T12" s="3">
        <f t="shared" si="13"/>
        <v>2.0591770134155576</v>
      </c>
      <c r="U12" s="9">
        <f t="shared" si="14"/>
        <v>0.48563090666076331</v>
      </c>
      <c r="V12" s="32">
        <f t="shared" si="16"/>
        <v>0.68736924485558326</v>
      </c>
    </row>
    <row r="13" spans="1:22" x14ac:dyDescent="0.25">
      <c r="A13" s="23">
        <f t="shared" si="4"/>
        <v>62.5</v>
      </c>
      <c r="B13" s="13">
        <f t="shared" si="5"/>
        <v>60</v>
      </c>
      <c r="C13" s="8">
        <f>1-GEVCUM(KVD!$D$28,KVD!$E$28,KVD!$F$28,$A13)</f>
        <v>6.5971655720153954E-3</v>
      </c>
      <c r="D13" s="3">
        <f t="shared" si="0"/>
        <v>6.6190230534601694E-3</v>
      </c>
      <c r="E13" s="3">
        <f t="shared" si="1"/>
        <v>151.07969739994161</v>
      </c>
      <c r="F13" s="32">
        <f t="shared" si="6"/>
        <v>5.2428084732374317E-3</v>
      </c>
      <c r="G13" s="8">
        <f>1-GEVCUM(KVD!$D$29,KVD!$E$29,KVD!$F$29,$A13)</f>
        <v>4.2215912835093627E-2</v>
      </c>
      <c r="H13" s="3">
        <f t="shared" si="2"/>
        <v>4.3132905155150891E-2</v>
      </c>
      <c r="I13" s="3">
        <f t="shared" si="3"/>
        <v>23.184155957104153</v>
      </c>
      <c r="J13" s="13">
        <f t="shared" si="7"/>
        <v>2.9593783238768503E-2</v>
      </c>
      <c r="K13" s="8">
        <f>1-GEVCUM(KVD!$D$30,KVD!$E$30,KVD!$F$30,$A13)</f>
        <v>0.22619923314650969</v>
      </c>
      <c r="L13" s="3">
        <f t="shared" si="8"/>
        <v>0.2564408456933539</v>
      </c>
      <c r="M13" s="3">
        <f t="shared" si="9"/>
        <v>3.8995347925025059</v>
      </c>
      <c r="N13" s="13">
        <f t="shared" si="10"/>
        <v>0.14107889231337872</v>
      </c>
      <c r="O13" s="8">
        <f>1-GEVCUM(KVD!$D$31,KVD!$E$31,KVD!$F$31,$A13)</f>
        <v>0.70677765421207073</v>
      </c>
      <c r="P13" s="3">
        <f t="shared" si="11"/>
        <v>1.226824098408769</v>
      </c>
      <c r="Q13" s="3">
        <f t="shared" si="12"/>
        <v>0.81511277883849254</v>
      </c>
      <c r="R13" s="13">
        <f t="shared" si="15"/>
        <v>0.45795738466172464</v>
      </c>
      <c r="S13" s="8">
        <f>1-GEVCUM(KVD!$D$32,KVD!$E$32,KVD!$F$32,$A13)</f>
        <v>0.78468141038968331</v>
      </c>
      <c r="T13" s="3">
        <f t="shared" si="13"/>
        <v>1.5356365355137094</v>
      </c>
      <c r="U13" s="9">
        <f t="shared" si="14"/>
        <v>0.65119575946105934</v>
      </c>
      <c r="V13" s="32">
        <f t="shared" si="16"/>
        <v>0.52354047790184821</v>
      </c>
    </row>
    <row r="14" spans="1:22" x14ac:dyDescent="0.25">
      <c r="A14" s="23">
        <f t="shared" si="4"/>
        <v>67.5</v>
      </c>
      <c r="B14" s="13">
        <f t="shared" si="5"/>
        <v>65</v>
      </c>
      <c r="C14" s="8">
        <f>1-GEVCUM(KVD!$D$28,KVD!$E$28,KVD!$F$28,$A14)</f>
        <v>3.7754200994354337E-3</v>
      </c>
      <c r="D14" s="3">
        <f t="shared" si="0"/>
        <v>3.7825649868694251E-3</v>
      </c>
      <c r="E14" s="3">
        <f t="shared" si="1"/>
        <v>264.37087094903632</v>
      </c>
      <c r="F14" s="32">
        <f t="shared" si="6"/>
        <v>2.8364580665907451E-3</v>
      </c>
      <c r="G14" s="8">
        <f>1-GEVCUM(KVD!$D$29,KVD!$E$29,KVD!$F$29,$A14)</f>
        <v>2.5629917738567487E-2</v>
      </c>
      <c r="H14" s="3">
        <f t="shared" si="2"/>
        <v>2.5964086252561885E-2</v>
      </c>
      <c r="I14" s="3">
        <f t="shared" si="3"/>
        <v>38.514738792370544</v>
      </c>
      <c r="J14" s="13">
        <f t="shared" si="7"/>
        <v>1.7168818902589006E-2</v>
      </c>
      <c r="K14" s="8">
        <f>1-GEVCUM(KVD!$D$30,KVD!$E$30,KVD!$F$30,$A14)</f>
        <v>0.15305933516134973</v>
      </c>
      <c r="L14" s="3">
        <f t="shared" si="8"/>
        <v>0.16612464010311606</v>
      </c>
      <c r="M14" s="3">
        <f t="shared" si="9"/>
        <v>6.0195766225846148</v>
      </c>
      <c r="N14" s="13">
        <f t="shared" si="10"/>
        <v>9.0316205590237841E-2</v>
      </c>
      <c r="O14" s="8">
        <f>1-GEVCUM(KVD!$D$31,KVD!$E$31,KVD!$F$31,$A14)</f>
        <v>0.58900011800653074</v>
      </c>
      <c r="P14" s="3">
        <f t="shared" si="11"/>
        <v>0.8891623516064564</v>
      </c>
      <c r="Q14" s="3">
        <f t="shared" si="12"/>
        <v>1.1246540051918441</v>
      </c>
      <c r="R14" s="13">
        <f t="shared" si="15"/>
        <v>0.33766174680231253</v>
      </c>
      <c r="S14" s="8">
        <f>1-GEVCUM(KVD!$D$32,KVD!$E$32,KVD!$F$32,$A14)</f>
        <v>0.67982773657228068</v>
      </c>
      <c r="T14" s="3">
        <f t="shared" si="13"/>
        <v>1.1388961048207025</v>
      </c>
      <c r="U14" s="9">
        <f t="shared" si="14"/>
        <v>0.87804321725854961</v>
      </c>
      <c r="V14" s="32">
        <f t="shared" si="16"/>
        <v>0.39674043069300691</v>
      </c>
    </row>
    <row r="15" spans="1:22" x14ac:dyDescent="0.25">
      <c r="A15" s="23">
        <f t="shared" si="4"/>
        <v>72.5</v>
      </c>
      <c r="B15" s="13">
        <f t="shared" si="5"/>
        <v>70</v>
      </c>
      <c r="C15" s="8">
        <f>1-GEVCUM(KVD!$D$28,KVD!$E$28,KVD!$F$28,$A15)</f>
        <v>2.2071759145766423E-3</v>
      </c>
      <c r="D15" s="3">
        <f t="shared" si="0"/>
        <v>2.2096153174574347E-3</v>
      </c>
      <c r="E15" s="3">
        <f t="shared" si="1"/>
        <v>452.56746371159409</v>
      </c>
      <c r="F15" s="32">
        <f t="shared" si="6"/>
        <v>1.5729496694119904E-3</v>
      </c>
      <c r="G15" s="8">
        <f>1-GEVCUM(KVD!$D$29,KVD!$E$29,KVD!$F$29,$A15)</f>
        <v>1.5725085444711961E-2</v>
      </c>
      <c r="H15" s="3">
        <f t="shared" si="2"/>
        <v>1.585003623986565E-2</v>
      </c>
      <c r="I15" s="3">
        <f t="shared" si="3"/>
        <v>63.091338396111851</v>
      </c>
      <c r="J15" s="13">
        <f t="shared" si="7"/>
        <v>1.0114050012696236E-2</v>
      </c>
      <c r="K15" s="8">
        <f>1-GEVCUM(KVD!$D$30,KVD!$E$30,KVD!$F$30,$A15)</f>
        <v>0.10242623379153337</v>
      </c>
      <c r="L15" s="3">
        <f t="shared" si="8"/>
        <v>0.10805997123565599</v>
      </c>
      <c r="M15" s="3">
        <f t="shared" si="9"/>
        <v>9.2541205458884601</v>
      </c>
      <c r="N15" s="13">
        <f t="shared" si="10"/>
        <v>5.806466886746009E-2</v>
      </c>
      <c r="O15" s="8">
        <f>1-GEVCUM(KVD!$D$31,KVD!$E$31,KVD!$F$31,$A15)</f>
        <v>0.47340607882696817</v>
      </c>
      <c r="P15" s="3">
        <f t="shared" si="11"/>
        <v>0.64132557552428426</v>
      </c>
      <c r="Q15" s="3">
        <f t="shared" si="12"/>
        <v>1.5592704207726302</v>
      </c>
      <c r="R15" s="13">
        <f t="shared" si="15"/>
        <v>0.24783677608217225</v>
      </c>
      <c r="S15" s="8">
        <f>1-GEVCUM(KVD!$D$32,KVD!$E$32,KVD!$F$32,$A15)</f>
        <v>0.5682137613559447</v>
      </c>
      <c r="T15" s="3">
        <f t="shared" si="13"/>
        <v>0.83982463115440553</v>
      </c>
      <c r="U15" s="9">
        <f t="shared" si="14"/>
        <v>1.1907247809884078</v>
      </c>
      <c r="V15" s="32">
        <f t="shared" si="16"/>
        <v>0.29907147366629683</v>
      </c>
    </row>
    <row r="16" spans="1:22" x14ac:dyDescent="0.25">
      <c r="A16" s="23">
        <f t="shared" si="4"/>
        <v>77.5</v>
      </c>
      <c r="B16" s="13">
        <f t="shared" si="5"/>
        <v>75</v>
      </c>
      <c r="C16" s="8">
        <f>1-GEVCUM(KVD!$D$28,KVD!$E$28,KVD!$F$28,$A16)</f>
        <v>1.3163707030515726E-3</v>
      </c>
      <c r="D16" s="3">
        <f t="shared" si="0"/>
        <v>1.3172378800666506E-3</v>
      </c>
      <c r="E16" s="3">
        <f t="shared" si="1"/>
        <v>759.16432038031064</v>
      </c>
      <c r="F16" s="32">
        <f t="shared" si="6"/>
        <v>8.9237743739078415E-4</v>
      </c>
      <c r="G16" s="8">
        <f>1-GEVCUM(KVD!$D$29,KVD!$E$29,KVD!$F$29,$A16)</f>
        <v>9.7571991361261601E-3</v>
      </c>
      <c r="H16" s="3">
        <f t="shared" si="2"/>
        <v>9.805112525347293E-3</v>
      </c>
      <c r="I16" s="3">
        <f t="shared" si="3"/>
        <v>101.98761079129793</v>
      </c>
      <c r="J16" s="13">
        <f t="shared" si="7"/>
        <v>6.0449237145183566E-3</v>
      </c>
      <c r="K16" s="8">
        <f>1-GEVCUM(KVD!$D$30,KVD!$E$30,KVD!$F$30,$A16)</f>
        <v>6.8141434164910031E-2</v>
      </c>
      <c r="L16" s="3">
        <f t="shared" si="8"/>
        <v>7.0574229208083705E-2</v>
      </c>
      <c r="M16" s="3">
        <f t="shared" si="9"/>
        <v>14.16947816817896</v>
      </c>
      <c r="N16" s="13">
        <f t="shared" si="10"/>
        <v>3.7485742027572266E-2</v>
      </c>
      <c r="O16" s="8">
        <f>1-GEVCUM(KVD!$D$31,KVD!$E$31,KVD!$F$31,$A16)</f>
        <v>0.36888542658133372</v>
      </c>
      <c r="P16" s="3">
        <f t="shared" si="11"/>
        <v>0.46026785856750413</v>
      </c>
      <c r="Q16" s="3">
        <f t="shared" si="12"/>
        <v>2.1726479079210725</v>
      </c>
      <c r="R16" s="13">
        <f t="shared" si="15"/>
        <v>0.18105771695678013</v>
      </c>
      <c r="S16" s="8">
        <f>1-GEVCUM(KVD!$D$32,KVD!$E$32,KVD!$F$32,$A16)</f>
        <v>0.45968785850209815</v>
      </c>
      <c r="T16" s="3">
        <f t="shared" si="13"/>
        <v>0.61560826661354684</v>
      </c>
      <c r="U16" s="9">
        <f t="shared" si="14"/>
        <v>1.6244096355316786</v>
      </c>
      <c r="V16" s="32">
        <f t="shared" si="16"/>
        <v>0.2242163645408588</v>
      </c>
    </row>
    <row r="17" spans="1:22" x14ac:dyDescent="0.25">
      <c r="A17" s="23">
        <f t="shared" si="4"/>
        <v>82.5</v>
      </c>
      <c r="B17" s="13">
        <f t="shared" si="5"/>
        <v>80</v>
      </c>
      <c r="C17" s="8">
        <f>1-GEVCUM(KVD!$D$28,KVD!$E$28,KVD!$F$28,$A17)</f>
        <v>7.9985902219836813E-4</v>
      </c>
      <c r="D17" s="3">
        <f t="shared" si="0"/>
        <v>8.0017908010491428E-4</v>
      </c>
      <c r="E17" s="3">
        <f t="shared" si="1"/>
        <v>1249.7202499581549</v>
      </c>
      <c r="F17" s="32">
        <f t="shared" si="6"/>
        <v>5.1705879996173621E-4</v>
      </c>
      <c r="G17" s="8">
        <f>1-GEVCUM(KVD!$D$29,KVD!$E$29,KVD!$F$29,$A17)</f>
        <v>6.1235725833886923E-3</v>
      </c>
      <c r="H17" s="3">
        <f t="shared" si="2"/>
        <v>6.1423985481023676E-3</v>
      </c>
      <c r="I17" s="3">
        <f t="shared" si="3"/>
        <v>162.80285171481424</v>
      </c>
      <c r="J17" s="13">
        <f t="shared" si="7"/>
        <v>3.6627139772449253E-3</v>
      </c>
      <c r="K17" s="8">
        <f>1-GEVCUM(KVD!$D$30,KVD!$E$30,KVD!$F$30,$A17)</f>
        <v>4.5220536998515248E-2</v>
      </c>
      <c r="L17" s="3">
        <f t="shared" si="8"/>
        <v>4.6274893963823324E-2</v>
      </c>
      <c r="M17" s="3">
        <f t="shared" si="9"/>
        <v>21.609990090561364</v>
      </c>
      <c r="N17" s="13">
        <f t="shared" si="10"/>
        <v>2.4299335244260381E-2</v>
      </c>
      <c r="O17" s="8">
        <f>1-GEVCUM(KVD!$D$31,KVD!$E$31,KVD!$F$31,$A17)</f>
        <v>0.28009230707721777</v>
      </c>
      <c r="P17" s="3">
        <f t="shared" si="11"/>
        <v>0.32863227946482004</v>
      </c>
      <c r="Q17" s="3">
        <f t="shared" si="12"/>
        <v>3.0429147180201133</v>
      </c>
      <c r="R17" s="13">
        <f t="shared" si="15"/>
        <v>0.13163557910268409</v>
      </c>
      <c r="S17" s="8">
        <f>1-GEVCUM(KVD!$D$32,KVD!$E$32,KVD!$F$32,$A17)</f>
        <v>0.36139215749220932</v>
      </c>
      <c r="T17" s="3">
        <f t="shared" si="13"/>
        <v>0.44846471799422866</v>
      </c>
      <c r="U17" s="9">
        <f t="shared" si="14"/>
        <v>2.2298298168750681</v>
      </c>
      <c r="V17" s="32">
        <f t="shared" si="16"/>
        <v>0.16714354861931818</v>
      </c>
    </row>
    <row r="18" spans="1:22" x14ac:dyDescent="0.25">
      <c r="A18" s="23">
        <f t="shared" si="4"/>
        <v>87.5</v>
      </c>
      <c r="B18" s="13">
        <f t="shared" si="5"/>
        <v>85</v>
      </c>
      <c r="C18" s="8">
        <f>1-GEVCUM(KVD!$D$28,KVD!$E$28,KVD!$F$28,$A18)</f>
        <v>4.9454294141093591E-4</v>
      </c>
      <c r="D18" s="3">
        <f t="shared" si="0"/>
        <v>4.946652681035831E-4</v>
      </c>
      <c r="E18" s="3">
        <f t="shared" si="1"/>
        <v>2021.569057867632</v>
      </c>
      <c r="F18" s="32">
        <f t="shared" si="6"/>
        <v>3.0551381200133129E-4</v>
      </c>
      <c r="G18" s="8">
        <f>1-GEVCUM(KVD!$D$29,KVD!$E$29,KVD!$F$29,$A18)</f>
        <v>3.8865322852887907E-3</v>
      </c>
      <c r="H18" s="3">
        <f t="shared" si="2"/>
        <v>3.8941044779729041E-3</v>
      </c>
      <c r="I18" s="3">
        <f t="shared" si="3"/>
        <v>256.79845151986137</v>
      </c>
      <c r="J18" s="13">
        <f t="shared" si="7"/>
        <v>2.2482940701294631E-3</v>
      </c>
      <c r="K18" s="8">
        <f>1-GEVCUM(KVD!$D$30,KVD!$E$30,KVD!$F$30,$A18)</f>
        <v>3.0000850584518957E-2</v>
      </c>
      <c r="L18" s="3">
        <f t="shared" si="8"/>
        <v>3.0460084376349672E-2</v>
      </c>
      <c r="M18" s="3">
        <f t="shared" si="9"/>
        <v>32.829849965105048</v>
      </c>
      <c r="N18" s="13">
        <f t="shared" si="10"/>
        <v>1.5814809587473656E-2</v>
      </c>
      <c r="O18" s="8">
        <f>1-GEVCUM(KVD!$D$31,KVD!$E$31,KVD!$F$31,$A18)</f>
        <v>0.20816583681006628</v>
      </c>
      <c r="P18" s="3">
        <f t="shared" si="11"/>
        <v>0.23340329900453927</v>
      </c>
      <c r="Q18" s="3">
        <f t="shared" si="12"/>
        <v>4.2844295871779936</v>
      </c>
      <c r="R18" s="13">
        <f t="shared" si="15"/>
        <v>9.5228980460280777E-2</v>
      </c>
      <c r="S18" s="8">
        <f>1-GEVCUM(KVD!$D$32,KVD!$E$32,KVD!$F$32,$A18)</f>
        <v>0.27718463806828464</v>
      </c>
      <c r="T18" s="3">
        <f t="shared" si="13"/>
        <v>0.32460146712561411</v>
      </c>
      <c r="U18" s="9">
        <f t="shared" si="14"/>
        <v>3.0807008016788182</v>
      </c>
      <c r="V18" s="32">
        <f t="shared" si="16"/>
        <v>0.12386325086861455</v>
      </c>
    </row>
    <row r="19" spans="1:22" x14ac:dyDescent="0.25">
      <c r="A19" s="23">
        <f t="shared" si="4"/>
        <v>92.5</v>
      </c>
      <c r="B19" s="13">
        <f t="shared" si="5"/>
        <v>90</v>
      </c>
      <c r="C19" s="8">
        <f>1-GEVCUM(KVD!$D$28,KVD!$E$28,KVD!$F$28,$A19)</f>
        <v>3.107804142148396E-4</v>
      </c>
      <c r="D19" s="3">
        <f t="shared" si="0"/>
        <v>3.1082871645562218E-4</v>
      </c>
      <c r="E19" s="3">
        <f t="shared" si="1"/>
        <v>3217.2059628305692</v>
      </c>
      <c r="F19" s="32">
        <f t="shared" si="6"/>
        <v>1.8383655164796092E-4</v>
      </c>
      <c r="G19" s="8">
        <f>1-GEVCUM(KVD!$D$29,KVD!$E$29,KVD!$F$29,$A19)</f>
        <v>2.493797896093719E-3</v>
      </c>
      <c r="H19" s="3">
        <f t="shared" si="2"/>
        <v>2.4969125894216768E-3</v>
      </c>
      <c r="I19" s="3">
        <f t="shared" si="3"/>
        <v>400.49459650152005</v>
      </c>
      <c r="J19" s="13">
        <f t="shared" si="7"/>
        <v>1.3971918885512277E-3</v>
      </c>
      <c r="K19" s="8">
        <f>1-GEVCUM(KVD!$D$30,KVD!$E$30,KVD!$F$30,$A19)</f>
        <v>1.9925502395718997E-2</v>
      </c>
      <c r="L19" s="3">
        <f t="shared" si="8"/>
        <v>2.0126692243186375E-2</v>
      </c>
      <c r="M19" s="3">
        <f t="shared" si="9"/>
        <v>49.685263128050103</v>
      </c>
      <c r="N19" s="13">
        <f t="shared" si="10"/>
        <v>1.0333392133163293E-2</v>
      </c>
      <c r="O19" s="8">
        <f>1-GEVCUM(KVD!$D$31,KVD!$E$31,KVD!$F$31,$A19)</f>
        <v>0.15199144926907782</v>
      </c>
      <c r="P19" s="3">
        <f t="shared" si="11"/>
        <v>0.16486455983196485</v>
      </c>
      <c r="Q19" s="3">
        <f t="shared" si="12"/>
        <v>6.0655849930344727</v>
      </c>
      <c r="R19" s="13">
        <f t="shared" si="15"/>
        <v>6.8538739172574414E-2</v>
      </c>
      <c r="S19" s="8">
        <f>1-GEVCUM(KVD!$D$32,KVD!$E$32,KVD!$F$32,$A19)</f>
        <v>0.20814352182541063</v>
      </c>
      <c r="T19" s="3">
        <f t="shared" si="13"/>
        <v>0.2333751180150527</v>
      </c>
      <c r="U19" s="9">
        <f t="shared" si="14"/>
        <v>4.2849469493808678</v>
      </c>
      <c r="V19" s="32">
        <f t="shared" si="16"/>
        <v>9.1226349110561433E-2</v>
      </c>
    </row>
    <row r="20" spans="1:22" x14ac:dyDescent="0.25">
      <c r="A20" s="23">
        <f t="shared" si="4"/>
        <v>97.5</v>
      </c>
      <c r="B20" s="13">
        <f t="shared" si="5"/>
        <v>95</v>
      </c>
      <c r="C20" s="8">
        <f>1-GEVCUM(KVD!$D$28,KVD!$E$28,KVD!$F$28,$A20)</f>
        <v>1.9829341944821444E-4</v>
      </c>
      <c r="D20" s="3">
        <f t="shared" si="0"/>
        <v>1.9831308218768354E-4</v>
      </c>
      <c r="E20" s="3">
        <f t="shared" si="1"/>
        <v>5042.5316825725085</v>
      </c>
      <c r="F20" s="32">
        <f t="shared" si="6"/>
        <v>3.1082871645562218E-4</v>
      </c>
      <c r="G20" s="8">
        <f>1-GEVCUM(KVD!$D$29,KVD!$E$29,KVD!$F$29,$A20)</f>
        <v>1.6170913909356877E-3</v>
      </c>
      <c r="H20" s="3">
        <f t="shared" si="2"/>
        <v>1.6184002944871008E-3</v>
      </c>
      <c r="I20" s="3">
        <f t="shared" si="3"/>
        <v>617.89410407696289</v>
      </c>
      <c r="J20" s="13">
        <f t="shared" si="7"/>
        <v>8.7851229493457602E-4</v>
      </c>
      <c r="K20" s="8">
        <f>1-GEVCUM(KVD!$D$30,KVD!$E$30,KVD!$F$30,$A20)</f>
        <v>1.3260015082158683E-2</v>
      </c>
      <c r="L20" s="3">
        <f t="shared" si="8"/>
        <v>1.3348714054567824E-2</v>
      </c>
      <c r="M20" s="3">
        <f t="shared" si="9"/>
        <v>74.913583129590521</v>
      </c>
      <c r="N20" s="13">
        <f t="shared" si="10"/>
        <v>6.7779781886185518E-3</v>
      </c>
      <c r="O20" s="8">
        <f>1-GEVCUM(KVD!$D$31,KVD!$E$31,KVD!$F$31,$A20)</f>
        <v>0.10934318861031134</v>
      </c>
      <c r="P20" s="3">
        <f t="shared" si="11"/>
        <v>0.11579609811141586</v>
      </c>
      <c r="Q20" s="3">
        <f t="shared" si="12"/>
        <v>8.6358695699558652</v>
      </c>
      <c r="R20" s="13">
        <f t="shared" si="15"/>
        <v>4.9068461720549003E-2</v>
      </c>
      <c r="S20" s="8">
        <f>1-GEVCUM(KVD!$D$32,KVD!$E$32,KVD!$F$32,$A20)</f>
        <v>0.15347535051044903</v>
      </c>
      <c r="T20" s="3">
        <f t="shared" si="13"/>
        <v>0.16661595853042374</v>
      </c>
      <c r="U20" s="9">
        <f t="shared" si="14"/>
        <v>6.0018260484778354</v>
      </c>
      <c r="V20" s="32">
        <f t="shared" si="16"/>
        <v>6.6759159484628933E-2</v>
      </c>
    </row>
    <row r="21" spans="1:22" x14ac:dyDescent="0.25">
      <c r="A21" s="23">
        <f t="shared" si="4"/>
        <v>102.5</v>
      </c>
      <c r="B21" s="13">
        <f t="shared" si="5"/>
        <v>100</v>
      </c>
      <c r="C21" s="8"/>
      <c r="D21" s="3"/>
      <c r="E21" s="3"/>
      <c r="F21" s="32"/>
      <c r="G21" s="8">
        <f>1-GEVCUM(KVD!$D$29,KVD!$E$29,KVD!$F$29,$A21)</f>
        <v>1.0592612077352515E-3</v>
      </c>
      <c r="H21" s="3">
        <f t="shared" si="2"/>
        <v>1.0598226213791699E-3</v>
      </c>
      <c r="I21" s="3">
        <f t="shared" si="3"/>
        <v>943.55411917767765</v>
      </c>
      <c r="J21" s="13">
        <f t="shared" si="7"/>
        <v>5.5857767310793093E-4</v>
      </c>
      <c r="K21" s="8">
        <f>1-GEVCUM(KVD!$D$30,KVD!$E$30,KVD!$F$30,$A21)</f>
        <v>8.8465703853556343E-3</v>
      </c>
      <c r="L21" s="3">
        <f t="shared" si="8"/>
        <v>8.8859336141552739E-3</v>
      </c>
      <c r="M21" s="3">
        <f t="shared" si="9"/>
        <v>112.53741513519773</v>
      </c>
      <c r="N21" s="13">
        <f t="shared" si="10"/>
        <v>4.4627804404125497E-3</v>
      </c>
      <c r="O21" s="8">
        <f>1-GEVCUM(KVD!$D$31,KVD!$E$31,KVD!$F$31,$A21)</f>
        <v>7.7675824450794795E-2</v>
      </c>
      <c r="P21" s="3">
        <f t="shared" si="11"/>
        <v>8.0858516843724096E-2</v>
      </c>
      <c r="Q21" s="3">
        <f t="shared" si="12"/>
        <v>12.367281011754248</v>
      </c>
      <c r="R21" s="13">
        <f t="shared" si="15"/>
        <v>3.4937581267691753E-2</v>
      </c>
      <c r="S21" s="8">
        <f>1-GEVCUM(KVD!$D$32,KVD!$E$32,KVD!$F$32,$A21)</f>
        <v>0.1113818791679726</v>
      </c>
      <c r="T21" s="3">
        <f t="shared" si="13"/>
        <v>0.11808769612464044</v>
      </c>
      <c r="U21" s="9">
        <f t="shared" si="14"/>
        <v>8.4682827493264785</v>
      </c>
      <c r="V21" s="32">
        <f t="shared" si="16"/>
        <v>4.8528262405783285E-2</v>
      </c>
    </row>
    <row r="22" spans="1:22" x14ac:dyDescent="0.25">
      <c r="A22" s="23">
        <f t="shared" si="4"/>
        <v>107.5</v>
      </c>
      <c r="B22" s="13">
        <f t="shared" si="5"/>
        <v>105</v>
      </c>
      <c r="C22" s="8"/>
      <c r="D22" s="3"/>
      <c r="E22" s="3"/>
      <c r="F22" s="32"/>
      <c r="G22" s="8">
        <f>1-GEVCUM(KVD!$D$29,KVD!$E$29,KVD!$F$29,$A22)</f>
        <v>7.0062569912876516E-4</v>
      </c>
      <c r="H22" s="3">
        <f t="shared" si="2"/>
        <v>7.008712520143787E-4</v>
      </c>
      <c r="I22" s="3">
        <f t="shared" si="3"/>
        <v>1426.7955735463445</v>
      </c>
      <c r="J22" s="13">
        <f t="shared" si="7"/>
        <v>1.0598226213791699E-3</v>
      </c>
      <c r="K22" s="8">
        <f>1-GEVCUM(KVD!$D$30,KVD!$E$30,KVD!$F$30,$A22)</f>
        <v>5.9189749669767977E-3</v>
      </c>
      <c r="L22" s="3">
        <f t="shared" si="8"/>
        <v>5.9365615299286009E-3</v>
      </c>
      <c r="M22" s="3">
        <f t="shared" si="9"/>
        <v>168.44767715429154</v>
      </c>
      <c r="N22" s="13">
        <f t="shared" si="10"/>
        <v>2.949372084226673E-3</v>
      </c>
      <c r="O22" s="8">
        <f>1-GEVCUM(KVD!$D$31,KVD!$E$31,KVD!$F$31,$A22)</f>
        <v>5.4576768094159789E-2</v>
      </c>
      <c r="P22" s="3">
        <f t="shared" si="11"/>
        <v>5.6122587299118259E-2</v>
      </c>
      <c r="Q22" s="3">
        <f t="shared" si="12"/>
        <v>17.818137903555115</v>
      </c>
      <c r="R22" s="13">
        <f t="shared" si="15"/>
        <v>2.4735929544605836E-2</v>
      </c>
      <c r="S22" s="8">
        <f>1-GEVCUM(KVD!$D$32,KVD!$E$32,KVD!$F$32,$A22)</f>
        <v>7.9701615558548267E-2</v>
      </c>
      <c r="T22" s="3">
        <f t="shared" si="13"/>
        <v>8.3057330608331287E-2</v>
      </c>
      <c r="U22" s="9">
        <f t="shared" si="14"/>
        <v>12.039876464554862</v>
      </c>
      <c r="V22" s="32">
        <f t="shared" si="16"/>
        <v>3.503036551630917E-2</v>
      </c>
    </row>
    <row r="23" spans="1:22" x14ac:dyDescent="0.25">
      <c r="A23" s="23">
        <f t="shared" si="4"/>
        <v>112.5</v>
      </c>
      <c r="B23" s="13">
        <f t="shared" si="5"/>
        <v>110</v>
      </c>
      <c r="C23" s="8"/>
      <c r="D23" s="3"/>
      <c r="E23" s="3"/>
      <c r="F23" s="32"/>
      <c r="G23" s="8"/>
      <c r="H23" s="3"/>
      <c r="I23" s="3"/>
      <c r="J23" s="13"/>
      <c r="K23" s="8">
        <f>1-GEVCUM(KVD!$D$30,KVD!$E$30,KVD!$F$30,$A23)</f>
        <v>3.9723139147355147E-3</v>
      </c>
      <c r="L23" s="3">
        <f t="shared" si="8"/>
        <v>3.9802245095139572E-3</v>
      </c>
      <c r="M23" s="3">
        <f t="shared" si="9"/>
        <v>251.24210898397649</v>
      </c>
      <c r="N23" s="13">
        <f t="shared" si="10"/>
        <v>1.9563370204146438E-3</v>
      </c>
      <c r="O23" s="8">
        <f>1-GEVCUM(KVD!$D$31,KVD!$E$31,KVD!$F$31,$A23)</f>
        <v>3.7971797824679965E-2</v>
      </c>
      <c r="P23" s="3">
        <f t="shared" si="11"/>
        <v>3.8711512555580314E-2</v>
      </c>
      <c r="Q23" s="3">
        <f t="shared" si="12"/>
        <v>25.832108692840233</v>
      </c>
      <c r="R23" s="13">
        <f t="shared" si="15"/>
        <v>1.7411074743537945E-2</v>
      </c>
      <c r="S23" s="8">
        <f>1-GEVCUM(KVD!$D$32,KVD!$E$32,KVD!$F$32,$A23)</f>
        <v>5.6306998960239163E-2</v>
      </c>
      <c r="T23" s="3">
        <f t="shared" si="13"/>
        <v>5.7954376492089538E-2</v>
      </c>
      <c r="U23" s="9">
        <f t="shared" si="14"/>
        <v>17.254952266400359</v>
      </c>
      <c r="V23" s="32">
        <f t="shared" si="16"/>
        <v>2.5102954116241749E-2</v>
      </c>
    </row>
    <row r="24" spans="1:22" x14ac:dyDescent="0.25">
      <c r="A24" s="23">
        <f t="shared" si="4"/>
        <v>117.5</v>
      </c>
      <c r="B24" s="13">
        <f t="shared" si="5"/>
        <v>115</v>
      </c>
      <c r="C24" s="8"/>
      <c r="D24" s="3"/>
      <c r="E24" s="3"/>
      <c r="F24" s="32"/>
      <c r="G24" s="8"/>
      <c r="H24" s="3"/>
      <c r="I24" s="3"/>
      <c r="J24" s="13"/>
      <c r="K24" s="8">
        <f>1-GEVCUM(KVD!$D$30,KVD!$E$30,KVD!$F$30,$A24)</f>
        <v>2.6743153599799729E-3</v>
      </c>
      <c r="L24" s="3">
        <f t="shared" si="8"/>
        <v>2.6778977296518657E-3</v>
      </c>
      <c r="M24" s="3">
        <f t="shared" si="9"/>
        <v>373.42725561442666</v>
      </c>
      <c r="N24" s="13">
        <f t="shared" si="10"/>
        <v>1.3023267798620915E-3</v>
      </c>
      <c r="O24" s="8">
        <f>1-GEVCUM(KVD!$D$31,KVD!$E$31,KVD!$F$31,$A24)</f>
        <v>2.618127213911825E-2</v>
      </c>
      <c r="P24" s="3">
        <f t="shared" si="11"/>
        <v>2.6530103686196765E-2</v>
      </c>
      <c r="Q24" s="3">
        <f t="shared" si="12"/>
        <v>37.693030220620123</v>
      </c>
      <c r="R24" s="13">
        <f t="shared" si="15"/>
        <v>1.2181408869383549E-2</v>
      </c>
      <c r="S24" s="8">
        <f>1-GEVCUM(KVD!$D$32,KVD!$E$32,KVD!$F$32,$A24)</f>
        <v>3.9308790903047286E-2</v>
      </c>
      <c r="T24" s="3">
        <f t="shared" si="13"/>
        <v>4.0102244126731718E-2</v>
      </c>
      <c r="U24" s="9">
        <f t="shared" si="14"/>
        <v>24.936260345924406</v>
      </c>
      <c r="V24" s="32">
        <f t="shared" si="16"/>
        <v>1.785213236535782E-2</v>
      </c>
    </row>
    <row r="25" spans="1:22" x14ac:dyDescent="0.25">
      <c r="A25" s="23">
        <f t="shared" si="4"/>
        <v>122.5</v>
      </c>
      <c r="B25" s="13">
        <f t="shared" si="5"/>
        <v>120</v>
      </c>
      <c r="C25" s="8"/>
      <c r="D25" s="3"/>
      <c r="E25" s="3"/>
      <c r="F25" s="32"/>
      <c r="G25" s="8"/>
      <c r="H25" s="3"/>
      <c r="I25" s="3"/>
      <c r="J25" s="13"/>
      <c r="K25" s="8">
        <f>1-GEVCUM(KVD!$D$30,KVD!$E$30,KVD!$F$30,$A25)</f>
        <v>1.806240352917321E-3</v>
      </c>
      <c r="L25" s="3">
        <f t="shared" si="8"/>
        <v>1.8078735719773288E-3</v>
      </c>
      <c r="M25" s="3">
        <f t="shared" si="9"/>
        <v>553.13602427755404</v>
      </c>
      <c r="N25" s="13">
        <f t="shared" si="10"/>
        <v>2.6778977296518657E-3</v>
      </c>
      <c r="O25" s="8">
        <f>1-GEVCUM(KVD!$D$31,KVD!$E$31,KVD!$F$31,$A25)</f>
        <v>1.7898596629995489E-2</v>
      </c>
      <c r="P25" s="3">
        <f t="shared" si="11"/>
        <v>1.8060713871252559E-2</v>
      </c>
      <c r="Q25" s="3">
        <f t="shared" si="12"/>
        <v>55.368796999309716</v>
      </c>
      <c r="R25" s="13">
        <f t="shared" si="15"/>
        <v>8.4693898149442066E-3</v>
      </c>
      <c r="S25" s="8">
        <f>1-GEVCUM(KVD!$D$32,KVD!$E$32,KVD!$F$32,$A25)</f>
        <v>2.7132732773087809E-2</v>
      </c>
      <c r="T25" s="3">
        <f t="shared" si="13"/>
        <v>2.7507622106870511E-2</v>
      </c>
      <c r="U25" s="9">
        <f t="shared" si="14"/>
        <v>36.353560337381268</v>
      </c>
      <c r="V25" s="32">
        <f t="shared" si="16"/>
        <v>1.2594622019861206E-2</v>
      </c>
    </row>
    <row r="26" spans="1:22" x14ac:dyDescent="0.25">
      <c r="A26" s="23">
        <f t="shared" si="4"/>
        <v>127.5</v>
      </c>
      <c r="B26" s="13">
        <f t="shared" si="5"/>
        <v>125</v>
      </c>
      <c r="C26" s="8"/>
      <c r="D26" s="3"/>
      <c r="E26" s="3"/>
      <c r="F26" s="32"/>
      <c r="G26" s="8"/>
      <c r="H26" s="3"/>
      <c r="I26" s="3"/>
      <c r="J26" s="13"/>
      <c r="K26" s="8"/>
      <c r="L26" s="3"/>
      <c r="M26" s="3"/>
      <c r="N26" s="13"/>
      <c r="O26" s="8">
        <f>1-GEVCUM(KVD!$D$31,KVD!$E$31,KVD!$F$31,$A26)</f>
        <v>1.2135977623876082E-2</v>
      </c>
      <c r="P26" s="3">
        <f t="shared" si="11"/>
        <v>1.2210219879996716E-2</v>
      </c>
      <c r="Q26" s="3">
        <f t="shared" si="12"/>
        <v>81.898607054426691</v>
      </c>
      <c r="R26" s="13">
        <f t="shared" si="15"/>
        <v>5.850493991255843E-3</v>
      </c>
      <c r="S26" s="8">
        <f>1-GEVCUM(KVD!$D$32,KVD!$E$32,KVD!$F$32,$A26)</f>
        <v>1.8522561065665188E-2</v>
      </c>
      <c r="T26" s="3">
        <f t="shared" si="13"/>
        <v>1.8696251842256054E-2</v>
      </c>
      <c r="U26" s="9">
        <f t="shared" si="14"/>
        <v>53.486656493354722</v>
      </c>
      <c r="V26" s="32">
        <f t="shared" si="16"/>
        <v>8.8113702646144577E-3</v>
      </c>
    </row>
    <row r="27" spans="1:22" x14ac:dyDescent="0.25">
      <c r="A27" s="23">
        <f t="shared" si="4"/>
        <v>132.5</v>
      </c>
      <c r="B27" s="13">
        <f t="shared" si="5"/>
        <v>130</v>
      </c>
      <c r="C27" s="8"/>
      <c r="D27" s="3"/>
      <c r="E27" s="3"/>
      <c r="F27" s="32"/>
      <c r="G27" s="8"/>
      <c r="H27" s="3"/>
      <c r="I27" s="3"/>
      <c r="J27" s="13"/>
      <c r="K27" s="8"/>
      <c r="L27" s="3"/>
      <c r="M27" s="3"/>
      <c r="N27" s="13"/>
      <c r="O27" s="8">
        <f>1-GEVCUM(KVD!$D$31,KVD!$E$31,KVD!$F$31,$A27)</f>
        <v>8.1623623297994996E-3</v>
      </c>
      <c r="P27" s="3">
        <f t="shared" si="11"/>
        <v>8.1958567963661064E-3</v>
      </c>
      <c r="Q27" s="3">
        <f t="shared" si="12"/>
        <v>122.01286880017008</v>
      </c>
      <c r="R27" s="13">
        <f t="shared" si="15"/>
        <v>4.0143630836306093E-3</v>
      </c>
      <c r="S27" s="8">
        <f>1-GEVCUM(KVD!$D$32,KVD!$E$32,KVD!$F$32,$A27)</f>
        <v>1.250675025223702E-2</v>
      </c>
      <c r="T27" s="3">
        <f t="shared" si="13"/>
        <v>1.258561792869148E-2</v>
      </c>
      <c r="U27" s="9">
        <f t="shared" si="14"/>
        <v>79.455772904109566</v>
      </c>
      <c r="V27" s="32">
        <f t="shared" si="16"/>
        <v>6.1106339135645737E-3</v>
      </c>
    </row>
    <row r="28" spans="1:22" x14ac:dyDescent="0.25">
      <c r="A28" s="23">
        <f t="shared" si="4"/>
        <v>137.5</v>
      </c>
      <c r="B28" s="13">
        <f t="shared" si="5"/>
        <v>135</v>
      </c>
      <c r="C28" s="8"/>
      <c r="D28" s="3"/>
      <c r="E28" s="3"/>
      <c r="F28" s="32"/>
      <c r="G28" s="8"/>
      <c r="H28" s="3"/>
      <c r="I28" s="3"/>
      <c r="J28" s="13"/>
      <c r="K28" s="8"/>
      <c r="L28" s="3"/>
      <c r="M28" s="3"/>
      <c r="N28" s="13"/>
      <c r="O28" s="8">
        <f>1-GEVCUM(KVD!$D$31,KVD!$E$31,KVD!$F$31,$A28)</f>
        <v>5.4456016398360951E-3</v>
      </c>
      <c r="P28" s="3">
        <f t="shared" si="11"/>
        <v>5.4604829782613868E-3</v>
      </c>
      <c r="Q28" s="3">
        <f t="shared" si="12"/>
        <v>183.13398356538769</v>
      </c>
      <c r="R28" s="13">
        <f t="shared" si="15"/>
        <v>2.7353738181047195E-3</v>
      </c>
      <c r="S28" s="8">
        <f>1-GEVCUM(KVD!$D$32,KVD!$E$32,KVD!$F$32,$A28)</f>
        <v>8.3517838985697201E-3</v>
      </c>
      <c r="T28" s="3">
        <f t="shared" si="13"/>
        <v>8.3868554556062336E-3</v>
      </c>
      <c r="U28" s="9">
        <f t="shared" si="14"/>
        <v>119.23419990880434</v>
      </c>
      <c r="V28" s="32">
        <f t="shared" si="16"/>
        <v>4.1987624730852463E-3</v>
      </c>
    </row>
    <row r="29" spans="1:22" x14ac:dyDescent="0.25">
      <c r="A29" s="23">
        <f t="shared" si="4"/>
        <v>142.5</v>
      </c>
      <c r="B29" s="13">
        <f t="shared" si="5"/>
        <v>140</v>
      </c>
      <c r="C29" s="8"/>
      <c r="D29" s="3"/>
      <c r="E29" s="3"/>
      <c r="F29" s="32"/>
      <c r="G29" s="8"/>
      <c r="H29" s="3"/>
      <c r="I29" s="3"/>
      <c r="J29" s="13"/>
      <c r="K29" s="8"/>
      <c r="L29" s="3"/>
      <c r="M29" s="3"/>
      <c r="N29" s="13"/>
      <c r="O29" s="8">
        <f>1-GEVCUM(KVD!$D$31,KVD!$E$31,KVD!$F$31,$A29)</f>
        <v>3.6035185648291002E-3</v>
      </c>
      <c r="P29" s="3">
        <f t="shared" si="11"/>
        <v>3.6100268777745116E-3</v>
      </c>
      <c r="Q29" s="3">
        <f t="shared" si="12"/>
        <v>277.00624783615854</v>
      </c>
      <c r="R29" s="13">
        <f t="shared" si="15"/>
        <v>1.8504561004868752E-3</v>
      </c>
      <c r="S29" s="8">
        <f>1-GEVCUM(KVD!$D$32,KVD!$E$32,KVD!$F$32,$A29)</f>
        <v>5.5143900954324199E-3</v>
      </c>
      <c r="T29" s="3">
        <f t="shared" si="13"/>
        <v>5.5296504714620505E-3</v>
      </c>
      <c r="U29" s="9">
        <f t="shared" si="14"/>
        <v>180.84325675933692</v>
      </c>
      <c r="V29" s="32">
        <f t="shared" si="16"/>
        <v>2.8572049841441832E-3</v>
      </c>
    </row>
    <row r="30" spans="1:22" x14ac:dyDescent="0.25">
      <c r="A30" s="23">
        <f t="shared" si="4"/>
        <v>147.5</v>
      </c>
      <c r="B30" s="13">
        <f t="shared" si="5"/>
        <v>145</v>
      </c>
      <c r="C30" s="8"/>
      <c r="D30" s="3"/>
      <c r="E30" s="3"/>
      <c r="F30" s="32"/>
      <c r="G30" s="8"/>
      <c r="H30" s="3"/>
      <c r="I30" s="3"/>
      <c r="J30" s="13"/>
      <c r="K30" s="8"/>
      <c r="L30" s="3"/>
      <c r="M30" s="3"/>
      <c r="N30" s="13"/>
      <c r="O30" s="8">
        <f>1-GEVCUM(KVD!$D$31,KVD!$E$31,KVD!$F$31,$A30)</f>
        <v>2.3647660331993503E-3</v>
      </c>
      <c r="P30" s="3">
        <f t="shared" si="11"/>
        <v>2.3675665082452122E-3</v>
      </c>
      <c r="Q30" s="3">
        <f t="shared" si="12"/>
        <v>422.3746182071049</v>
      </c>
      <c r="R30" s="13">
        <f t="shared" si="15"/>
        <v>1.2424603695292994E-3</v>
      </c>
      <c r="S30" s="8">
        <f>1-GEVCUM(KVD!$D$32,KVD!$E$32,KVD!$F$32,$A30)</f>
        <v>3.5986377592212015E-3</v>
      </c>
      <c r="T30" s="3">
        <f t="shared" si="13"/>
        <v>3.6051284324822332E-3</v>
      </c>
      <c r="U30" s="9">
        <f t="shared" si="14"/>
        <v>277.38262831082324</v>
      </c>
      <c r="V30" s="32">
        <f t="shared" si="16"/>
        <v>1.9245220389798178E-3</v>
      </c>
    </row>
    <row r="31" spans="1:22" x14ac:dyDescent="0.25">
      <c r="A31" s="23">
        <f t="shared" si="4"/>
        <v>152.5</v>
      </c>
      <c r="B31" s="13">
        <f t="shared" si="5"/>
        <v>150</v>
      </c>
      <c r="C31" s="8"/>
      <c r="D31" s="3"/>
      <c r="E31" s="3"/>
      <c r="F31" s="32"/>
      <c r="G31" s="8"/>
      <c r="H31" s="3"/>
      <c r="I31" s="3"/>
      <c r="J31" s="13"/>
      <c r="K31" s="8"/>
      <c r="L31" s="3"/>
      <c r="M31" s="3"/>
      <c r="N31" s="13"/>
      <c r="O31" s="8">
        <f>1-GEVCUM(KVD!$D$31,KVD!$E$31,KVD!$F$31,$A31)</f>
        <v>1.5386291203196567E-3</v>
      </c>
      <c r="P31" s="3">
        <f t="shared" si="11"/>
        <v>1.5398140256805012E-3</v>
      </c>
      <c r="Q31" s="3">
        <f t="shared" si="12"/>
        <v>649.42907605875507</v>
      </c>
      <c r="R31" s="13">
        <f t="shared" si="15"/>
        <v>8.2775248256471102E-4</v>
      </c>
      <c r="S31" s="8">
        <f>1-GEVCUM(KVD!$D$32,KVD!$E$32,KVD!$F$32,$A31)</f>
        <v>2.320031979361814E-3</v>
      </c>
      <c r="T31" s="3">
        <f t="shared" si="13"/>
        <v>2.3227274233723321E-3</v>
      </c>
      <c r="U31" s="9">
        <f t="shared" si="14"/>
        <v>430.52834781108987</v>
      </c>
      <c r="V31" s="32">
        <f t="shared" si="16"/>
        <v>1.2824010091099006E-3</v>
      </c>
    </row>
    <row r="32" spans="1:22" x14ac:dyDescent="0.25">
      <c r="A32" s="23">
        <f t="shared" si="4"/>
        <v>157.5</v>
      </c>
      <c r="B32" s="13">
        <f t="shared" si="5"/>
        <v>155</v>
      </c>
      <c r="C32" s="8"/>
      <c r="D32" s="3"/>
      <c r="E32" s="3"/>
      <c r="F32" s="32"/>
      <c r="G32" s="8"/>
      <c r="H32" s="3"/>
      <c r="I32" s="3"/>
      <c r="J32" s="13"/>
      <c r="K32" s="8"/>
      <c r="L32" s="3"/>
      <c r="M32" s="3"/>
      <c r="N32" s="13"/>
      <c r="O32" s="8">
        <f>1-GEVCUM(KVD!$D$31,KVD!$E$31,KVD!$F$31,$A32)</f>
        <v>9.9230850571974116E-4</v>
      </c>
      <c r="P32" s="3">
        <f t="shared" si="11"/>
        <v>9.928011697484388E-4</v>
      </c>
      <c r="Q32" s="3">
        <f t="shared" si="12"/>
        <v>1007.2510291797755</v>
      </c>
      <c r="R32" s="13">
        <f t="shared" si="15"/>
        <v>1.5398140256805012E-3</v>
      </c>
      <c r="S32" s="8">
        <f>1-GEVCUM(KVD!$D$32,KVD!$E$32,KVD!$F$32,$A32)</f>
        <v>1.4767811692787403E-3</v>
      </c>
      <c r="T32" s="3">
        <f t="shared" si="13"/>
        <v>1.4778726853423066E-3</v>
      </c>
      <c r="U32" s="9">
        <f t="shared" si="14"/>
        <v>676.64827283033435</v>
      </c>
      <c r="V32" s="32">
        <f t="shared" si="16"/>
        <v>8.4485473803002547E-4</v>
      </c>
    </row>
    <row r="33" spans="1:22" x14ac:dyDescent="0.25">
      <c r="A33" s="23">
        <f t="shared" si="4"/>
        <v>162.5</v>
      </c>
      <c r="B33" s="13">
        <f t="shared" si="5"/>
        <v>160</v>
      </c>
      <c r="C33" s="8"/>
      <c r="D33" s="3"/>
      <c r="E33" s="3"/>
      <c r="F33" s="32"/>
      <c r="G33" s="8"/>
      <c r="H33" s="3"/>
      <c r="I33" s="3"/>
      <c r="J33" s="13"/>
      <c r="K33" s="8"/>
      <c r="L33" s="3"/>
      <c r="M33" s="3"/>
      <c r="N33" s="13"/>
      <c r="O33" s="8"/>
      <c r="P33" s="3"/>
      <c r="Q33" s="3"/>
      <c r="R33" s="13"/>
      <c r="S33" s="8">
        <f>1-GEVCUM(KVD!$D$32,KVD!$E$32,KVD!$F$32,$A33)</f>
        <v>9.2750575317446238E-4</v>
      </c>
      <c r="T33" s="3">
        <f t="shared" si="13"/>
        <v>9.2793615278820697E-4</v>
      </c>
      <c r="U33" s="9">
        <f t="shared" si="14"/>
        <v>1077.660350871404</v>
      </c>
      <c r="V33" s="32">
        <f t="shared" si="16"/>
        <v>1.4778726853423066E-3</v>
      </c>
    </row>
    <row r="34" spans="1:22" x14ac:dyDescent="0.25">
      <c r="A34" s="23">
        <f t="shared" si="4"/>
        <v>167.5</v>
      </c>
      <c r="B34" s="13">
        <f t="shared" si="5"/>
        <v>165</v>
      </c>
      <c r="C34" s="8"/>
      <c r="D34" s="3"/>
      <c r="E34" s="3"/>
      <c r="F34" s="32"/>
      <c r="G34" s="8"/>
      <c r="H34" s="3"/>
      <c r="I34" s="3"/>
      <c r="J34" s="13"/>
      <c r="K34" s="8"/>
      <c r="L34" s="3"/>
      <c r="M34" s="3"/>
      <c r="N34" s="13"/>
      <c r="O34" s="8"/>
      <c r="P34" s="3"/>
      <c r="Q34" s="3"/>
      <c r="R34" s="13"/>
      <c r="S34" s="8"/>
      <c r="T34" s="3"/>
      <c r="U34" s="9"/>
      <c r="V34" s="32"/>
    </row>
    <row r="35" spans="1:22" x14ac:dyDescent="0.25">
      <c r="A35" s="23">
        <f t="shared" si="4"/>
        <v>172.5</v>
      </c>
      <c r="B35" s="13">
        <f t="shared" si="5"/>
        <v>170</v>
      </c>
      <c r="C35" s="8"/>
      <c r="D35" s="3"/>
      <c r="E35" s="3"/>
      <c r="F35" s="32"/>
      <c r="G35" s="8"/>
      <c r="H35" s="3"/>
      <c r="I35" s="3"/>
      <c r="J35" s="13"/>
      <c r="K35" s="8"/>
      <c r="L35" s="3"/>
      <c r="M35" s="3"/>
      <c r="N35" s="13"/>
      <c r="O35" s="8"/>
      <c r="P35" s="3"/>
      <c r="Q35" s="3"/>
      <c r="R35" s="13"/>
      <c r="S35" s="8"/>
      <c r="T35" s="3"/>
      <c r="U35" s="9"/>
      <c r="V35" s="32"/>
    </row>
    <row r="36" spans="1:22" x14ac:dyDescent="0.25">
      <c r="A36" s="23">
        <f t="shared" si="4"/>
        <v>177.5</v>
      </c>
      <c r="B36" s="13">
        <f t="shared" si="5"/>
        <v>175</v>
      </c>
      <c r="C36" s="8"/>
      <c r="D36" s="3"/>
      <c r="E36" s="3"/>
      <c r="F36" s="32"/>
      <c r="G36" s="8"/>
      <c r="H36" s="3"/>
      <c r="I36" s="3"/>
      <c r="J36" s="13"/>
      <c r="K36" s="8"/>
      <c r="L36" s="3"/>
      <c r="M36" s="3"/>
      <c r="N36" s="13"/>
      <c r="O36" s="8"/>
      <c r="P36" s="3"/>
      <c r="Q36" s="3"/>
      <c r="R36" s="13"/>
      <c r="S36" s="8"/>
      <c r="T36" s="3"/>
      <c r="U36" s="9"/>
      <c r="V36" s="32"/>
    </row>
    <row r="37" spans="1:22" x14ac:dyDescent="0.25">
      <c r="A37" s="14">
        <f t="shared" si="4"/>
        <v>182.5</v>
      </c>
      <c r="B37" s="15">
        <f t="shared" si="5"/>
        <v>180</v>
      </c>
      <c r="C37" s="10"/>
      <c r="D37" s="4"/>
      <c r="E37" s="4"/>
      <c r="F37" s="33"/>
      <c r="G37" s="10"/>
      <c r="H37" s="4"/>
      <c r="I37" s="4"/>
      <c r="J37" s="15"/>
      <c r="K37" s="10"/>
      <c r="L37" s="4"/>
      <c r="M37" s="4"/>
      <c r="N37" s="15"/>
      <c r="O37" s="8"/>
      <c r="P37" s="3"/>
      <c r="Q37" s="3"/>
      <c r="R37" s="13"/>
      <c r="S37" s="8"/>
      <c r="T37" s="3"/>
      <c r="U37" s="9"/>
      <c r="V37" s="32"/>
    </row>
    <row r="38" spans="1:22" x14ac:dyDescent="0.25">
      <c r="A38" s="14">
        <f t="shared" si="4"/>
        <v>187.5</v>
      </c>
      <c r="B38" s="15">
        <f t="shared" si="5"/>
        <v>185</v>
      </c>
      <c r="O38" s="8"/>
      <c r="P38" s="3"/>
      <c r="Q38" s="3"/>
      <c r="R38" s="13"/>
      <c r="S38" s="8"/>
      <c r="T38" s="3"/>
      <c r="U38" s="9"/>
      <c r="V38" s="32"/>
    </row>
    <row r="39" spans="1:22" x14ac:dyDescent="0.25">
      <c r="A39" s="14">
        <f t="shared" si="4"/>
        <v>192.5</v>
      </c>
      <c r="B39" s="15">
        <f t="shared" si="5"/>
        <v>190</v>
      </c>
      <c r="O39" s="8"/>
      <c r="P39" s="3"/>
      <c r="Q39" s="3"/>
      <c r="R39" s="13"/>
      <c r="S39" s="8"/>
      <c r="T39" s="3"/>
      <c r="U39" s="9"/>
      <c r="V39" s="32"/>
    </row>
    <row r="40" spans="1:22" x14ac:dyDescent="0.25">
      <c r="A40" s="14">
        <f t="shared" si="4"/>
        <v>197.5</v>
      </c>
      <c r="B40" s="15">
        <f t="shared" si="5"/>
        <v>195</v>
      </c>
      <c r="S40" s="8"/>
      <c r="T40" s="3"/>
      <c r="U40" s="9"/>
      <c r="V40" s="32"/>
    </row>
  </sheetData>
  <mergeCells count="11">
    <mergeCell ref="S2:U2"/>
    <mergeCell ref="A1:B2"/>
    <mergeCell ref="C1:F1"/>
    <mergeCell ref="G1:J1"/>
    <mergeCell ref="K1:N1"/>
    <mergeCell ref="O1:R1"/>
    <mergeCell ref="S1:V1"/>
    <mergeCell ref="C2:E2"/>
    <mergeCell ref="G2:I2"/>
    <mergeCell ref="K2:M2"/>
    <mergeCell ref="O2:Q2"/>
  </mergeCells>
  <pageMargins left="0.7" right="0.7" top="0.75" bottom="0.75" header="0.3" footer="0.3"/>
  <pageSetup paperSize="0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Blad10">
    <tabColor theme="8" tint="-0.249977111117893"/>
  </sheetPr>
  <dimension ref="A1:V40"/>
  <sheetViews>
    <sheetView topLeftCell="I1" workbookViewId="0">
      <selection activeCell="V6" sqref="V6"/>
    </sheetView>
  </sheetViews>
  <sheetFormatPr defaultColWidth="9.140625" defaultRowHeight="15" x14ac:dyDescent="0.25"/>
  <cols>
    <col min="1" max="1" width="11.42578125" bestFit="1" customWidth="1"/>
    <col min="2" max="2" width="14" bestFit="1" customWidth="1"/>
    <col min="4" max="4" width="12.28515625" style="19" bestFit="1" customWidth="1"/>
    <col min="5" max="5" width="12" style="19" bestFit="1" customWidth="1"/>
    <col min="6" max="6" width="14.7109375" bestFit="1" customWidth="1"/>
    <col min="8" max="8" width="12.28515625" bestFit="1" customWidth="1"/>
    <col min="9" max="9" width="12" bestFit="1" customWidth="1"/>
    <col min="10" max="10" width="13.7109375" bestFit="1" customWidth="1"/>
    <col min="12" max="12" width="12.28515625" bestFit="1" customWidth="1"/>
    <col min="13" max="13" width="18.85546875" bestFit="1" customWidth="1"/>
    <col min="14" max="14" width="14.7109375" bestFit="1" customWidth="1"/>
    <col min="15" max="15" width="7.7109375" bestFit="1" customWidth="1"/>
    <col min="16" max="16" width="12.28515625" bestFit="1" customWidth="1"/>
    <col min="17" max="17" width="16.42578125" bestFit="1" customWidth="1"/>
    <col min="18" max="18" width="14.7109375" bestFit="1" customWidth="1"/>
    <col min="19" max="19" width="7.7109375" bestFit="1" customWidth="1"/>
    <col min="20" max="20" width="12.28515625" bestFit="1" customWidth="1"/>
    <col min="21" max="21" width="11.42578125" bestFit="1" customWidth="1"/>
    <col min="22" max="22" width="14.7109375" bestFit="1" customWidth="1"/>
  </cols>
  <sheetData>
    <row r="1" spans="1:22" x14ac:dyDescent="0.25">
      <c r="A1" s="50" t="s">
        <v>15</v>
      </c>
      <c r="B1" s="51"/>
      <c r="C1" s="63">
        <v>24</v>
      </c>
      <c r="D1" s="64"/>
      <c r="E1" s="64"/>
      <c r="F1" s="65"/>
      <c r="G1" s="66">
        <v>48</v>
      </c>
      <c r="H1" s="67"/>
      <c r="I1" s="67"/>
      <c r="J1" s="68"/>
      <c r="K1" s="66">
        <v>96</v>
      </c>
      <c r="L1" s="67"/>
      <c r="M1" s="67"/>
      <c r="N1" s="68"/>
      <c r="O1" s="66">
        <v>192</v>
      </c>
      <c r="P1" s="67"/>
      <c r="Q1" s="67"/>
      <c r="R1" s="68"/>
      <c r="S1" s="60">
        <v>216</v>
      </c>
      <c r="T1" s="61"/>
      <c r="U1" s="61"/>
      <c r="V1" s="62"/>
    </row>
    <row r="2" spans="1:22" x14ac:dyDescent="0.25">
      <c r="A2" s="52"/>
      <c r="B2" s="53"/>
      <c r="C2" s="57" t="s">
        <v>9</v>
      </c>
      <c r="D2" s="58"/>
      <c r="E2" s="59"/>
      <c r="F2" s="30">
        <f>24/24*365.25</f>
        <v>365.25</v>
      </c>
      <c r="G2" s="54" t="s">
        <v>9</v>
      </c>
      <c r="H2" s="55"/>
      <c r="I2" s="56"/>
      <c r="J2" s="30">
        <f>24/48*365.25</f>
        <v>182.625</v>
      </c>
      <c r="K2" s="54" t="s">
        <v>9</v>
      </c>
      <c r="L2" s="55"/>
      <c r="M2" s="56"/>
      <c r="N2" s="30">
        <f>24/96*365.25</f>
        <v>91.3125</v>
      </c>
      <c r="O2" s="54" t="s">
        <v>9</v>
      </c>
      <c r="P2" s="55"/>
      <c r="Q2" s="56"/>
      <c r="R2" s="30">
        <f>24/192*365.25</f>
        <v>45.65625</v>
      </c>
      <c r="S2" s="54" t="s">
        <v>9</v>
      </c>
      <c r="T2" s="55"/>
      <c r="U2" s="56"/>
      <c r="V2" s="30">
        <f>24/216*365.25</f>
        <v>40.583333333333329</v>
      </c>
    </row>
    <row r="3" spans="1:22" x14ac:dyDescent="0.25">
      <c r="A3" s="24" t="s">
        <v>12</v>
      </c>
      <c r="B3" s="27" t="s">
        <v>14</v>
      </c>
      <c r="C3" s="24" t="s">
        <v>8</v>
      </c>
      <c r="D3" s="25" t="s">
        <v>10</v>
      </c>
      <c r="E3" s="26" t="s">
        <v>17</v>
      </c>
      <c r="F3" s="36" t="s">
        <v>13</v>
      </c>
      <c r="G3" s="24" t="s">
        <v>8</v>
      </c>
      <c r="H3" s="25" t="s">
        <v>10</v>
      </c>
      <c r="I3" s="26" t="s">
        <v>17</v>
      </c>
      <c r="J3" s="29" t="s">
        <v>13</v>
      </c>
      <c r="K3" s="24" t="s">
        <v>8</v>
      </c>
      <c r="L3" s="25" t="s">
        <v>10</v>
      </c>
      <c r="M3" s="26" t="s">
        <v>17</v>
      </c>
      <c r="N3" s="29" t="s">
        <v>13</v>
      </c>
      <c r="O3" s="24" t="s">
        <v>8</v>
      </c>
      <c r="P3" s="25" t="s">
        <v>10</v>
      </c>
      <c r="Q3" s="26" t="s">
        <v>17</v>
      </c>
      <c r="R3" s="29" t="s">
        <v>13</v>
      </c>
      <c r="S3" s="24" t="s">
        <v>8</v>
      </c>
      <c r="T3" s="25" t="s">
        <v>10</v>
      </c>
      <c r="U3" s="26" t="s">
        <v>17</v>
      </c>
      <c r="V3" s="29" t="s">
        <v>13</v>
      </c>
    </row>
    <row r="4" spans="1:22" x14ac:dyDescent="0.25">
      <c r="A4" s="34">
        <v>17.5</v>
      </c>
      <c r="B4" s="12">
        <f>A4-2.5</f>
        <v>15</v>
      </c>
      <c r="C4" s="8">
        <f>1-GEVCUM(KVD!$D$33,KVD!$E$33,KVD!$F$33,$A4)</f>
        <v>0.99970225759972264</v>
      </c>
      <c r="D4" s="3">
        <f t="shared" ref="D4:D22" si="0">-LN(1-C4)</f>
        <v>8.1192818738921968</v>
      </c>
      <c r="E4" s="3">
        <f t="shared" ref="E4:E22" si="1">1/D4</f>
        <v>0.12316360184704649</v>
      </c>
      <c r="F4" s="31">
        <f>KLASSEFREQUENTIEUITHERHALINGSTIJD(F$2,E3,E4,E5)</f>
        <v>357.13071812610781</v>
      </c>
      <c r="G4" s="8">
        <f>1-GEVCUM(KVD!$D$34,KVD!$E$34,KVD!$F$34,$A4)</f>
        <v>0.99999728104718943</v>
      </c>
      <c r="H4" s="2">
        <f t="shared" ref="H4:H23" si="2">-LN(1-G4)</f>
        <v>12.815263747902087</v>
      </c>
      <c r="I4" s="2">
        <f t="shared" ref="I4:I23" si="3">1/H4</f>
        <v>7.8031948438338175E-2</v>
      </c>
      <c r="J4" s="12">
        <f>KLASSEFREQUENTIEUITHERHALINGSTIJD(J$2,I3,I4,I5)</f>
        <v>169.80973625209791</v>
      </c>
      <c r="K4" s="35"/>
      <c r="L4" s="2"/>
      <c r="M4" s="2"/>
      <c r="N4" s="12"/>
      <c r="O4" s="35"/>
      <c r="P4" s="2"/>
      <c r="Q4" s="2"/>
      <c r="R4" s="12"/>
      <c r="S4" s="35"/>
      <c r="T4" s="2"/>
      <c r="U4" s="37"/>
      <c r="V4" s="31"/>
    </row>
    <row r="5" spans="1:22" x14ac:dyDescent="0.25">
      <c r="A5" s="23">
        <f t="shared" ref="A5:A40" si="4">A4+5</f>
        <v>22.5</v>
      </c>
      <c r="B5" s="13">
        <f t="shared" ref="B5:B40" si="5">A5-2.5</f>
        <v>20</v>
      </c>
      <c r="C5" s="8">
        <f>1-GEVCUM(KVD!$D$33,KVD!$E$33,KVD!$F$33,$A5)</f>
        <v>0.98899097383842771</v>
      </c>
      <c r="D5" s="3">
        <f t="shared" si="0"/>
        <v>4.5090397825162523</v>
      </c>
      <c r="E5" s="3">
        <f t="shared" si="1"/>
        <v>0.22177670817576017</v>
      </c>
      <c r="F5" s="32">
        <f t="shared" ref="F5:F22" si="6">KLASSEFREQUENTIEUITHERHALINGSTIJD(F$2,E4,E5,E6)</f>
        <v>3.6102420913759445</v>
      </c>
      <c r="G5" s="8">
        <f>1-GEVCUM(KVD!$D$34,KVD!$E$34,KVD!$F$34,$A5)</f>
        <v>0.99961277347305477</v>
      </c>
      <c r="H5" s="3">
        <f t="shared" si="2"/>
        <v>7.8565006952359395</v>
      </c>
      <c r="I5" s="3">
        <f t="shared" si="3"/>
        <v>0.12728313008441336</v>
      </c>
      <c r="J5" s="13">
        <f t="shared" ref="J5:J23" si="7">KLASSEFREQUENTIEUITHERHALINGSTIJD(J$2,I4,I5,I6)</f>
        <v>4.9587630526661481</v>
      </c>
      <c r="K5" s="8">
        <f>1-GEVCUM(KVD!$D$35,KVD!$E$35,KVD!$F$35,$A5)</f>
        <v>0.99999134857778571</v>
      </c>
      <c r="L5" s="3">
        <f t="shared" ref="L5:L25" si="8">-LN(1-K5)</f>
        <v>11.657786832698656</v>
      </c>
      <c r="M5" s="3">
        <f t="shared" ref="M5:M25" si="9">1/L5</f>
        <v>8.5779575004333003E-2</v>
      </c>
      <c r="N5" s="13">
        <f>KLASSEFREQUENTIEUITHERHALINGSTIJD(N$2,M4,M5,M6)</f>
        <v>79.654713167301338</v>
      </c>
      <c r="O5" s="8">
        <f>1-GEVCUM(KVD!$D$36,KVD!$E$36,KVD!$F$36,$A5)</f>
        <v>0.99999773104977352</v>
      </c>
      <c r="P5" s="3">
        <f t="shared" ref="P5:P31" si="10">-LN(1-O5)</f>
        <v>12.996193288731304</v>
      </c>
      <c r="Q5" s="3">
        <f t="shared" ref="Q5:Q31" si="11">1/P5</f>
        <v>7.6945608439594138E-2</v>
      </c>
      <c r="R5" s="13">
        <f>KLASSEFREQUENTIEUITHERHALINGSTIJD(R$2,Q4,Q5,Q6)</f>
        <v>32.660056711268695</v>
      </c>
      <c r="S5" s="8">
        <f>1-GEVCUM(KVD!$D$37,KVD!$E$37,KVD!$F$37,$A5)</f>
        <v>0.99999723475746183</v>
      </c>
      <c r="T5" s="3">
        <f t="shared" ref="T5" si="12">-LN(1-S5)</f>
        <v>12.798382209595715</v>
      </c>
      <c r="U5" s="9">
        <f t="shared" ref="U5" si="13">1/T5</f>
        <v>7.8134875457168323E-2</v>
      </c>
      <c r="V5" s="32">
        <f>KLASSEFREQUENTIEUITHERHALINGSTIJD(V$2,U4,U5,U6)</f>
        <v>27.784951123737613</v>
      </c>
    </row>
    <row r="6" spans="1:22" x14ac:dyDescent="0.25">
      <c r="A6" s="23">
        <f t="shared" si="4"/>
        <v>27.5</v>
      </c>
      <c r="B6" s="13">
        <f t="shared" si="5"/>
        <v>25</v>
      </c>
      <c r="C6" s="8">
        <f>1-GEVCUM(KVD!$D$33,KVD!$E$33,KVD!$F$33,$A6)</f>
        <v>0.92311729397374953</v>
      </c>
      <c r="D6" s="3">
        <f t="shared" si="0"/>
        <v>2.5654743168873715</v>
      </c>
      <c r="E6" s="3">
        <f t="shared" si="1"/>
        <v>0.38979146796264796</v>
      </c>
      <c r="F6" s="32">
        <f t="shared" si="6"/>
        <v>1.9435654656288808</v>
      </c>
      <c r="G6" s="8">
        <f>1-GEVCUM(KVD!$D$34,KVD!$E$34,KVD!$F$34,$A6)</f>
        <v>0.99240115549590047</v>
      </c>
      <c r="H6" s="3">
        <f t="shared" si="2"/>
        <v>4.879759082183214</v>
      </c>
      <c r="I6" s="3">
        <f t="shared" si="3"/>
        <v>0.20492814976279486</v>
      </c>
      <c r="J6" s="13">
        <f t="shared" si="7"/>
        <v>2.9767416130527247</v>
      </c>
      <c r="K6" s="8">
        <f>1-GEVCUM(KVD!$D$35,KVD!$E$35,KVD!$F$35,$A6)</f>
        <v>0.99971091684663305</v>
      </c>
      <c r="L6" s="3">
        <f t="shared" si="8"/>
        <v>8.1487961833242455</v>
      </c>
      <c r="M6" s="3">
        <f t="shared" si="9"/>
        <v>0.12271751280838354</v>
      </c>
      <c r="N6" s="13">
        <f t="shared" ref="N6:N25" si="14">KLASSEFREQUENTIEUITHERHALINGSTIJD(N$2,M5,M6,M7)</f>
        <v>3.5089906493744092</v>
      </c>
      <c r="O6" s="8">
        <f>1-GEVCUM(KVD!$D$36,KVD!$E$36,KVD!$F$36,$A6)</f>
        <v>0.99996820571738909</v>
      </c>
      <c r="P6" s="3">
        <f t="shared" si="10"/>
        <v>10.356224076452476</v>
      </c>
      <c r="Q6" s="3">
        <f t="shared" si="11"/>
        <v>9.6560289987714321E-2</v>
      </c>
      <c r="R6" s="13">
        <f t="shared" ref="R6:R31" si="15">KLASSEFREQUENTIEUITHERHALINGSTIJD(R$2,Q5,Q6,Q7)</f>
        <v>2.6399692122788263</v>
      </c>
      <c r="S6" s="8">
        <f>1-GEVCUM(KVD!$D$37,KVD!$E$37,KVD!$F$37,$A6)</f>
        <v>0.99997006434080682</v>
      </c>
      <c r="T6" s="3">
        <f t="shared" ref="T6:T32" si="16">-LN(1-S6)</f>
        <v>10.416460173011609</v>
      </c>
      <c r="U6" s="9">
        <f t="shared" ref="U6:U32" si="17">1/T6</f>
        <v>9.6001903083250573E-2</v>
      </c>
      <c r="V6" s="32">
        <f t="shared" ref="V6:V32" si="18">KLASSEFREQUENTIEUITHERHALINGSTIJD(V$2,U5,U6,U7)</f>
        <v>2.3819220365841058</v>
      </c>
    </row>
    <row r="7" spans="1:22" x14ac:dyDescent="0.25">
      <c r="A7" s="23">
        <f t="shared" si="4"/>
        <v>32.5</v>
      </c>
      <c r="B7" s="13">
        <f t="shared" si="5"/>
        <v>30</v>
      </c>
      <c r="C7" s="8">
        <f>1-GEVCUM(KVD!$D$33,KVD!$E$33,KVD!$F$33,$A7)</f>
        <v>0.77520720101653118</v>
      </c>
      <c r="D7" s="3">
        <f t="shared" si="0"/>
        <v>1.492576194467355</v>
      </c>
      <c r="E7" s="3">
        <f t="shared" si="1"/>
        <v>0.66998254675826641</v>
      </c>
      <c r="F7" s="32">
        <f t="shared" si="6"/>
        <v>1.0728981224200165</v>
      </c>
      <c r="G7" s="8">
        <f>1-GEVCUM(KVD!$D$34,KVD!$E$34,KVD!$F$34,$A7)</f>
        <v>0.95351396183299286</v>
      </c>
      <c r="H7" s="3">
        <f t="shared" si="2"/>
        <v>3.0686032659471905</v>
      </c>
      <c r="I7" s="3">
        <f t="shared" si="3"/>
        <v>0.32588116264398503</v>
      </c>
      <c r="J7" s="13">
        <f t="shared" si="7"/>
        <v>1.8111558162360235</v>
      </c>
      <c r="K7" s="8">
        <f>1-GEVCUM(KVD!$D$35,KVD!$E$35,KVD!$F$35,$A7)</f>
        <v>0.99669387155274447</v>
      </c>
      <c r="L7" s="3">
        <f t="shared" si="8"/>
        <v>5.7119774275686863</v>
      </c>
      <c r="M7" s="3">
        <f t="shared" si="9"/>
        <v>0.17507071984800399</v>
      </c>
      <c r="N7" s="13">
        <f t="shared" si="14"/>
        <v>2.4368187557555592</v>
      </c>
      <c r="O7" s="8">
        <f>1-GEVCUM(KVD!$D$36,KVD!$E$36,KVD!$F$36,$A7)</f>
        <v>0.99973419996394641</v>
      </c>
      <c r="P7" s="3">
        <f t="shared" si="10"/>
        <v>8.2327662760433498</v>
      </c>
      <c r="Q7" s="3">
        <f t="shared" si="11"/>
        <v>0.12146585563954548</v>
      </c>
      <c r="R7" s="13">
        <f t="shared" si="15"/>
        <v>2.1234578004091258</v>
      </c>
      <c r="S7" s="8">
        <f>1-GEVCUM(KVD!$D$37,KVD!$E$37,KVD!$F$37,$A7)</f>
        <v>0.99978715008748775</v>
      </c>
      <c r="T7" s="3">
        <f t="shared" si="16"/>
        <v>8.4549232767202778</v>
      </c>
      <c r="U7" s="9">
        <f t="shared" si="17"/>
        <v>0.11827428437504484</v>
      </c>
      <c r="V7" s="32">
        <f t="shared" si="18"/>
        <v>1.9615368962913315</v>
      </c>
    </row>
    <row r="8" spans="1:22" x14ac:dyDescent="0.25">
      <c r="A8" s="23">
        <f t="shared" si="4"/>
        <v>37.5</v>
      </c>
      <c r="B8" s="13">
        <f t="shared" si="5"/>
        <v>35</v>
      </c>
      <c r="C8" s="8">
        <f>1-GEVCUM(KVD!$D$33,KVD!$E$33,KVD!$F$33,$A8)</f>
        <v>0.58788331122534498</v>
      </c>
      <c r="D8" s="3">
        <f t="shared" si="0"/>
        <v>0.88644874455208933</v>
      </c>
      <c r="E8" s="3">
        <f t="shared" si="1"/>
        <v>1.1280968089196026</v>
      </c>
      <c r="F8" s="32">
        <f t="shared" si="6"/>
        <v>0.60612744991526568</v>
      </c>
      <c r="G8" s="8">
        <f>1-GEVCUM(KVD!$D$34,KVD!$E$34,KVD!$F$34,$A8)</f>
        <v>0.85807675389176041</v>
      </c>
      <c r="H8" s="3">
        <f t="shared" si="2"/>
        <v>1.9524688878791798</v>
      </c>
      <c r="I8" s="3">
        <f t="shared" si="3"/>
        <v>0.5121720536536819</v>
      </c>
      <c r="J8" s="13">
        <f t="shared" si="7"/>
        <v>1.1161343780680104</v>
      </c>
      <c r="K8" s="8">
        <f>1-GEVCUM(KVD!$D$35,KVD!$E$35,KVD!$F$35,$A8)</f>
        <v>0.98195550804372589</v>
      </c>
      <c r="L8" s="3">
        <f t="shared" si="8"/>
        <v>4.0149147955494975</v>
      </c>
      <c r="M8" s="3">
        <f t="shared" si="9"/>
        <v>0.24907128816494248</v>
      </c>
      <c r="N8" s="13">
        <f t="shared" si="14"/>
        <v>1.6970626320191888</v>
      </c>
      <c r="O8" s="8">
        <f>1-GEVCUM(KVD!$D$36,KVD!$E$36,KVD!$F$36,$A8)</f>
        <v>0.99853910240128174</v>
      </c>
      <c r="P8" s="3">
        <f t="shared" si="10"/>
        <v>6.5287042385274381</v>
      </c>
      <c r="Q8" s="3">
        <f t="shared" si="11"/>
        <v>0.15316975060667656</v>
      </c>
      <c r="R8" s="13">
        <f t="shared" si="15"/>
        <v>1.7040620375159108</v>
      </c>
      <c r="S8" s="8">
        <f>1-GEVCUM(KVD!$D$37,KVD!$E$37,KVD!$F$37,$A8)</f>
        <v>0.99893387110763998</v>
      </c>
      <c r="T8" s="3">
        <f t="shared" si="16"/>
        <v>6.8437210483901536</v>
      </c>
      <c r="U8" s="9">
        <f t="shared" si="17"/>
        <v>0.14611933960038154</v>
      </c>
      <c r="V8" s="32">
        <f t="shared" si="18"/>
        <v>1.6112022283301242</v>
      </c>
    </row>
    <row r="9" spans="1:22" x14ac:dyDescent="0.25">
      <c r="A9" s="23">
        <f t="shared" si="4"/>
        <v>42.5</v>
      </c>
      <c r="B9" s="13">
        <f t="shared" si="5"/>
        <v>40</v>
      </c>
      <c r="C9" s="8">
        <f>1-GEVCUM(KVD!$D$33,KVD!$E$33,KVD!$F$33,$A9)</f>
        <v>0.4152760208100964</v>
      </c>
      <c r="D9" s="3">
        <f t="shared" si="0"/>
        <v>0.53661537354190003</v>
      </c>
      <c r="E9" s="3">
        <f t="shared" si="1"/>
        <v>1.8635321485472087</v>
      </c>
      <c r="F9" s="32">
        <f t="shared" si="6"/>
        <v>0.3498333710101893</v>
      </c>
      <c r="G9" s="8">
        <f>1-GEVCUM(KVD!$D$34,KVD!$E$34,KVD!$F$34,$A9)</f>
        <v>0.71528067717726695</v>
      </c>
      <c r="H9" s="3">
        <f t="shared" si="2"/>
        <v>1.2562514161802849</v>
      </c>
      <c r="I9" s="3">
        <f t="shared" si="3"/>
        <v>0.79601900313916918</v>
      </c>
      <c r="J9" s="13">
        <f t="shared" si="7"/>
        <v>0.69621747169889514</v>
      </c>
      <c r="K9" s="8">
        <f>1-GEVCUM(KVD!$D$35,KVD!$E$35,KVD!$F$35,$A9)</f>
        <v>0.94097105127209468</v>
      </c>
      <c r="L9" s="3">
        <f t="shared" si="8"/>
        <v>2.829727299003737</v>
      </c>
      <c r="M9" s="3">
        <f t="shared" si="9"/>
        <v>0.35339094348493238</v>
      </c>
      <c r="N9" s="13">
        <f t="shared" si="14"/>
        <v>1.1851874965457605</v>
      </c>
      <c r="O9" s="8">
        <f>1-GEVCUM(KVD!$D$36,KVD!$E$36,KVD!$F$36,$A9)</f>
        <v>0.9942836621735599</v>
      </c>
      <c r="P9" s="3">
        <f t="shared" si="10"/>
        <v>5.1644269187645158</v>
      </c>
      <c r="Q9" s="3">
        <f t="shared" si="11"/>
        <v>0.19363232663174748</v>
      </c>
      <c r="R9" s="13">
        <f t="shared" si="15"/>
        <v>1.3642773197629232</v>
      </c>
      <c r="S9" s="8">
        <f>1-GEVCUM(KVD!$D$37,KVD!$E$37,KVD!$F$37,$A9)</f>
        <v>0.99600921911853901</v>
      </c>
      <c r="T9" s="3">
        <f t="shared" si="16"/>
        <v>5.5237683575896535</v>
      </c>
      <c r="U9" s="9">
        <f t="shared" si="17"/>
        <v>0.18103583192912151</v>
      </c>
      <c r="V9" s="32">
        <f t="shared" si="18"/>
        <v>1.3199526908005002</v>
      </c>
    </row>
    <row r="10" spans="1:22" x14ac:dyDescent="0.25">
      <c r="A10" s="23">
        <f t="shared" si="4"/>
        <v>47.5</v>
      </c>
      <c r="B10" s="13">
        <f t="shared" si="5"/>
        <v>45</v>
      </c>
      <c r="C10" s="8">
        <f>1-GEVCUM(KVD!$D$33,KVD!$E$33,KVD!$F$33,$A10)</f>
        <v>0.28154893309666784</v>
      </c>
      <c r="D10" s="3">
        <f t="shared" si="0"/>
        <v>0.33065768030095027</v>
      </c>
      <c r="E10" s="3">
        <f t="shared" si="1"/>
        <v>3.0242757376445737</v>
      </c>
      <c r="F10" s="32">
        <f t="shared" si="6"/>
        <v>0.20595769324094976</v>
      </c>
      <c r="G10" s="8">
        <f>1-GEVCUM(KVD!$D$34,KVD!$E$34,KVD!$F$34,$A10)</f>
        <v>0.55821371718276425</v>
      </c>
      <c r="H10" s="3">
        <f t="shared" si="2"/>
        <v>0.81692903687732654</v>
      </c>
      <c r="I10" s="3">
        <f t="shared" si="3"/>
        <v>1.2240965308595881</v>
      </c>
      <c r="J10" s="13">
        <f t="shared" si="7"/>
        <v>0.43932237930295837</v>
      </c>
      <c r="K10" s="8">
        <f>1-GEVCUM(KVD!$D$35,KVD!$E$35,KVD!$F$35,$A10)</f>
        <v>0.86462933965482669</v>
      </c>
      <c r="L10" s="3">
        <f t="shared" si="8"/>
        <v>1.9997386307201539</v>
      </c>
      <c r="M10" s="3">
        <f t="shared" si="9"/>
        <v>0.50006535086031523</v>
      </c>
      <c r="N10" s="13">
        <f t="shared" si="14"/>
        <v>0.82998866828358331</v>
      </c>
      <c r="O10" s="8">
        <f>1-GEVCUM(KVD!$D$36,KVD!$E$36,KVD!$F$36,$A10)</f>
        <v>0.98300458344697828</v>
      </c>
      <c r="P10" s="3">
        <f t="shared" si="10"/>
        <v>4.0748115858065859</v>
      </c>
      <c r="Q10" s="3">
        <f t="shared" si="11"/>
        <v>0.24541011993860218</v>
      </c>
      <c r="R10" s="13">
        <f t="shared" si="15"/>
        <v>1.0896153329579299</v>
      </c>
      <c r="S10" s="8">
        <f>1-GEVCUM(KVD!$D$37,KVD!$E$37,KVD!$F$37,$A10)</f>
        <v>0.98826691285396884</v>
      </c>
      <c r="T10" s="3">
        <f t="shared" si="16"/>
        <v>4.4453424671386621</v>
      </c>
      <c r="U10" s="9">
        <f t="shared" si="17"/>
        <v>0.22495454678515939</v>
      </c>
      <c r="V10" s="32">
        <f t="shared" si="18"/>
        <v>1.0784258904509914</v>
      </c>
    </row>
    <row r="11" spans="1:22" x14ac:dyDescent="0.25">
      <c r="A11" s="23">
        <f t="shared" si="4"/>
        <v>52.5</v>
      </c>
      <c r="B11" s="13">
        <f t="shared" si="5"/>
        <v>50</v>
      </c>
      <c r="C11" s="8">
        <f>1-GEVCUM(KVD!$D$33,KVD!$E$33,KVD!$F$33,$A11)</f>
        <v>0.18709800340781024</v>
      </c>
      <c r="D11" s="3">
        <f t="shared" si="0"/>
        <v>0.20714472209756735</v>
      </c>
      <c r="E11" s="3">
        <f t="shared" si="1"/>
        <v>4.8275427434206577</v>
      </c>
      <c r="F11" s="32">
        <f t="shared" si="6"/>
        <v>0.12351295820338293</v>
      </c>
      <c r="G11" s="8">
        <f>1-GEVCUM(KVD!$D$34,KVD!$E$34,KVD!$F$34,$A11)</f>
        <v>0.41529558872717987</v>
      </c>
      <c r="H11" s="3">
        <f t="shared" si="2"/>
        <v>0.53664883932269491</v>
      </c>
      <c r="I11" s="3">
        <f t="shared" si="3"/>
        <v>1.8634159374351784</v>
      </c>
      <c r="J11" s="13">
        <f t="shared" si="7"/>
        <v>0.28028019755463163</v>
      </c>
      <c r="K11" s="8">
        <f>1-GEVCUM(KVD!$D$35,KVD!$E$35,KVD!$F$35,$A11)</f>
        <v>0.7575398553940188</v>
      </c>
      <c r="L11" s="3">
        <f t="shared" si="8"/>
        <v>1.4169179342521758</v>
      </c>
      <c r="M11" s="3">
        <f t="shared" si="9"/>
        <v>0.7057571760694682</v>
      </c>
      <c r="N11" s="13">
        <f t="shared" si="14"/>
        <v>0.58282069646797785</v>
      </c>
      <c r="O11" s="8">
        <f>1-GEVCUM(KVD!$D$36,KVD!$E$36,KVD!$F$36,$A11)</f>
        <v>0.95951010667752001</v>
      </c>
      <c r="P11" s="3">
        <f t="shared" si="10"/>
        <v>3.2067028836049118</v>
      </c>
      <c r="Q11" s="3">
        <f t="shared" si="11"/>
        <v>0.3118467897705009</v>
      </c>
      <c r="R11" s="13">
        <f t="shared" si="15"/>
        <v>0.86810870220167402</v>
      </c>
      <c r="S11" s="8">
        <f>1-GEVCUM(KVD!$D$37,KVD!$E$37,KVD!$F$37,$A11)</f>
        <v>0.97175100493871769</v>
      </c>
      <c r="T11" s="3">
        <f t="shared" si="16"/>
        <v>3.5666973950743768</v>
      </c>
      <c r="U11" s="9">
        <f t="shared" si="17"/>
        <v>0.28037141625219003</v>
      </c>
      <c r="V11" s="32">
        <f t="shared" si="18"/>
        <v>0.87864507206428533</v>
      </c>
    </row>
    <row r="12" spans="1:22" x14ac:dyDescent="0.25">
      <c r="A12" s="23">
        <f t="shared" si="4"/>
        <v>57.5</v>
      </c>
      <c r="B12" s="13">
        <f t="shared" si="5"/>
        <v>55</v>
      </c>
      <c r="C12" s="8">
        <f>1-GEVCUM(KVD!$D$33,KVD!$E$33,KVD!$F$33,$A12)</f>
        <v>0.123472903749276</v>
      </c>
      <c r="D12" s="3">
        <f t="shared" si="0"/>
        <v>0.13178766095067801</v>
      </c>
      <c r="E12" s="3">
        <f t="shared" si="1"/>
        <v>7.5879637955958064</v>
      </c>
      <c r="F12" s="32">
        <f t="shared" si="6"/>
        <v>7.5357061146889337E-2</v>
      </c>
      <c r="G12" s="8">
        <f>1-GEVCUM(KVD!$D$34,KVD!$E$34,KVD!$F$34,$A12)</f>
        <v>0.29949402217177934</v>
      </c>
      <c r="H12" s="3">
        <f t="shared" si="2"/>
        <v>0.3559523795823567</v>
      </c>
      <c r="I12" s="3">
        <f t="shared" si="3"/>
        <v>2.8093645593079395</v>
      </c>
      <c r="J12" s="13">
        <f t="shared" si="7"/>
        <v>0.18069645974033821</v>
      </c>
      <c r="K12" s="8">
        <f>1-GEVCUM(KVD!$D$35,KVD!$E$35,KVD!$F$35,$A12)</f>
        <v>0.63452773305971144</v>
      </c>
      <c r="L12" s="3">
        <f t="shared" si="8"/>
        <v>1.0065648797154665</v>
      </c>
      <c r="M12" s="3">
        <f t="shared" si="9"/>
        <v>0.99347793684464514</v>
      </c>
      <c r="N12" s="13">
        <f t="shared" si="14"/>
        <v>0.41035305453670934</v>
      </c>
      <c r="O12" s="8">
        <f>1-GEVCUM(KVD!$D$36,KVD!$E$36,KVD!$F$36,$A12)</f>
        <v>0.91928331573263844</v>
      </c>
      <c r="P12" s="3">
        <f t="shared" si="10"/>
        <v>2.5168099807457582</v>
      </c>
      <c r="Q12" s="3">
        <f t="shared" si="11"/>
        <v>0.39732836711959046</v>
      </c>
      <c r="R12" s="13">
        <f t="shared" si="15"/>
        <v>0.68989290285915361</v>
      </c>
      <c r="S12" s="8">
        <f>1-GEVCUM(KVD!$D$37,KVD!$E$37,KVD!$F$37,$A12)</f>
        <v>0.9423213673626557</v>
      </c>
      <c r="T12" s="3">
        <f t="shared" si="16"/>
        <v>2.8528684922964165</v>
      </c>
      <c r="U12" s="9">
        <f t="shared" si="17"/>
        <v>0.35052439420193882</v>
      </c>
      <c r="V12" s="32">
        <f t="shared" si="18"/>
        <v>0.71382890277796029</v>
      </c>
    </row>
    <row r="13" spans="1:22" x14ac:dyDescent="0.25">
      <c r="A13" s="23">
        <f t="shared" si="4"/>
        <v>62.5</v>
      </c>
      <c r="B13" s="13">
        <f t="shared" si="5"/>
        <v>60</v>
      </c>
      <c r="C13" s="8">
        <f>1-GEVCUM(KVD!$D$33,KVD!$E$33,KVD!$F$33,$A13)</f>
        <v>8.1547718544604408E-2</v>
      </c>
      <c r="D13" s="3">
        <f t="shared" si="0"/>
        <v>8.5065328365280815E-2</v>
      </c>
      <c r="E13" s="3">
        <f t="shared" si="1"/>
        <v>11.75567083813371</v>
      </c>
      <c r="F13" s="32">
        <f t="shared" si="6"/>
        <v>4.6722332585397194E-2</v>
      </c>
      <c r="G13" s="8">
        <f>1-GEVCUM(KVD!$D$34,KVD!$E$34,KVD!$F$34,$A13)</f>
        <v>0.21202370302109808</v>
      </c>
      <c r="H13" s="3">
        <f t="shared" si="2"/>
        <v>0.23828726955268226</v>
      </c>
      <c r="I13" s="3">
        <f t="shared" si="3"/>
        <v>4.1966152949640172</v>
      </c>
      <c r="J13" s="13">
        <f t="shared" si="7"/>
        <v>0.11766511002967442</v>
      </c>
      <c r="K13" s="8">
        <f>1-GEVCUM(KVD!$D$35,KVD!$E$35,KVD!$F$35,$A13)</f>
        <v>0.51172766524795121</v>
      </c>
      <c r="L13" s="3">
        <f t="shared" si="8"/>
        <v>0.71688196577175256</v>
      </c>
      <c r="M13" s="3">
        <f t="shared" si="9"/>
        <v>1.3949297760942547</v>
      </c>
      <c r="N13" s="13">
        <f t="shared" si="14"/>
        <v>0.28968291394371393</v>
      </c>
      <c r="O13" s="8">
        <f>1-GEVCUM(KVD!$D$36,KVD!$E$36,KVD!$F$36,$A13)</f>
        <v>0.86053700030385927</v>
      </c>
      <c r="P13" s="3">
        <f t="shared" si="10"/>
        <v>1.969955948054894</v>
      </c>
      <c r="Q13" s="3">
        <f t="shared" si="11"/>
        <v>0.50762556441294304</v>
      </c>
      <c r="R13" s="13">
        <f t="shared" si="15"/>
        <v>0.54685403269086397</v>
      </c>
      <c r="S13" s="8">
        <f>1-GEVCUM(KVD!$D$37,KVD!$E$37,KVD!$F$37,$A13)</f>
        <v>0.89716640879006215</v>
      </c>
      <c r="T13" s="3">
        <f t="shared" si="16"/>
        <v>2.274643216593804</v>
      </c>
      <c r="U13" s="9">
        <f t="shared" si="17"/>
        <v>0.43962938570096449</v>
      </c>
      <c r="V13" s="32">
        <f t="shared" si="18"/>
        <v>0.57822527570261251</v>
      </c>
    </row>
    <row r="14" spans="1:22" x14ac:dyDescent="0.25">
      <c r="A14" s="23">
        <f t="shared" si="4"/>
        <v>67.5</v>
      </c>
      <c r="B14" s="13">
        <f t="shared" si="5"/>
        <v>65</v>
      </c>
      <c r="C14" s="8">
        <f>1-GEVCUM(KVD!$D$33,KVD!$E$33,KVD!$F$33,$A14)</f>
        <v>5.4136336664875606E-2</v>
      </c>
      <c r="D14" s="3">
        <f t="shared" si="0"/>
        <v>5.5656839412476615E-2</v>
      </c>
      <c r="E14" s="3">
        <f t="shared" si="1"/>
        <v>17.967243748588238</v>
      </c>
      <c r="F14" s="32">
        <f t="shared" si="6"/>
        <v>2.94084889528042E-2</v>
      </c>
      <c r="G14" s="8">
        <f>1-GEVCUM(KVD!$D$34,KVD!$E$34,KVD!$F$34,$A14)</f>
        <v>0.14864954522244012</v>
      </c>
      <c r="H14" s="3">
        <f t="shared" si="2"/>
        <v>0.16093141993161331</v>
      </c>
      <c r="I14" s="3">
        <f t="shared" si="3"/>
        <v>6.2138269855876684</v>
      </c>
      <c r="J14" s="13">
        <f t="shared" si="7"/>
        <v>7.7355849621068978E-2</v>
      </c>
      <c r="K14" s="8">
        <f>1-GEVCUM(KVD!$D$35,KVD!$E$35,KVD!$F$35,$A14)</f>
        <v>0.40061657175105692</v>
      </c>
      <c r="L14" s="3">
        <f t="shared" si="8"/>
        <v>0.51185377171409319</v>
      </c>
      <c r="M14" s="3">
        <f t="shared" si="9"/>
        <v>1.9536829760015353</v>
      </c>
      <c r="N14" s="13">
        <f t="shared" si="14"/>
        <v>0.20502819405765937</v>
      </c>
      <c r="O14" s="8">
        <f>1-GEVCUM(KVD!$D$36,KVD!$E$36,KVD!$F$36,$A14)</f>
        <v>0.78510877710042615</v>
      </c>
      <c r="P14" s="3">
        <f t="shared" si="10"/>
        <v>1.537623318887285</v>
      </c>
      <c r="Q14" s="3">
        <f t="shared" si="11"/>
        <v>0.65035434083014498</v>
      </c>
      <c r="R14" s="13">
        <f t="shared" si="15"/>
        <v>0.43233262916760928</v>
      </c>
      <c r="S14" s="8">
        <f>1-GEVCUM(KVD!$D$37,KVD!$E$37,KVD!$F$37,$A14)</f>
        <v>0.83596522739156542</v>
      </c>
      <c r="T14" s="3">
        <f t="shared" si="16"/>
        <v>1.8076768455325087</v>
      </c>
      <c r="U14" s="9">
        <f t="shared" si="17"/>
        <v>0.55319622114505662</v>
      </c>
      <c r="V14" s="32">
        <f t="shared" si="18"/>
        <v>0.46696637106129524</v>
      </c>
    </row>
    <row r="15" spans="1:22" x14ac:dyDescent="0.25">
      <c r="A15" s="23">
        <f t="shared" si="4"/>
        <v>72.5</v>
      </c>
      <c r="B15" s="13">
        <f t="shared" si="5"/>
        <v>70</v>
      </c>
      <c r="C15" s="8">
        <f>1-GEVCUM(KVD!$D$33,KVD!$E$33,KVD!$F$33,$A15)</f>
        <v>3.62105022956275E-2</v>
      </c>
      <c r="D15" s="3">
        <f t="shared" si="0"/>
        <v>3.688237159355192E-2</v>
      </c>
      <c r="E15" s="3">
        <f t="shared" si="1"/>
        <v>27.113223927683332</v>
      </c>
      <c r="F15" s="32">
        <f t="shared" si="6"/>
        <v>1.8774467818924695E-2</v>
      </c>
      <c r="G15" s="8">
        <f>1-GEVCUM(KVD!$D$34,KVD!$E$34,KVD!$F$34,$A15)</f>
        <v>0.10381572594766719</v>
      </c>
      <c r="H15" s="3">
        <f t="shared" si="2"/>
        <v>0.10960922414810742</v>
      </c>
      <c r="I15" s="3">
        <f t="shared" si="3"/>
        <v>9.123319754994057</v>
      </c>
      <c r="J15" s="13">
        <f t="shared" si="7"/>
        <v>5.13221957835059E-2</v>
      </c>
      <c r="K15" s="8">
        <f>1-GEVCUM(KVD!$D$35,KVD!$E$35,KVD!$F$35,$A15)</f>
        <v>0.30675407141229072</v>
      </c>
      <c r="L15" s="3">
        <f t="shared" si="8"/>
        <v>0.36637046743864249</v>
      </c>
      <c r="M15" s="3">
        <f t="shared" si="9"/>
        <v>2.729477643193154</v>
      </c>
      <c r="N15" s="13">
        <f t="shared" si="14"/>
        <v>0.1454833042754507</v>
      </c>
      <c r="O15" s="8">
        <f>1-GEVCUM(KVD!$D$36,KVD!$E$36,KVD!$F$36,$A15)</f>
        <v>0.69782477812416333</v>
      </c>
      <c r="P15" s="3">
        <f t="shared" si="10"/>
        <v>1.1967482249741683</v>
      </c>
      <c r="Q15" s="3">
        <f t="shared" si="11"/>
        <v>0.8355976462982303</v>
      </c>
      <c r="R15" s="13">
        <f t="shared" si="15"/>
        <v>0.34087509391311666</v>
      </c>
      <c r="S15" s="8">
        <f>1-GEVCUM(KVD!$D$37,KVD!$E$37,KVD!$F$37,$A15)</f>
        <v>0.76110576274171415</v>
      </c>
      <c r="T15" s="3">
        <f t="shared" si="16"/>
        <v>1.4317343469242101</v>
      </c>
      <c r="U15" s="9">
        <f t="shared" si="17"/>
        <v>0.6984535938166857</v>
      </c>
      <c r="V15" s="32">
        <f t="shared" si="18"/>
        <v>0.37594249860829865</v>
      </c>
    </row>
    <row r="16" spans="1:22" x14ac:dyDescent="0.25">
      <c r="A16" s="23">
        <f t="shared" si="4"/>
        <v>77.5</v>
      </c>
      <c r="B16" s="13">
        <f t="shared" si="5"/>
        <v>75</v>
      </c>
      <c r="C16" s="8">
        <f>1-GEVCUM(KVD!$D$33,KVD!$E$33,KVD!$F$33,$A16)</f>
        <v>2.4432637755279485E-2</v>
      </c>
      <c r="D16" s="3">
        <f t="shared" si="0"/>
        <v>2.4736067233672311E-2</v>
      </c>
      <c r="E16" s="3">
        <f t="shared" si="1"/>
        <v>40.426798268026062</v>
      </c>
      <c r="F16" s="32">
        <f t="shared" si="6"/>
        <v>1.2146304359879609E-2</v>
      </c>
      <c r="G16" s="8">
        <f>1-GEVCUM(KVD!$D$34,KVD!$E$34,KVD!$F$34,$A16)</f>
        <v>7.2497858812208049E-2</v>
      </c>
      <c r="H16" s="3">
        <f t="shared" si="2"/>
        <v>7.5260175944945315E-2</v>
      </c>
      <c r="I16" s="3">
        <f t="shared" si="3"/>
        <v>13.287239731295935</v>
      </c>
      <c r="J16" s="13">
        <f t="shared" si="7"/>
        <v>3.4349048203162091E-2</v>
      </c>
      <c r="K16" s="8">
        <f>1-GEVCUM(KVD!$D$35,KVD!$E$35,KVD!$F$35,$A16)</f>
        <v>0.23116493643554692</v>
      </c>
      <c r="L16" s="3">
        <f t="shared" si="8"/>
        <v>0.26287881419170883</v>
      </c>
      <c r="M16" s="3">
        <f t="shared" si="9"/>
        <v>3.8040342013667674</v>
      </c>
      <c r="N16" s="13">
        <f t="shared" si="14"/>
        <v>0.10349165324693366</v>
      </c>
      <c r="O16" s="8">
        <f>1-GEVCUM(KVD!$D$36,KVD!$E$36,KVD!$F$36,$A16)</f>
        <v>0.60494202080057524</v>
      </c>
      <c r="P16" s="3">
        <f t="shared" si="10"/>
        <v>0.92872274206920002</v>
      </c>
      <c r="Q16" s="3">
        <f t="shared" si="11"/>
        <v>1.0767476176711188</v>
      </c>
      <c r="R16" s="13">
        <f t="shared" si="15"/>
        <v>0.26802548290496842</v>
      </c>
      <c r="S16" s="8">
        <f>1-GEVCUM(KVD!$D$37,KVD!$E$37,KVD!$F$37,$A16)</f>
        <v>0.67698025979055676</v>
      </c>
      <c r="T16" s="3">
        <f t="shared" si="16"/>
        <v>1.1300418424274234</v>
      </c>
      <c r="U16" s="9">
        <f t="shared" si="17"/>
        <v>0.88492298466746788</v>
      </c>
      <c r="V16" s="32">
        <f t="shared" si="18"/>
        <v>0.30169250449678664</v>
      </c>
    </row>
    <row r="17" spans="1:22" x14ac:dyDescent="0.25">
      <c r="A17" s="23">
        <f t="shared" si="4"/>
        <v>82.5</v>
      </c>
      <c r="B17" s="13">
        <f t="shared" si="5"/>
        <v>80</v>
      </c>
      <c r="C17" s="8">
        <f>1-GEVCUM(KVD!$D$33,KVD!$E$33,KVD!$F$33,$A17)</f>
        <v>1.6638732749544749E-2</v>
      </c>
      <c r="D17" s="3">
        <f t="shared" si="0"/>
        <v>1.6778711346518701E-2</v>
      </c>
      <c r="E17" s="3">
        <f t="shared" si="1"/>
        <v>59.599332710821272</v>
      </c>
      <c r="F17" s="32">
        <f t="shared" si="6"/>
        <v>7.9573558871536103E-3</v>
      </c>
      <c r="G17" s="8">
        <f>1-GEVCUM(KVD!$D$34,KVD!$E$34,KVD!$F$34,$A17)</f>
        <v>5.074473189036055E-2</v>
      </c>
      <c r="H17" s="3">
        <f t="shared" si="2"/>
        <v>5.2077530125667924E-2</v>
      </c>
      <c r="I17" s="3">
        <f t="shared" si="3"/>
        <v>19.202139532863924</v>
      </c>
      <c r="J17" s="13">
        <f t="shared" si="7"/>
        <v>2.3182645819277391E-2</v>
      </c>
      <c r="K17" s="8">
        <f>1-GEVCUM(KVD!$D$35,KVD!$E$35,KVD!$F$35,$A17)</f>
        <v>0.17227622564807454</v>
      </c>
      <c r="L17" s="3">
        <f t="shared" si="8"/>
        <v>0.18907578611085224</v>
      </c>
      <c r="M17" s="3">
        <f t="shared" si="9"/>
        <v>5.2888845291576114</v>
      </c>
      <c r="N17" s="13">
        <f t="shared" si="14"/>
        <v>7.3803028080856592E-2</v>
      </c>
      <c r="O17" s="8">
        <f>1-GEVCUM(KVD!$D$36,KVD!$E$36,KVD!$F$36,$A17)</f>
        <v>0.51255181596595245</v>
      </c>
      <c r="P17" s="3">
        <f t="shared" si="10"/>
        <v>0.71857128335425646</v>
      </c>
      <c r="Q17" s="3">
        <f t="shared" si="11"/>
        <v>1.3916503806442804</v>
      </c>
      <c r="R17" s="13">
        <f t="shared" si="15"/>
        <v>0.21015145871494345</v>
      </c>
      <c r="S17" s="8">
        <f>1-GEVCUM(KVD!$D$37,KVD!$E$37,KVD!$F$37,$A17)</f>
        <v>0.58882365008765625</v>
      </c>
      <c r="T17" s="3">
        <f t="shared" si="16"/>
        <v>0.88873308129983297</v>
      </c>
      <c r="U17" s="9">
        <f t="shared" si="17"/>
        <v>1.1251972285508169</v>
      </c>
      <c r="V17" s="32">
        <f t="shared" si="18"/>
        <v>0.24130876112759037</v>
      </c>
    </row>
    <row r="18" spans="1:22" x14ac:dyDescent="0.25">
      <c r="A18" s="23">
        <f t="shared" si="4"/>
        <v>87.5</v>
      </c>
      <c r="B18" s="13">
        <f t="shared" si="5"/>
        <v>85</v>
      </c>
      <c r="C18" s="8">
        <f>1-GEVCUM(KVD!$D$33,KVD!$E$33,KVD!$F$33,$A18)</f>
        <v>1.1437633173626005E-2</v>
      </c>
      <c r="D18" s="3">
        <f t="shared" si="0"/>
        <v>1.1503545972860784E-2</v>
      </c>
      <c r="E18" s="3">
        <f t="shared" si="1"/>
        <v>86.929717354909897</v>
      </c>
      <c r="F18" s="32">
        <f t="shared" si="6"/>
        <v>5.2751653736579154E-3</v>
      </c>
      <c r="G18" s="8">
        <f>1-GEVCUM(KVD!$D$34,KVD!$E$34,KVD!$F$34,$A18)</f>
        <v>3.5653880961104778E-2</v>
      </c>
      <c r="H18" s="3">
        <f t="shared" si="2"/>
        <v>3.6305004166539173E-2</v>
      </c>
      <c r="I18" s="3">
        <f t="shared" si="3"/>
        <v>27.54441220865246</v>
      </c>
      <c r="J18" s="13">
        <f t="shared" si="7"/>
        <v>1.5772525959128751E-2</v>
      </c>
      <c r="K18" s="8">
        <f>1-GEVCUM(KVD!$D$35,KVD!$E$35,KVD!$F$35,$A18)</f>
        <v>0.12743302205697193</v>
      </c>
      <c r="L18" s="3">
        <f t="shared" si="8"/>
        <v>0.13631586230113044</v>
      </c>
      <c r="M18" s="3">
        <f t="shared" si="9"/>
        <v>7.3359034166613437</v>
      </c>
      <c r="N18" s="13">
        <f t="shared" si="14"/>
        <v>5.2759923809721804E-2</v>
      </c>
      <c r="O18" s="8">
        <f>1-GEVCUM(KVD!$D$36,KVD!$E$36,KVD!$F$36,$A18)</f>
        <v>0.42550976773274019</v>
      </c>
      <c r="P18" s="3">
        <f t="shared" si="10"/>
        <v>0.55427218398362665</v>
      </c>
      <c r="Q18" s="3">
        <f t="shared" si="11"/>
        <v>1.8041677516863093</v>
      </c>
      <c r="R18" s="13">
        <f t="shared" si="15"/>
        <v>0.16429909937062981</v>
      </c>
      <c r="S18" s="8">
        <f>1-GEVCUM(KVD!$D$37,KVD!$E$37,KVD!$F$37,$A18)</f>
        <v>0.50161285757563723</v>
      </c>
      <c r="T18" s="3">
        <f t="shared" si="16"/>
        <v>0.69637810954558721</v>
      </c>
      <c r="U18" s="9">
        <f t="shared" si="17"/>
        <v>1.4360014858200201</v>
      </c>
      <c r="V18" s="32">
        <f t="shared" si="18"/>
        <v>0.19235497175424587</v>
      </c>
    </row>
    <row r="19" spans="1:22" x14ac:dyDescent="0.25">
      <c r="A19" s="23">
        <f t="shared" si="4"/>
        <v>92.5</v>
      </c>
      <c r="B19" s="13">
        <f t="shared" si="5"/>
        <v>90</v>
      </c>
      <c r="C19" s="8">
        <f>1-GEVCUM(KVD!$D$33,KVD!$E$33,KVD!$F$33,$A19)</f>
        <v>7.9354580304137334E-3</v>
      </c>
      <c r="D19" s="3">
        <f t="shared" si="0"/>
        <v>7.967111344393922E-3</v>
      </c>
      <c r="E19" s="3">
        <f t="shared" si="1"/>
        <v>125.51600658922038</v>
      </c>
      <c r="F19" s="32">
        <f t="shared" si="6"/>
        <v>3.5364346284668634E-3</v>
      </c>
      <c r="G19" s="8">
        <f>1-GEVCUM(KVD!$D$34,KVD!$E$34,KVD!$F$34,$A19)</f>
        <v>2.5168774103106917E-2</v>
      </c>
      <c r="H19" s="3">
        <f t="shared" si="2"/>
        <v>2.5490924612320887E-2</v>
      </c>
      <c r="I19" s="3">
        <f t="shared" si="3"/>
        <v>39.229648010361146</v>
      </c>
      <c r="J19" s="13">
        <f t="shared" si="7"/>
        <v>1.0814079554218287E-2</v>
      </c>
      <c r="K19" s="8">
        <f>1-GEVCUM(KVD!$D$35,KVD!$E$35,KVD!$F$35,$A19)</f>
        <v>9.3811721936459369E-2</v>
      </c>
      <c r="L19" s="3">
        <f t="shared" si="8"/>
        <v>9.8508182097006083E-2</v>
      </c>
      <c r="M19" s="3">
        <f t="shared" si="9"/>
        <v>10.151441014465666</v>
      </c>
      <c r="N19" s="13">
        <f t="shared" si="14"/>
        <v>3.7807680204124353E-2</v>
      </c>
      <c r="O19" s="8">
        <f>1-GEVCUM(KVD!$D$36,KVD!$E$36,KVD!$F$36,$A19)</f>
        <v>0.34701436549888676</v>
      </c>
      <c r="P19" s="3">
        <f t="shared" si="10"/>
        <v>0.42620014918029103</v>
      </c>
      <c r="Q19" s="3">
        <f t="shared" si="11"/>
        <v>2.346315462167941</v>
      </c>
      <c r="R19" s="13">
        <f t="shared" si="15"/>
        <v>0.12807203480333562</v>
      </c>
      <c r="S19" s="8">
        <f>1-GEVCUM(KVD!$D$37,KVD!$E$37,KVD!$F$37,$A19)</f>
        <v>0.41933593747925291</v>
      </c>
      <c r="T19" s="3">
        <f t="shared" si="16"/>
        <v>0.5435828949997259</v>
      </c>
      <c r="U19" s="9">
        <f t="shared" si="17"/>
        <v>1.8396458188782858</v>
      </c>
      <c r="V19" s="32">
        <f t="shared" si="18"/>
        <v>0.15279521454586131</v>
      </c>
    </row>
    <row r="20" spans="1:22" x14ac:dyDescent="0.25">
      <c r="A20" s="23">
        <f t="shared" si="4"/>
        <v>97.5</v>
      </c>
      <c r="B20" s="13">
        <f t="shared" si="5"/>
        <v>95</v>
      </c>
      <c r="C20" s="8">
        <f>1-GEVCUM(KVD!$D$33,KVD!$E$33,KVD!$F$33,$A20)</f>
        <v>5.5555525384272109E-3</v>
      </c>
      <c r="D20" s="3">
        <f t="shared" si="0"/>
        <v>5.5710420154715746E-3</v>
      </c>
      <c r="E20" s="3">
        <f t="shared" si="1"/>
        <v>179.49963350175031</v>
      </c>
      <c r="F20" s="32">
        <f t="shared" si="6"/>
        <v>2.3960693289223475E-3</v>
      </c>
      <c r="G20" s="8">
        <f>1-GEVCUM(KVD!$D$34,KVD!$E$34,KVD!$F$34,$A20)</f>
        <v>1.785992961048033E-2</v>
      </c>
      <c r="H20" s="3">
        <f t="shared" si="2"/>
        <v>1.8021342928283775E-2</v>
      </c>
      <c r="I20" s="3">
        <f t="shared" si="3"/>
        <v>55.489760334705139</v>
      </c>
      <c r="J20" s="13">
        <f t="shared" si="7"/>
        <v>7.4695816840371111E-3</v>
      </c>
      <c r="K20" s="8">
        <f>1-GEVCUM(KVD!$D$35,KVD!$E$35,KVD!$F$35,$A20)</f>
        <v>6.8864866379419132E-2</v>
      </c>
      <c r="L20" s="3">
        <f t="shared" si="8"/>
        <v>7.1350863343864854E-2</v>
      </c>
      <c r="M20" s="3">
        <f t="shared" si="9"/>
        <v>14.015247372419994</v>
      </c>
      <c r="N20" s="13">
        <f t="shared" si="14"/>
        <v>2.715731875314123E-2</v>
      </c>
      <c r="O20" s="8">
        <f>1-GEVCUM(KVD!$D$36,KVD!$E$36,KVD!$F$36,$A20)</f>
        <v>0.27867760904318362</v>
      </c>
      <c r="P20" s="3">
        <f t="shared" si="10"/>
        <v>0.32666909745214701</v>
      </c>
      <c r="Q20" s="3">
        <f t="shared" si="11"/>
        <v>3.0612017108428438</v>
      </c>
      <c r="R20" s="13">
        <f t="shared" si="15"/>
        <v>9.9531051728144027E-2</v>
      </c>
      <c r="S20" s="8">
        <f>1-GEVCUM(KVD!$D$37,KVD!$E$37,KVD!$F$37,$A20)</f>
        <v>0.34469209504681642</v>
      </c>
      <c r="T20" s="3">
        <f t="shared" si="16"/>
        <v>0.42265006990371651</v>
      </c>
      <c r="U20" s="9">
        <f t="shared" si="17"/>
        <v>2.3660235055155887</v>
      </c>
      <c r="V20" s="32">
        <f t="shared" si="18"/>
        <v>0.12093282509600939</v>
      </c>
    </row>
    <row r="21" spans="1:22" x14ac:dyDescent="0.25">
      <c r="A21" s="23">
        <f t="shared" si="4"/>
        <v>102.5</v>
      </c>
      <c r="B21" s="13">
        <f t="shared" si="5"/>
        <v>100</v>
      </c>
      <c r="C21" s="8">
        <f>1-GEVCUM(KVD!$D$33,KVD!$E$33,KVD!$F$33,$A21)</f>
        <v>3.9234932156868574E-3</v>
      </c>
      <c r="D21" s="3">
        <f t="shared" si="0"/>
        <v>3.9312103071111135E-3</v>
      </c>
      <c r="E21" s="3">
        <f t="shared" si="1"/>
        <v>254.37458743713441</v>
      </c>
      <c r="F21" s="32">
        <f t="shared" si="6"/>
        <v>1.639831708360461E-3</v>
      </c>
      <c r="G21" s="8">
        <f>1-GEVCUM(KVD!$D$34,KVD!$E$34,KVD!$F$34,$A21)</f>
        <v>1.274311513929649E-2</v>
      </c>
      <c r="H21" s="3">
        <f t="shared" si="2"/>
        <v>1.2825005063342922E-2</v>
      </c>
      <c r="I21" s="3">
        <f t="shared" si="3"/>
        <v>77.972678767843192</v>
      </c>
      <c r="J21" s="13">
        <f t="shared" si="7"/>
        <v>5.1963378649408538E-3</v>
      </c>
      <c r="K21" s="8">
        <f>1-GEVCUM(KVD!$D$35,KVD!$E$35,KVD!$F$35,$A21)</f>
        <v>5.0479358617030123E-2</v>
      </c>
      <c r="L21" s="3">
        <f t="shared" si="8"/>
        <v>5.1798009752851336E-2</v>
      </c>
      <c r="M21" s="3">
        <f t="shared" si="9"/>
        <v>19.305761066330408</v>
      </c>
      <c r="N21" s="13">
        <f t="shared" si="14"/>
        <v>1.9552853591013525E-2</v>
      </c>
      <c r="O21" s="8">
        <f>1-GEVCUM(KVD!$D$36,KVD!$E$36,KVD!$F$36,$A21)</f>
        <v>0.22085507658859593</v>
      </c>
      <c r="P21" s="3">
        <f t="shared" si="10"/>
        <v>0.24955821265893346</v>
      </c>
      <c r="Q21" s="3">
        <f t="shared" si="11"/>
        <v>4.0070811108375795</v>
      </c>
      <c r="R21" s="13">
        <f t="shared" si="15"/>
        <v>7.7110884793213541E-2</v>
      </c>
      <c r="S21" s="8">
        <f>1-GEVCUM(KVD!$D$37,KVD!$E$37,KVD!$F$37,$A21)</f>
        <v>0.27912692421661345</v>
      </c>
      <c r="T21" s="3">
        <f t="shared" si="16"/>
        <v>0.32729219632928147</v>
      </c>
      <c r="U21" s="9">
        <f t="shared" si="17"/>
        <v>3.0553737950840785</v>
      </c>
      <c r="V21" s="32">
        <f t="shared" si="18"/>
        <v>9.5357873574435037E-2</v>
      </c>
    </row>
    <row r="22" spans="1:22" x14ac:dyDescent="0.25">
      <c r="A22" s="23">
        <f t="shared" si="4"/>
        <v>107.5</v>
      </c>
      <c r="B22" s="13">
        <f t="shared" si="5"/>
        <v>105</v>
      </c>
      <c r="C22" s="8">
        <f>1-GEVCUM(KVD!$D$33,KVD!$E$33,KVD!$F$33,$A22)</f>
        <v>2.794258905647995E-3</v>
      </c>
      <c r="D22" s="3">
        <f t="shared" si="0"/>
        <v>2.7981701347541779E-3</v>
      </c>
      <c r="E22" s="3">
        <f t="shared" si="1"/>
        <v>357.37641095502971</v>
      </c>
      <c r="F22" s="32">
        <f t="shared" si="6"/>
        <v>3.9312103071111135E-3</v>
      </c>
      <c r="G22" s="8">
        <f>1-GEVCUM(KVD!$D$34,KVD!$E$34,KVD!$F$34,$A22)</f>
        <v>9.1431636564507368E-3</v>
      </c>
      <c r="H22" s="3">
        <f t="shared" si="2"/>
        <v>9.1852189189824702E-3</v>
      </c>
      <c r="I22" s="3">
        <f t="shared" si="3"/>
        <v>108.87056790049584</v>
      </c>
      <c r="J22" s="13">
        <f t="shared" si="7"/>
        <v>3.6397861443604514E-3</v>
      </c>
      <c r="K22" s="8">
        <f>1-GEVCUM(KVD!$D$35,KVD!$E$35,KVD!$F$35,$A22)</f>
        <v>3.6986388869650777E-2</v>
      </c>
      <c r="L22" s="3">
        <f t="shared" si="8"/>
        <v>3.7687733192153086E-2</v>
      </c>
      <c r="M22" s="3">
        <f t="shared" si="9"/>
        <v>26.533832504635985</v>
      </c>
      <c r="N22" s="13">
        <f t="shared" si="14"/>
        <v>1.4110276560698243E-2</v>
      </c>
      <c r="O22" s="8">
        <f>1-GEVCUM(KVD!$D$36,KVD!$E$36,KVD!$F$36,$A22)</f>
        <v>0.17304649326229737</v>
      </c>
      <c r="P22" s="3">
        <f t="shared" si="10"/>
        <v>0.19000680471933196</v>
      </c>
      <c r="Q22" s="3">
        <f t="shared" si="11"/>
        <v>5.2629694051070821</v>
      </c>
      <c r="R22" s="13">
        <f t="shared" si="15"/>
        <v>5.9551407939601508E-2</v>
      </c>
      <c r="S22" s="8">
        <f>1-GEVCUM(KVD!$D$37,KVD!$E$37,KVD!$F$37,$A22)</f>
        <v>0.22305837647039317</v>
      </c>
      <c r="T22" s="3">
        <f t="shared" si="16"/>
        <v>0.25239006202946057</v>
      </c>
      <c r="U22" s="9">
        <f t="shared" si="17"/>
        <v>3.9621211388397444</v>
      </c>
      <c r="V22" s="32">
        <f t="shared" si="18"/>
        <v>7.4902134299820899E-2</v>
      </c>
    </row>
    <row r="23" spans="1:22" x14ac:dyDescent="0.25">
      <c r="A23" s="23">
        <f t="shared" si="4"/>
        <v>112.5</v>
      </c>
      <c r="B23" s="13">
        <f t="shared" si="5"/>
        <v>110</v>
      </c>
      <c r="C23" s="8"/>
      <c r="D23" s="3"/>
      <c r="E23" s="3"/>
      <c r="F23" s="32"/>
      <c r="G23" s="8">
        <f>1-GEVCUM(KVD!$D$34,KVD!$E$34,KVD!$F$34,$A23)</f>
        <v>6.5969808900263605E-3</v>
      </c>
      <c r="H23" s="3">
        <f t="shared" si="2"/>
        <v>6.6188371450195379E-3</v>
      </c>
      <c r="I23" s="3">
        <f t="shared" si="3"/>
        <v>151.08394089322289</v>
      </c>
      <c r="J23" s="13">
        <f t="shared" si="7"/>
        <v>9.1852189189824702E-3</v>
      </c>
      <c r="K23" s="8">
        <f>1-GEVCUM(KVD!$D$35,KVD!$E$35,KVD!$F$35,$A23)</f>
        <v>2.7107695105319074E-2</v>
      </c>
      <c r="L23" s="3">
        <f t="shared" si="8"/>
        <v>2.7481886483488413E-2</v>
      </c>
      <c r="M23" s="3">
        <f t="shared" si="9"/>
        <v>36.387603907789121</v>
      </c>
      <c r="N23" s="13">
        <f t="shared" si="14"/>
        <v>1.0205846708664673E-2</v>
      </c>
      <c r="O23" s="8">
        <f>1-GEVCUM(KVD!$D$36,KVD!$E$36,KVD!$F$36,$A23)</f>
        <v>0.13425592458524926</v>
      </c>
      <c r="P23" s="3">
        <f t="shared" si="10"/>
        <v>0.14416593902102784</v>
      </c>
      <c r="Q23" s="3">
        <f t="shared" si="11"/>
        <v>6.9364511949951053</v>
      </c>
      <c r="R23" s="13">
        <f t="shared" si="15"/>
        <v>4.5840865698304117E-2</v>
      </c>
      <c r="S23" s="8">
        <f>1-GEVCUM(KVD!$D$37,KVD!$E$37,KVD!$F$37,$A23)</f>
        <v>0.17616868860890089</v>
      </c>
      <c r="T23" s="3">
        <f t="shared" si="16"/>
        <v>0.19378948921605751</v>
      </c>
      <c r="U23" s="9">
        <f t="shared" si="17"/>
        <v>5.160238586960161</v>
      </c>
      <c r="V23" s="32">
        <f t="shared" si="18"/>
        <v>5.8600572813403057E-2</v>
      </c>
    </row>
    <row r="24" spans="1:22" x14ac:dyDescent="0.25">
      <c r="A24" s="23">
        <f t="shared" si="4"/>
        <v>117.5</v>
      </c>
      <c r="B24" s="13">
        <f t="shared" si="5"/>
        <v>115</v>
      </c>
      <c r="C24" s="8"/>
      <c r="D24" s="3"/>
      <c r="E24" s="3"/>
      <c r="F24" s="32"/>
      <c r="G24" s="8"/>
      <c r="H24" s="3"/>
      <c r="I24" s="3"/>
      <c r="J24" s="13"/>
      <c r="K24" s="8">
        <f>1-GEVCUM(KVD!$D$35,KVD!$E$35,KVD!$F$35,$A24)</f>
        <v>1.9883170072829359E-2</v>
      </c>
      <c r="L24" s="3">
        <f t="shared" si="8"/>
        <v>2.0083500211570227E-2</v>
      </c>
      <c r="M24" s="3">
        <f t="shared" si="9"/>
        <v>49.792117383198665</v>
      </c>
      <c r="N24" s="13">
        <f t="shared" si="14"/>
        <v>7.3983862719181857E-3</v>
      </c>
      <c r="O24" s="8">
        <f>1-GEVCUM(KVD!$D$36,KVD!$E$36,KVD!$F$36,$A24)</f>
        <v>0.10326670409390326</v>
      </c>
      <c r="P24" s="3">
        <f t="shared" si="10"/>
        <v>0.10899679011307585</v>
      </c>
      <c r="Q24" s="3">
        <f t="shared" si="11"/>
        <v>9.1745821043223046</v>
      </c>
      <c r="R24" s="13">
        <f t="shared" si="15"/>
        <v>3.5169148907951989E-2</v>
      </c>
      <c r="S24" s="8">
        <f>1-GEVCUM(KVD!$D$37,KVD!$E$37,KVD!$F$37,$A24)</f>
        <v>0.1376818556268552</v>
      </c>
      <c r="T24" s="3">
        <f t="shared" si="16"/>
        <v>0.14813099941159802</v>
      </c>
      <c r="U24" s="9">
        <f t="shared" si="17"/>
        <v>6.7507814297626636</v>
      </c>
      <c r="V24" s="32">
        <f t="shared" si="18"/>
        <v>4.5658489804459496E-2</v>
      </c>
    </row>
    <row r="25" spans="1:22" x14ac:dyDescent="0.25">
      <c r="A25" s="23">
        <f t="shared" si="4"/>
        <v>122.5</v>
      </c>
      <c r="B25" s="13">
        <f t="shared" si="5"/>
        <v>120</v>
      </c>
      <c r="C25" s="8"/>
      <c r="D25" s="3"/>
      <c r="E25" s="3"/>
      <c r="F25" s="32"/>
      <c r="G25" s="8"/>
      <c r="H25" s="3"/>
      <c r="I25" s="3"/>
      <c r="J25" s="13"/>
      <c r="K25" s="8">
        <f>1-GEVCUM(KVD!$D$35,KVD!$E$35,KVD!$F$35,$A25)</f>
        <v>1.4600766749749305E-2</v>
      </c>
      <c r="L25" s="3">
        <f t="shared" si="8"/>
        <v>1.4708406982734677E-2</v>
      </c>
      <c r="M25" s="3">
        <f t="shared" si="9"/>
        <v>67.988328115603579</v>
      </c>
      <c r="N25" s="13">
        <f t="shared" si="14"/>
        <v>2.0083500211570227E-2</v>
      </c>
      <c r="O25" s="8">
        <f>1-GEVCUM(KVD!$D$36,KVD!$E$36,KVD!$F$36,$A25)</f>
        <v>7.8826942733049798E-2</v>
      </c>
      <c r="P25" s="3">
        <f t="shared" si="10"/>
        <v>8.210735889390082E-2</v>
      </c>
      <c r="Q25" s="3">
        <f t="shared" si="11"/>
        <v>12.179176306135977</v>
      </c>
      <c r="R25" s="13">
        <f t="shared" si="15"/>
        <v>2.6889431219175031E-2</v>
      </c>
      <c r="S25" s="8">
        <f>1-GEVCUM(KVD!$D$37,KVD!$E$37,KVD!$F$37,$A25)</f>
        <v>0.10658799772531669</v>
      </c>
      <c r="T25" s="3">
        <f t="shared" si="16"/>
        <v>0.11270743577481666</v>
      </c>
      <c r="U25" s="9">
        <f t="shared" si="17"/>
        <v>8.8725290671854662</v>
      </c>
      <c r="V25" s="32">
        <f t="shared" si="18"/>
        <v>3.5423563636781341E-2</v>
      </c>
    </row>
    <row r="26" spans="1:22" x14ac:dyDescent="0.25">
      <c r="A26" s="23">
        <f t="shared" si="4"/>
        <v>127.5</v>
      </c>
      <c r="B26" s="13">
        <f t="shared" si="5"/>
        <v>125</v>
      </c>
      <c r="C26" s="8"/>
      <c r="D26" s="3"/>
      <c r="E26" s="3"/>
      <c r="F26" s="32"/>
      <c r="G26" s="8"/>
      <c r="H26" s="3"/>
      <c r="I26" s="3"/>
      <c r="J26" s="13"/>
      <c r="K26" s="8"/>
      <c r="L26" s="3"/>
      <c r="M26" s="3"/>
      <c r="N26" s="13"/>
      <c r="O26" s="8">
        <f>1-GEVCUM(KVD!$D$36,KVD!$E$36,KVD!$F$36,$A26)</f>
        <v>5.9760463378735751E-2</v>
      </c>
      <c r="P26" s="3">
        <f t="shared" si="10"/>
        <v>6.1620609987932666E-2</v>
      </c>
      <c r="Q26" s="3">
        <f t="shared" si="11"/>
        <v>16.228336593809001</v>
      </c>
      <c r="R26" s="13">
        <f t="shared" si="15"/>
        <v>2.0486748905968161E-2</v>
      </c>
      <c r="S26" s="8">
        <f>1-GEVCUM(KVD!$D$37,KVD!$E$37,KVD!$F$37,$A26)</f>
        <v>8.1804833196432947E-2</v>
      </c>
      <c r="T26" s="3">
        <f t="shared" si="16"/>
        <v>8.5345310953939157E-2</v>
      </c>
      <c r="U26" s="9">
        <f t="shared" si="17"/>
        <v>11.717105354970231</v>
      </c>
      <c r="V26" s="32">
        <f t="shared" si="18"/>
        <v>2.736212482087752E-2</v>
      </c>
    </row>
    <row r="27" spans="1:22" x14ac:dyDescent="0.25">
      <c r="A27" s="23">
        <f t="shared" si="4"/>
        <v>132.5</v>
      </c>
      <c r="B27" s="13">
        <f t="shared" si="5"/>
        <v>130</v>
      </c>
      <c r="C27" s="8"/>
      <c r="D27" s="3"/>
      <c r="E27" s="3"/>
      <c r="F27" s="32"/>
      <c r="G27" s="8"/>
      <c r="H27" s="3"/>
      <c r="I27" s="3"/>
      <c r="J27" s="13"/>
      <c r="K27" s="8"/>
      <c r="L27" s="3"/>
      <c r="M27" s="3"/>
      <c r="N27" s="13"/>
      <c r="O27" s="8">
        <f>1-GEVCUM(KVD!$D$36,KVD!$E$36,KVD!$F$36,$A27)</f>
        <v>4.5023242797633922E-2</v>
      </c>
      <c r="P27" s="3">
        <f t="shared" si="10"/>
        <v>4.6068276805574564E-2</v>
      </c>
      <c r="Q27" s="3">
        <f t="shared" si="11"/>
        <v>21.706911335546057</v>
      </c>
      <c r="R27" s="13">
        <f t="shared" si="15"/>
        <v>1.5552333182358095E-2</v>
      </c>
      <c r="S27" s="8">
        <f>1-GEVCUM(KVD!$D$37,KVD!$E$37,KVD!$F$37,$A27)</f>
        <v>6.2282204946421449E-2</v>
      </c>
      <c r="T27" s="3">
        <f t="shared" si="16"/>
        <v>6.430623339464088E-2</v>
      </c>
      <c r="U27" s="9">
        <f t="shared" si="17"/>
        <v>15.550592022131054</v>
      </c>
      <c r="V27" s="32">
        <f t="shared" si="18"/>
        <v>2.1039077559298278E-2</v>
      </c>
    </row>
    <row r="28" spans="1:22" x14ac:dyDescent="0.25">
      <c r="A28" s="23">
        <f t="shared" si="4"/>
        <v>137.5</v>
      </c>
      <c r="B28" s="13">
        <f t="shared" si="5"/>
        <v>135</v>
      </c>
      <c r="C28" s="8"/>
      <c r="D28" s="3"/>
      <c r="E28" s="3"/>
      <c r="F28" s="32"/>
      <c r="G28" s="8"/>
      <c r="H28" s="3"/>
      <c r="I28" s="3"/>
      <c r="J28" s="13"/>
      <c r="K28" s="8"/>
      <c r="L28" s="3"/>
      <c r="M28" s="3"/>
      <c r="N28" s="13"/>
      <c r="O28" s="8">
        <f>1-GEVCUM(KVD!$D$36,KVD!$E$36,KVD!$F$36,$A28)</f>
        <v>3.3723815082059239E-2</v>
      </c>
      <c r="P28" s="3">
        <f t="shared" si="10"/>
        <v>3.4305579920714674E-2</v>
      </c>
      <c r="Q28" s="3">
        <f t="shared" si="11"/>
        <v>29.149776867528534</v>
      </c>
      <c r="R28" s="13">
        <f t="shared" si="15"/>
        <v>1.176269688485989E-2</v>
      </c>
      <c r="S28" s="8">
        <f>1-GEVCUM(KVD!$D$37,KVD!$E$37,KVD!$F$37,$A28)</f>
        <v>4.7061849305314318E-2</v>
      </c>
      <c r="T28" s="3">
        <f t="shared" si="16"/>
        <v>4.8205277019853415E-2</v>
      </c>
      <c r="U28" s="9">
        <f t="shared" si="17"/>
        <v>20.744616810067257</v>
      </c>
      <c r="V28" s="32">
        <f t="shared" si="18"/>
        <v>1.6100956374787465E-2</v>
      </c>
    </row>
    <row r="29" spans="1:22" x14ac:dyDescent="0.25">
      <c r="A29" s="23">
        <f t="shared" si="4"/>
        <v>142.5</v>
      </c>
      <c r="B29" s="13">
        <f t="shared" si="5"/>
        <v>140</v>
      </c>
      <c r="C29" s="8"/>
      <c r="D29" s="3"/>
      <c r="E29" s="3"/>
      <c r="F29" s="32"/>
      <c r="G29" s="8"/>
      <c r="H29" s="3"/>
      <c r="I29" s="3"/>
      <c r="J29" s="13"/>
      <c r="K29" s="8"/>
      <c r="L29" s="3"/>
      <c r="M29" s="3"/>
      <c r="N29" s="13"/>
      <c r="O29" s="8">
        <f>1-GEVCUM(KVD!$D$36,KVD!$E$36,KVD!$F$36,$A29)</f>
        <v>2.5121995236140338E-2</v>
      </c>
      <c r="P29" s="3">
        <f t="shared" si="10"/>
        <v>2.5442939131983696E-2</v>
      </c>
      <c r="Q29" s="3">
        <f t="shared" si="11"/>
        <v>39.303635276276886</v>
      </c>
      <c r="R29" s="13">
        <f t="shared" si="15"/>
        <v>8.8626407887309779E-3</v>
      </c>
      <c r="S29" s="8">
        <f>1-GEVCUM(KVD!$D$37,KVD!$E$37,KVD!$F$37,$A29)</f>
        <v>3.5305305410690102E-2</v>
      </c>
      <c r="T29" s="3">
        <f t="shared" si="16"/>
        <v>3.5943606365366712E-2</v>
      </c>
      <c r="U29" s="9">
        <f t="shared" si="17"/>
        <v>27.821359655316755</v>
      </c>
      <c r="V29" s="32">
        <f t="shared" si="18"/>
        <v>1.2261670654486703E-2</v>
      </c>
    </row>
    <row r="30" spans="1:22" x14ac:dyDescent="0.25">
      <c r="A30" s="23">
        <f t="shared" si="4"/>
        <v>147.5</v>
      </c>
      <c r="B30" s="13">
        <f t="shared" si="5"/>
        <v>145</v>
      </c>
      <c r="C30" s="8"/>
      <c r="D30" s="3"/>
      <c r="E30" s="3"/>
      <c r="F30" s="32"/>
      <c r="G30" s="8"/>
      <c r="H30" s="3"/>
      <c r="I30" s="3"/>
      <c r="J30" s="13"/>
      <c r="K30" s="8"/>
      <c r="L30" s="3"/>
      <c r="M30" s="3"/>
      <c r="N30" s="13"/>
      <c r="O30" s="8">
        <f>1-GEVCUM(KVD!$D$36,KVD!$E$36,KVD!$F$36,$A30)</f>
        <v>1.8615997359692438E-2</v>
      </c>
      <c r="P30" s="3">
        <f t="shared" si="10"/>
        <v>1.8791456009110405E-2</v>
      </c>
      <c r="Q30" s="3">
        <f t="shared" si="11"/>
        <v>53.215674161447822</v>
      </c>
      <c r="R30" s="13">
        <f t="shared" si="15"/>
        <v>6.6514831228732911E-3</v>
      </c>
      <c r="S30" s="8">
        <f>1-GEVCUM(KVD!$D$37,KVD!$E$37,KVD!$F$37,$A30)</f>
        <v>2.6301000851898459E-2</v>
      </c>
      <c r="T30" s="3">
        <f t="shared" si="16"/>
        <v>2.6653058883236155E-2</v>
      </c>
      <c r="U30" s="9">
        <f t="shared" si="17"/>
        <v>37.519145715352209</v>
      </c>
      <c r="V30" s="32">
        <f t="shared" si="18"/>
        <v>9.2905474821305539E-3</v>
      </c>
    </row>
    <row r="31" spans="1:22" x14ac:dyDescent="0.25">
      <c r="A31" s="23">
        <f t="shared" si="4"/>
        <v>152.5</v>
      </c>
      <c r="B31" s="13">
        <f t="shared" si="5"/>
        <v>150</v>
      </c>
      <c r="C31" s="8"/>
      <c r="D31" s="3"/>
      <c r="E31" s="3"/>
      <c r="F31" s="32"/>
      <c r="G31" s="8"/>
      <c r="H31" s="3"/>
      <c r="I31" s="3"/>
      <c r="J31" s="13"/>
      <c r="K31" s="8"/>
      <c r="L31" s="3"/>
      <c r="M31" s="3"/>
      <c r="N31" s="13"/>
      <c r="O31" s="8">
        <f>1-GEVCUM(KVD!$D$36,KVD!$E$36,KVD!$F$36,$A31)</f>
        <v>1.3724472119439723E-2</v>
      </c>
      <c r="P31" s="3">
        <f t="shared" si="10"/>
        <v>1.3819523374461752E-2</v>
      </c>
      <c r="Q31" s="3">
        <f t="shared" si="11"/>
        <v>72.361395751750976</v>
      </c>
      <c r="R31" s="13">
        <f t="shared" si="15"/>
        <v>1.8791456009110405E-2</v>
      </c>
      <c r="S31" s="8">
        <f>1-GEVCUM(KVD!$D$37,KVD!$E$37,KVD!$F$37,$A31)</f>
        <v>1.9458907797667568E-2</v>
      </c>
      <c r="T31" s="3">
        <f t="shared" si="16"/>
        <v>1.9650724787570892E-2</v>
      </c>
      <c r="U31" s="9">
        <f t="shared" si="17"/>
        <v>50.888708218665869</v>
      </c>
      <c r="V31" s="32">
        <f t="shared" si="18"/>
        <v>7.0023340956652663E-3</v>
      </c>
    </row>
    <row r="32" spans="1:22" x14ac:dyDescent="0.25">
      <c r="A32" s="23">
        <f t="shared" si="4"/>
        <v>157.5</v>
      </c>
      <c r="B32" s="13">
        <f t="shared" si="5"/>
        <v>155</v>
      </c>
      <c r="C32" s="8"/>
      <c r="D32" s="3"/>
      <c r="E32" s="3"/>
      <c r="F32" s="32"/>
      <c r="G32" s="8"/>
      <c r="H32" s="3"/>
      <c r="I32" s="3"/>
      <c r="J32" s="13"/>
      <c r="K32" s="8"/>
      <c r="L32" s="3"/>
      <c r="M32" s="3"/>
      <c r="N32" s="13"/>
      <c r="O32" s="8"/>
      <c r="P32" s="3"/>
      <c r="Q32" s="3"/>
      <c r="R32" s="13"/>
      <c r="S32" s="8">
        <f>1-GEVCUM(KVD!$D$37,KVD!$E$37,KVD!$F$37,$A32)</f>
        <v>1.4298647741049719E-2</v>
      </c>
      <c r="T32" s="3">
        <f t="shared" si="16"/>
        <v>1.4401858434896431E-2</v>
      </c>
      <c r="U32" s="9">
        <f t="shared" si="17"/>
        <v>69.43548324131207</v>
      </c>
      <c r="V32" s="32">
        <f t="shared" si="18"/>
        <v>1.9650724787570892E-2</v>
      </c>
    </row>
    <row r="33" spans="1:22" x14ac:dyDescent="0.25">
      <c r="A33" s="23">
        <f t="shared" si="4"/>
        <v>162.5</v>
      </c>
      <c r="B33" s="13">
        <f t="shared" si="5"/>
        <v>160</v>
      </c>
      <c r="C33" s="8"/>
      <c r="D33" s="3"/>
      <c r="E33" s="3"/>
      <c r="F33" s="32"/>
      <c r="G33" s="8"/>
      <c r="H33" s="3"/>
      <c r="I33" s="3"/>
      <c r="J33" s="13"/>
      <c r="K33" s="8"/>
      <c r="L33" s="3"/>
      <c r="M33" s="3"/>
      <c r="N33" s="13"/>
      <c r="O33" s="8"/>
      <c r="P33" s="3"/>
      <c r="Q33" s="3"/>
      <c r="R33" s="13"/>
      <c r="S33" s="8"/>
      <c r="T33" s="3"/>
      <c r="U33" s="9"/>
      <c r="V33" s="32"/>
    </row>
    <row r="34" spans="1:22" x14ac:dyDescent="0.25">
      <c r="A34" s="23">
        <f t="shared" si="4"/>
        <v>167.5</v>
      </c>
      <c r="B34" s="13">
        <f t="shared" si="5"/>
        <v>165</v>
      </c>
      <c r="C34" s="8"/>
      <c r="D34" s="3"/>
      <c r="E34" s="3"/>
      <c r="F34" s="32"/>
      <c r="G34" s="8"/>
      <c r="H34" s="3"/>
      <c r="I34" s="3"/>
      <c r="J34" s="13"/>
      <c r="K34" s="8"/>
      <c r="L34" s="3"/>
      <c r="M34" s="3"/>
      <c r="N34" s="13"/>
      <c r="O34" s="8"/>
      <c r="P34" s="3"/>
      <c r="Q34" s="3"/>
      <c r="R34" s="13"/>
      <c r="S34" s="8"/>
      <c r="T34" s="3"/>
      <c r="U34" s="9"/>
      <c r="V34" s="32"/>
    </row>
    <row r="35" spans="1:22" x14ac:dyDescent="0.25">
      <c r="A35" s="23">
        <f t="shared" si="4"/>
        <v>172.5</v>
      </c>
      <c r="B35" s="13">
        <f t="shared" si="5"/>
        <v>170</v>
      </c>
      <c r="C35" s="8"/>
      <c r="D35" s="3"/>
      <c r="E35" s="3"/>
      <c r="F35" s="32"/>
      <c r="G35" s="8"/>
      <c r="H35" s="3"/>
      <c r="I35" s="3"/>
      <c r="J35" s="13"/>
      <c r="K35" s="8"/>
      <c r="L35" s="3"/>
      <c r="M35" s="3"/>
      <c r="N35" s="13"/>
      <c r="O35" s="8"/>
      <c r="P35" s="3"/>
      <c r="Q35" s="3"/>
      <c r="R35" s="13"/>
      <c r="S35" s="8"/>
      <c r="T35" s="3"/>
      <c r="U35" s="9"/>
      <c r="V35" s="32"/>
    </row>
    <row r="36" spans="1:22" x14ac:dyDescent="0.25">
      <c r="A36" s="23">
        <f t="shared" si="4"/>
        <v>177.5</v>
      </c>
      <c r="B36" s="13">
        <f t="shared" si="5"/>
        <v>175</v>
      </c>
      <c r="C36" s="8"/>
      <c r="D36" s="3"/>
      <c r="E36" s="3"/>
      <c r="F36" s="32"/>
      <c r="G36" s="8"/>
      <c r="H36" s="3"/>
      <c r="I36" s="3"/>
      <c r="J36" s="13"/>
      <c r="K36" s="8"/>
      <c r="L36" s="3"/>
      <c r="M36" s="3"/>
      <c r="N36" s="13"/>
      <c r="O36" s="8"/>
      <c r="P36" s="3"/>
      <c r="Q36" s="3"/>
      <c r="R36" s="13"/>
      <c r="S36" s="8"/>
      <c r="T36" s="3"/>
      <c r="U36" s="9"/>
      <c r="V36" s="32"/>
    </row>
    <row r="37" spans="1:22" x14ac:dyDescent="0.25">
      <c r="A37" s="14">
        <f t="shared" si="4"/>
        <v>182.5</v>
      </c>
      <c r="B37" s="15">
        <f t="shared" si="5"/>
        <v>180</v>
      </c>
      <c r="C37" s="10"/>
      <c r="D37" s="4"/>
      <c r="E37" s="4"/>
      <c r="F37" s="33"/>
      <c r="G37" s="10"/>
      <c r="H37" s="4"/>
      <c r="I37" s="4"/>
      <c r="J37" s="15"/>
      <c r="K37" s="10"/>
      <c r="L37" s="4"/>
      <c r="M37" s="4"/>
      <c r="N37" s="15"/>
      <c r="O37" s="8"/>
      <c r="P37" s="3"/>
      <c r="Q37" s="3"/>
      <c r="R37" s="13"/>
      <c r="S37" s="8"/>
      <c r="T37" s="3"/>
      <c r="U37" s="9"/>
      <c r="V37" s="32"/>
    </row>
    <row r="38" spans="1:22" x14ac:dyDescent="0.25">
      <c r="A38" s="14">
        <f t="shared" si="4"/>
        <v>187.5</v>
      </c>
      <c r="B38" s="15">
        <f t="shared" si="5"/>
        <v>185</v>
      </c>
      <c r="O38" s="8"/>
      <c r="P38" s="3"/>
      <c r="Q38" s="3"/>
      <c r="R38" s="13"/>
      <c r="S38" s="8"/>
      <c r="T38" s="3"/>
      <c r="U38" s="9"/>
      <c r="V38" s="32"/>
    </row>
    <row r="39" spans="1:22" x14ac:dyDescent="0.25">
      <c r="A39" s="14">
        <f t="shared" si="4"/>
        <v>192.5</v>
      </c>
      <c r="B39" s="15">
        <f t="shared" si="5"/>
        <v>190</v>
      </c>
      <c r="O39" s="8"/>
      <c r="P39" s="3"/>
      <c r="Q39" s="3"/>
      <c r="R39" s="13"/>
      <c r="S39" s="8"/>
      <c r="T39" s="3"/>
      <c r="U39" s="9"/>
      <c r="V39" s="32"/>
    </row>
    <row r="40" spans="1:22" x14ac:dyDescent="0.25">
      <c r="A40" s="14">
        <f t="shared" si="4"/>
        <v>197.5</v>
      </c>
      <c r="B40" s="15">
        <f t="shared" si="5"/>
        <v>195</v>
      </c>
      <c r="S40" s="8"/>
      <c r="T40" s="3"/>
      <c r="U40" s="9"/>
      <c r="V40" s="32"/>
    </row>
  </sheetData>
  <mergeCells count="11">
    <mergeCell ref="S2:U2"/>
    <mergeCell ref="A1:B2"/>
    <mergeCell ref="C1:F1"/>
    <mergeCell ref="G1:J1"/>
    <mergeCell ref="K1:N1"/>
    <mergeCell ref="O1:R1"/>
    <mergeCell ref="S1:V1"/>
    <mergeCell ref="C2:E2"/>
    <mergeCell ref="G2:I2"/>
    <mergeCell ref="K2:M2"/>
    <mergeCell ref="O2:Q2"/>
  </mergeCells>
  <pageMargins left="0.7" right="0.7" top="0.75" bottom="0.75" header="0.3" footer="0.3"/>
  <pageSetup paperSize="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Blad11">
    <tabColor theme="8" tint="-0.249977111117893"/>
  </sheetPr>
  <dimension ref="A1:V40"/>
  <sheetViews>
    <sheetView topLeftCell="H1" workbookViewId="0">
      <selection activeCell="V6" sqref="V6"/>
    </sheetView>
  </sheetViews>
  <sheetFormatPr defaultColWidth="9.140625" defaultRowHeight="15" x14ac:dyDescent="0.25"/>
  <cols>
    <col min="1" max="1" width="11.42578125" bestFit="1" customWidth="1"/>
    <col min="2" max="2" width="14" bestFit="1" customWidth="1"/>
    <col min="4" max="4" width="12.28515625" style="19" bestFit="1" customWidth="1"/>
    <col min="5" max="5" width="12" style="19" bestFit="1" customWidth="1"/>
    <col min="6" max="6" width="14.7109375" bestFit="1" customWidth="1"/>
    <col min="8" max="8" width="12.28515625" bestFit="1" customWidth="1"/>
    <col min="9" max="9" width="12" bestFit="1" customWidth="1"/>
    <col min="10" max="10" width="13.7109375" bestFit="1" customWidth="1"/>
    <col min="12" max="12" width="12.28515625" bestFit="1" customWidth="1"/>
    <col min="13" max="13" width="18.85546875" bestFit="1" customWidth="1"/>
    <col min="14" max="14" width="14.7109375" bestFit="1" customWidth="1"/>
    <col min="15" max="15" width="7.7109375" bestFit="1" customWidth="1"/>
    <col min="16" max="16" width="12.28515625" bestFit="1" customWidth="1"/>
    <col min="17" max="17" width="16.42578125" bestFit="1" customWidth="1"/>
    <col min="18" max="18" width="14.7109375" bestFit="1" customWidth="1"/>
    <col min="19" max="19" width="7.7109375" bestFit="1" customWidth="1"/>
    <col min="20" max="20" width="12.28515625" bestFit="1" customWidth="1"/>
    <col min="21" max="21" width="11.42578125" bestFit="1" customWidth="1"/>
    <col min="22" max="22" width="14.7109375" bestFit="1" customWidth="1"/>
  </cols>
  <sheetData>
    <row r="1" spans="1:22" x14ac:dyDescent="0.25">
      <c r="A1" s="50" t="s">
        <v>15</v>
      </c>
      <c r="B1" s="51"/>
      <c r="C1" s="63">
        <v>24</v>
      </c>
      <c r="D1" s="64"/>
      <c r="E1" s="64"/>
      <c r="F1" s="65"/>
      <c r="G1" s="66">
        <v>48</v>
      </c>
      <c r="H1" s="67"/>
      <c r="I1" s="67"/>
      <c r="J1" s="68"/>
      <c r="K1" s="66">
        <v>96</v>
      </c>
      <c r="L1" s="67"/>
      <c r="M1" s="67"/>
      <c r="N1" s="68"/>
      <c r="O1" s="66">
        <v>192</v>
      </c>
      <c r="P1" s="67"/>
      <c r="Q1" s="67"/>
      <c r="R1" s="68"/>
      <c r="S1" s="60">
        <v>216</v>
      </c>
      <c r="T1" s="61"/>
      <c r="U1" s="61"/>
      <c r="V1" s="62"/>
    </row>
    <row r="2" spans="1:22" x14ac:dyDescent="0.25">
      <c r="A2" s="52"/>
      <c r="B2" s="53"/>
      <c r="C2" s="57" t="s">
        <v>9</v>
      </c>
      <c r="D2" s="58"/>
      <c r="E2" s="59"/>
      <c r="F2" s="30">
        <f>24/24*365.25</f>
        <v>365.25</v>
      </c>
      <c r="G2" s="54" t="s">
        <v>9</v>
      </c>
      <c r="H2" s="55"/>
      <c r="I2" s="56"/>
      <c r="J2" s="30">
        <f>24/48*365.25</f>
        <v>182.625</v>
      </c>
      <c r="K2" s="54" t="s">
        <v>9</v>
      </c>
      <c r="L2" s="55"/>
      <c r="M2" s="56"/>
      <c r="N2" s="30">
        <f>24/96*365.25</f>
        <v>91.3125</v>
      </c>
      <c r="O2" s="54" t="s">
        <v>9</v>
      </c>
      <c r="P2" s="55"/>
      <c r="Q2" s="56"/>
      <c r="R2" s="30">
        <f>24/192*365.25</f>
        <v>45.65625</v>
      </c>
      <c r="S2" s="54" t="s">
        <v>9</v>
      </c>
      <c r="T2" s="55"/>
      <c r="U2" s="56"/>
      <c r="V2" s="30">
        <f>24/216*365.25</f>
        <v>40.583333333333329</v>
      </c>
    </row>
    <row r="3" spans="1:22" x14ac:dyDescent="0.25">
      <c r="A3" s="24" t="s">
        <v>12</v>
      </c>
      <c r="B3" s="27" t="s">
        <v>14</v>
      </c>
      <c r="C3" s="24" t="s">
        <v>8</v>
      </c>
      <c r="D3" s="25" t="s">
        <v>10</v>
      </c>
      <c r="E3" s="26" t="s">
        <v>17</v>
      </c>
      <c r="F3" s="36" t="s">
        <v>13</v>
      </c>
      <c r="G3" s="24" t="s">
        <v>8</v>
      </c>
      <c r="H3" s="25" t="s">
        <v>10</v>
      </c>
      <c r="I3" s="26" t="s">
        <v>17</v>
      </c>
      <c r="J3" s="29" t="s">
        <v>13</v>
      </c>
      <c r="K3" s="24" t="s">
        <v>8</v>
      </c>
      <c r="L3" s="25" t="s">
        <v>10</v>
      </c>
      <c r="M3" s="26" t="s">
        <v>17</v>
      </c>
      <c r="N3" s="29" t="s">
        <v>13</v>
      </c>
      <c r="O3" s="24" t="s">
        <v>8</v>
      </c>
      <c r="P3" s="25" t="s">
        <v>10</v>
      </c>
      <c r="Q3" s="26" t="s">
        <v>17</v>
      </c>
      <c r="R3" s="29" t="s">
        <v>13</v>
      </c>
      <c r="S3" s="24" t="s">
        <v>8</v>
      </c>
      <c r="T3" s="25" t="s">
        <v>10</v>
      </c>
      <c r="U3" s="26" t="s">
        <v>17</v>
      </c>
      <c r="V3" s="29" t="s">
        <v>13</v>
      </c>
    </row>
    <row r="4" spans="1:22" x14ac:dyDescent="0.25">
      <c r="A4" s="34">
        <v>17.5</v>
      </c>
      <c r="B4" s="12">
        <f>A4-2.5</f>
        <v>15</v>
      </c>
      <c r="C4" s="8">
        <f>1-GEVCUM(KVD!$D$38,KVD!$E$38,KVD!$F$38,$A4)</f>
        <v>0.988406493198841</v>
      </c>
      <c r="D4" s="3">
        <f t="shared" ref="D4:D20" si="0">-LN(1-C4)</f>
        <v>4.4573100961138818</v>
      </c>
      <c r="E4" s="3">
        <f t="shared" ref="E4:E20" si="1">1/D4</f>
        <v>0.2243505563752122</v>
      </c>
      <c r="F4" s="31">
        <f>KLASSEFREQUENTIEUITHERHALINGSTIJD(F$2,E3,E4,E5)</f>
        <v>360.79268990388613</v>
      </c>
      <c r="G4" s="8">
        <f>1-GEVCUM(KVD!$D$39,KVD!$E$39,KVD!$F$39,$A4)</f>
        <v>0.99994680077443099</v>
      </c>
      <c r="H4" s="2">
        <f t="shared" ref="H4:H22" si="2">-LN(1-G4)</f>
        <v>9.8414667186960934</v>
      </c>
      <c r="I4" s="2">
        <f t="shared" ref="I4:I22" si="3">1/H4</f>
        <v>0.10161087047119446</v>
      </c>
      <c r="J4" s="12">
        <f>KLASSEFREQUENTIEUITHERHALINGSTIJD(J$2,I3,I4,I5)</f>
        <v>172.7835332813039</v>
      </c>
      <c r="K4" s="35"/>
      <c r="L4" s="2"/>
      <c r="M4" s="2"/>
      <c r="N4" s="12"/>
      <c r="O4" s="35"/>
      <c r="P4" s="2"/>
      <c r="Q4" s="2"/>
      <c r="R4" s="12"/>
      <c r="S4" s="35"/>
      <c r="T4" s="2"/>
      <c r="U4" s="37"/>
      <c r="V4" s="31"/>
    </row>
    <row r="5" spans="1:22" x14ac:dyDescent="0.25">
      <c r="A5" s="23">
        <f t="shared" ref="A5:A40" si="4">A4+5</f>
        <v>22.5</v>
      </c>
      <c r="B5" s="13">
        <f t="shared" ref="B5:B40" si="5">A5-2.5</f>
        <v>20</v>
      </c>
      <c r="C5" s="8">
        <f>1-GEVCUM(KVD!$D$38,KVD!$E$38,KVD!$F$38,$A5)</f>
        <v>0.84369389908727277</v>
      </c>
      <c r="D5" s="3">
        <f t="shared" si="0"/>
        <v>1.8559390089657055</v>
      </c>
      <c r="E5" s="3">
        <f t="shared" si="1"/>
        <v>0.53881080960590888</v>
      </c>
      <c r="F5" s="32">
        <f t="shared" ref="F5:F20" si="6">KLASSEFREQUENTIEUITHERHALINGSTIJD(F$2,E4,E5,E6)</f>
        <v>2.6013710871481761</v>
      </c>
      <c r="G5" s="8">
        <f>1-GEVCUM(KVD!$D$39,KVD!$E$39,KVD!$F$39,$A5)</f>
        <v>0.99343103809892586</v>
      </c>
      <c r="H5" s="3">
        <f t="shared" si="2"/>
        <v>5.0253994648946572</v>
      </c>
      <c r="I5" s="3">
        <f t="shared" si="3"/>
        <v>0.19898915638161355</v>
      </c>
      <c r="J5" s="13">
        <f t="shared" ref="J5:J22" si="7">KLASSEFREQUENTIEUITHERHALINGSTIJD(J$2,I4,I5,I6)</f>
        <v>4.8160672538014362</v>
      </c>
      <c r="K5" s="8">
        <f>1-GEVCUM(KVD!$D$40,KVD!$E$40,KVD!$F$40,$A5)</f>
        <v>0.9999681358502388</v>
      </c>
      <c r="L5" s="3">
        <f t="shared" ref="L5:L25" si="8">-LN(1-K5)</f>
        <v>10.354029012083549</v>
      </c>
      <c r="M5" s="3">
        <f t="shared" ref="M5:M25" si="9">1/L5</f>
        <v>9.6580760864486817E-2</v>
      </c>
      <c r="N5" s="13">
        <f>KLASSEFREQUENTIEUITHERHALINGSTIJD(N$2,M4,M5,M6)</f>
        <v>80.958470987916456</v>
      </c>
      <c r="O5" s="8"/>
      <c r="P5" s="3"/>
      <c r="Q5" s="3"/>
      <c r="R5" s="13"/>
      <c r="S5" s="8"/>
      <c r="T5" s="3"/>
      <c r="U5" s="9"/>
      <c r="V5" s="32"/>
    </row>
    <row r="6" spans="1:22" x14ac:dyDescent="0.25">
      <c r="A6" s="23">
        <f t="shared" si="4"/>
        <v>27.5</v>
      </c>
      <c r="B6" s="13">
        <f t="shared" si="5"/>
        <v>25</v>
      </c>
      <c r="C6" s="8">
        <f>1-GEVCUM(KVD!$D$38,KVD!$E$38,KVD!$F$38,$A6)</f>
        <v>0.55717620590916739</v>
      </c>
      <c r="D6" s="3">
        <f t="shared" si="0"/>
        <v>0.81458334406553801</v>
      </c>
      <c r="E6" s="3">
        <f t="shared" si="1"/>
        <v>1.2276214672019419</v>
      </c>
      <c r="F6" s="32">
        <f t="shared" si="6"/>
        <v>1.0413556649001676</v>
      </c>
      <c r="G6" s="8">
        <f>1-GEVCUM(KVD!$D$39,KVD!$E$39,KVD!$F$39,$A6)</f>
        <v>0.92788411612793587</v>
      </c>
      <c r="H6" s="3">
        <f t="shared" si="2"/>
        <v>2.6294809555971161</v>
      </c>
      <c r="I6" s="3">
        <f t="shared" si="3"/>
        <v>0.38030319172740112</v>
      </c>
      <c r="J6" s="13">
        <f t="shared" si="7"/>
        <v>2.395918509297541</v>
      </c>
      <c r="K6" s="8">
        <f>1-GEVCUM(KVD!$D$40,KVD!$E$40,KVD!$F$40,$A6)</f>
        <v>0.9985484563729804</v>
      </c>
      <c r="L6" s="3">
        <f t="shared" si="8"/>
        <v>6.5351277184444898</v>
      </c>
      <c r="M6" s="3">
        <f t="shared" si="9"/>
        <v>0.15301919764745209</v>
      </c>
      <c r="N6" s="13">
        <f t="shared" ref="N6:N25" si="10">KLASSEFREQUENTIEUITHERHALINGSTIJD(N$2,M5,M6,M7)</f>
        <v>3.8189012936390592</v>
      </c>
      <c r="O6" s="8">
        <f>1-GEVCUM(KVD!$D$41,KVD!$E$41,KVD!$F$41,$A6)</f>
        <v>0.99998249406479522</v>
      </c>
      <c r="P6" s="3">
        <f t="shared" ref="P6:P32" si="11">-LN(1-O6)</f>
        <v>10.9529705799761</v>
      </c>
      <c r="Q6" s="3">
        <f t="shared" ref="Q6:Q32" si="12">1/P6</f>
        <v>9.1299432669724387E-2</v>
      </c>
      <c r="R6" s="13">
        <f>KLASSEFREQUENTIEUITHERHALINGSTIJD(R$2,Q5,Q6,Q7)</f>
        <v>34.703279420023904</v>
      </c>
      <c r="S6" s="8">
        <f>1-GEVCUM(KVD!$D$42,KVD!$E$42,KVD!$F$42,$A6)</f>
        <v>0.99998880960454584</v>
      </c>
      <c r="T6" s="3">
        <f t="shared" ref="T6:T33" si="13">-LN(1-S6)</f>
        <v>11.400454696303875</v>
      </c>
      <c r="U6" s="9">
        <f t="shared" ref="U6:U33" si="14">1/T6</f>
        <v>8.7715799644746503E-2</v>
      </c>
      <c r="V6" s="32">
        <f>KLASSEFREQUENTIEUITHERHALINGSTIJD(V$2,U5,U6,U7)</f>
        <v>29.182878637029454</v>
      </c>
    </row>
    <row r="7" spans="1:22" x14ac:dyDescent="0.25">
      <c r="A7" s="23">
        <f t="shared" si="4"/>
        <v>32.5</v>
      </c>
      <c r="B7" s="13">
        <f t="shared" si="5"/>
        <v>30</v>
      </c>
      <c r="C7" s="8">
        <f>1-GEVCUM(KVD!$D$38,KVD!$E$38,KVD!$F$38,$A7)</f>
        <v>0.31245008020373821</v>
      </c>
      <c r="D7" s="3">
        <f t="shared" si="0"/>
        <v>0.37462084146468921</v>
      </c>
      <c r="E7" s="3">
        <f t="shared" si="1"/>
        <v>2.6693656340373613</v>
      </c>
      <c r="F7" s="32">
        <f t="shared" si="6"/>
        <v>0.43996250260084874</v>
      </c>
      <c r="G7" s="8">
        <f>1-GEVCUM(KVD!$D$39,KVD!$E$39,KVD!$F$39,$A7)</f>
        <v>0.75522047041434892</v>
      </c>
      <c r="H7" s="3">
        <f t="shared" si="2"/>
        <v>1.4073973528140422</v>
      </c>
      <c r="I7" s="3">
        <f t="shared" si="3"/>
        <v>0.71053139186352354</v>
      </c>
      <c r="J7" s="13">
        <f t="shared" si="7"/>
        <v>1.2220836027830739</v>
      </c>
      <c r="K7" s="8">
        <f>1-GEVCUM(KVD!$D$40,KVD!$E$40,KVD!$F$40,$A7)</f>
        <v>0.98413800622631031</v>
      </c>
      <c r="L7" s="3">
        <f t="shared" si="8"/>
        <v>4.1438293598510514</v>
      </c>
      <c r="M7" s="3">
        <f t="shared" si="9"/>
        <v>0.24132267841162858</v>
      </c>
      <c r="N7" s="13">
        <f t="shared" si="10"/>
        <v>2.3912983585934384</v>
      </c>
      <c r="O7" s="8">
        <f>1-GEVCUM(KVD!$D$41,KVD!$E$41,KVD!$F$41,$A7)</f>
        <v>0.999740110445828</v>
      </c>
      <c r="P7" s="3">
        <f t="shared" si="11"/>
        <v>8.2552538088444329</v>
      </c>
      <c r="Q7" s="3">
        <f t="shared" si="12"/>
        <v>0.12113497939077655</v>
      </c>
      <c r="R7" s="13">
        <f t="shared" ref="R7:R32" si="15">KLASSEFREQUENTIEUITHERHALINGSTIJD(R$2,Q6,Q7,Q8)</f>
        <v>2.6977167711316667</v>
      </c>
      <c r="S7" s="8">
        <f>1-GEVCUM(KVD!$D$42,KVD!$E$42,KVD!$F$42,$A7)</f>
        <v>0.99985367722675811</v>
      </c>
      <c r="T7" s="3">
        <f t="shared" si="13"/>
        <v>8.8296956007952048</v>
      </c>
      <c r="U7" s="9">
        <f t="shared" si="14"/>
        <v>0.1132541873708466</v>
      </c>
      <c r="V7" s="32">
        <f t="shared" ref="V7:V33" si="16">KLASSEFREQUENTIEUITHERHALINGSTIJD(V$2,U6,U7,U8)</f>
        <v>2.5707590955086701</v>
      </c>
    </row>
    <row r="8" spans="1:22" x14ac:dyDescent="0.25">
      <c r="A8" s="23">
        <f t="shared" si="4"/>
        <v>37.5</v>
      </c>
      <c r="B8" s="13">
        <f t="shared" si="5"/>
        <v>35</v>
      </c>
      <c r="C8" s="8">
        <f>1-GEVCUM(KVD!$D$38,KVD!$E$38,KVD!$F$38,$A8)</f>
        <v>0.16441237773183748</v>
      </c>
      <c r="D8" s="3">
        <f t="shared" si="0"/>
        <v>0.17962006239632036</v>
      </c>
      <c r="E8" s="3">
        <f t="shared" si="1"/>
        <v>5.567306828975279</v>
      </c>
      <c r="F8" s="32">
        <f t="shared" si="6"/>
        <v>0.19500077906836891</v>
      </c>
      <c r="G8" s="8">
        <f>1-GEVCUM(KVD!$D$39,KVD!$E$39,KVD!$F$39,$A8)</f>
        <v>0.53670274690442743</v>
      </c>
      <c r="H8" s="3">
        <f t="shared" si="2"/>
        <v>0.76938641557436416</v>
      </c>
      <c r="I8" s="3">
        <f t="shared" si="3"/>
        <v>1.2997370108926054</v>
      </c>
      <c r="J8" s="13">
        <f t="shared" si="7"/>
        <v>0.63801093723967806</v>
      </c>
      <c r="K8" s="8">
        <f>1-GEVCUM(KVD!$D$40,KVD!$E$40,KVD!$F$40,$A8)</f>
        <v>0.92859926896207468</v>
      </c>
      <c r="L8" s="3">
        <f t="shared" si="8"/>
        <v>2.6394471710626077</v>
      </c>
      <c r="M8" s="3">
        <f t="shared" si="9"/>
        <v>0.37886721543944096</v>
      </c>
      <c r="N8" s="13">
        <f t="shared" si="10"/>
        <v>1.5043821887884437</v>
      </c>
      <c r="O8" s="8">
        <f>1-GEVCUM(KVD!$D$41,KVD!$E$41,KVD!$F$41,$A8)</f>
        <v>0.99796821851160067</v>
      </c>
      <c r="P8" s="3">
        <f t="shared" si="11"/>
        <v>6.1988422902847793</v>
      </c>
      <c r="Q8" s="3">
        <f t="shared" si="12"/>
        <v>0.16132044552371719</v>
      </c>
      <c r="R8" s="13">
        <f t="shared" si="15"/>
        <v>2.0564115185596537</v>
      </c>
      <c r="S8" s="8">
        <f>1-GEVCUM(KVD!$D$42,KVD!$E$42,KVD!$F$42,$A8)</f>
        <v>0.99889741681359634</v>
      </c>
      <c r="T8" s="3">
        <f t="shared" si="13"/>
        <v>6.8100995009693444</v>
      </c>
      <c r="U8" s="9">
        <f t="shared" si="14"/>
        <v>0.14684073262918709</v>
      </c>
      <c r="V8" s="32">
        <f t="shared" si="16"/>
        <v>2.0195960998258604</v>
      </c>
    </row>
    <row r="9" spans="1:22" x14ac:dyDescent="0.25">
      <c r="A9" s="23">
        <f t="shared" si="4"/>
        <v>42.5</v>
      </c>
      <c r="B9" s="13">
        <f t="shared" si="5"/>
        <v>40</v>
      </c>
      <c r="C9" s="8">
        <f>1-GEVCUM(KVD!$D$38,KVD!$E$38,KVD!$F$38,$A9)</f>
        <v>8.5528133237295023E-2</v>
      </c>
      <c r="D9" s="3">
        <f t="shared" si="0"/>
        <v>8.9408575142515267E-2</v>
      </c>
      <c r="E9" s="3">
        <f t="shared" si="1"/>
        <v>11.184609512074456</v>
      </c>
      <c r="F9" s="32">
        <f t="shared" si="6"/>
        <v>9.0211487253805095E-2</v>
      </c>
      <c r="G9" s="8">
        <f>1-GEVCUM(KVD!$D$39,KVD!$E$39,KVD!$F$39,$A9)</f>
        <v>0.34883705399494169</v>
      </c>
      <c r="H9" s="3">
        <f t="shared" si="2"/>
        <v>0.4289953670106188</v>
      </c>
      <c r="I9" s="3">
        <f t="shared" si="3"/>
        <v>2.3310275049549598</v>
      </c>
      <c r="J9" s="13">
        <f t="shared" si="7"/>
        <v>0.34039104856374536</v>
      </c>
      <c r="K9" s="8">
        <f>1-GEVCUM(KVD!$D$40,KVD!$E$40,KVD!$F$40,$A9)</f>
        <v>0.81523780531244383</v>
      </c>
      <c r="L9" s="3">
        <f t="shared" si="8"/>
        <v>1.6886857149042453</v>
      </c>
      <c r="M9" s="3">
        <f t="shared" si="9"/>
        <v>0.59217650221948115</v>
      </c>
      <c r="N9" s="13">
        <f t="shared" si="10"/>
        <v>0.95076145615836238</v>
      </c>
      <c r="O9" s="8">
        <f>1-GEVCUM(KVD!$D$41,KVD!$E$41,KVD!$F$41,$A9)</f>
        <v>0.99031246566088438</v>
      </c>
      <c r="P9" s="3">
        <f t="shared" si="11"/>
        <v>4.636915339626051</v>
      </c>
      <c r="Q9" s="3">
        <f t="shared" si="12"/>
        <v>0.21566061201381478</v>
      </c>
      <c r="R9" s="13">
        <f t="shared" si="15"/>
        <v>1.5619269506587283</v>
      </c>
      <c r="S9" s="8">
        <f>1-GEVCUM(KVD!$D$42,KVD!$E$42,KVD!$F$42,$A9)</f>
        <v>0.99464539464966872</v>
      </c>
      <c r="T9" s="3">
        <f t="shared" si="13"/>
        <v>5.2297982752153418</v>
      </c>
      <c r="U9" s="9">
        <f t="shared" si="14"/>
        <v>0.19121196409030214</v>
      </c>
      <c r="V9" s="32">
        <f t="shared" si="16"/>
        <v>1.5803012257540026</v>
      </c>
    </row>
    <row r="10" spans="1:22" x14ac:dyDescent="0.25">
      <c r="A10" s="23">
        <f t="shared" si="4"/>
        <v>47.5</v>
      </c>
      <c r="B10" s="13">
        <f t="shared" si="5"/>
        <v>45</v>
      </c>
      <c r="C10" s="8">
        <f>1-GEVCUM(KVD!$D$38,KVD!$E$38,KVD!$F$38,$A10)</f>
        <v>4.4991474610514448E-2</v>
      </c>
      <c r="D10" s="3">
        <f t="shared" si="0"/>
        <v>4.6035011431844255E-2</v>
      </c>
      <c r="E10" s="3">
        <f t="shared" si="1"/>
        <v>21.722596973404031</v>
      </c>
      <c r="F10" s="32">
        <f t="shared" si="6"/>
        <v>4.3373563710671012E-2</v>
      </c>
      <c r="G10" s="8">
        <f>1-GEVCUM(KVD!$D$39,KVD!$E$39,KVD!$F$39,$A10)</f>
        <v>0.21625168609311463</v>
      </c>
      <c r="H10" s="3">
        <f t="shared" si="2"/>
        <v>0.24366733835229948</v>
      </c>
      <c r="I10" s="3">
        <f t="shared" si="3"/>
        <v>4.1039558553973228</v>
      </c>
      <c r="J10" s="13">
        <f t="shared" si="7"/>
        <v>0.18532802865831935</v>
      </c>
      <c r="K10" s="8">
        <f>1-GEVCUM(KVD!$D$40,KVD!$E$40,KVD!$F$40,$A10)</f>
        <v>0.66213386849772315</v>
      </c>
      <c r="L10" s="3">
        <f t="shared" si="8"/>
        <v>1.085105522596002</v>
      </c>
      <c r="M10" s="3">
        <f t="shared" si="9"/>
        <v>0.92156935816491292</v>
      </c>
      <c r="N10" s="13">
        <f t="shared" si="10"/>
        <v>0.60358019230824334</v>
      </c>
      <c r="O10" s="8">
        <f>1-GEVCUM(KVD!$D$41,KVD!$E$41,KVD!$F$41,$A10)</f>
        <v>0.96841097073663907</v>
      </c>
      <c r="P10" s="3">
        <f t="shared" si="11"/>
        <v>3.4549453938786328</v>
      </c>
      <c r="Q10" s="3">
        <f t="shared" si="12"/>
        <v>0.28944017516796927</v>
      </c>
      <c r="R10" s="13">
        <f t="shared" si="15"/>
        <v>1.1819699457474182</v>
      </c>
      <c r="S10" s="8">
        <f>1-GEVCUM(KVD!$D$42,KVD!$E$42,KVD!$F$42,$A10)</f>
        <v>0.98165342049040183</v>
      </c>
      <c r="T10" s="3">
        <f t="shared" si="13"/>
        <v>3.9983121246034026</v>
      </c>
      <c r="U10" s="9">
        <f t="shared" si="14"/>
        <v>0.2501055367455064</v>
      </c>
      <c r="V10" s="32">
        <f t="shared" si="16"/>
        <v>1.2314861506119392</v>
      </c>
    </row>
    <row r="11" spans="1:22" x14ac:dyDescent="0.25">
      <c r="A11" s="23">
        <f t="shared" si="4"/>
        <v>52.5</v>
      </c>
      <c r="B11" s="13">
        <f t="shared" si="5"/>
        <v>50</v>
      </c>
      <c r="C11" s="8">
        <f>1-GEVCUM(KVD!$D$38,KVD!$E$38,KVD!$F$38,$A11)</f>
        <v>2.4145022161958685E-2</v>
      </c>
      <c r="D11" s="3">
        <f t="shared" si="0"/>
        <v>2.4441291890072176E-2</v>
      </c>
      <c r="E11" s="3">
        <f t="shared" si="1"/>
        <v>40.914367558704647</v>
      </c>
      <c r="F11" s="32">
        <f t="shared" si="6"/>
        <v>2.1593719541772079E-2</v>
      </c>
      <c r="G11" s="8">
        <f>1-GEVCUM(KVD!$D$39,KVD!$E$39,KVD!$F$39,$A11)</f>
        <v>0.13136018856948817</v>
      </c>
      <c r="H11" s="3">
        <f t="shared" si="2"/>
        <v>0.14082672591091044</v>
      </c>
      <c r="I11" s="3">
        <f t="shared" si="3"/>
        <v>7.1009248672913001</v>
      </c>
      <c r="J11" s="13">
        <f t="shared" si="7"/>
        <v>0.10284061244138901</v>
      </c>
      <c r="K11" s="8">
        <f>1-GEVCUM(KVD!$D$40,KVD!$E$40,KVD!$F$40,$A11)</f>
        <v>0.5035331562507005</v>
      </c>
      <c r="L11" s="3">
        <f t="shared" si="8"/>
        <v>0.70023857768791953</v>
      </c>
      <c r="M11" s="3">
        <f t="shared" si="9"/>
        <v>1.4280847012197568</v>
      </c>
      <c r="N11" s="13">
        <f t="shared" si="10"/>
        <v>0.38486694490808249</v>
      </c>
      <c r="O11" s="8">
        <f>1-GEVCUM(KVD!$D$41,KVD!$E$41,KVD!$F$41,$A11)</f>
        <v>0.92299558604828569</v>
      </c>
      <c r="P11" s="3">
        <f t="shared" si="11"/>
        <v>2.563892534723176</v>
      </c>
      <c r="Q11" s="3">
        <f t="shared" si="12"/>
        <v>0.39003194808551916</v>
      </c>
      <c r="R11" s="13">
        <f t="shared" si="15"/>
        <v>0.89105285915545673</v>
      </c>
      <c r="S11" s="8">
        <f>1-GEVCUM(KVD!$D$42,KVD!$E$42,KVD!$F$42,$A11)</f>
        <v>0.95229503864894371</v>
      </c>
      <c r="T11" s="3">
        <f t="shared" si="13"/>
        <v>3.0427198749441255</v>
      </c>
      <c r="U11" s="9">
        <f t="shared" si="14"/>
        <v>0.32865332370380079</v>
      </c>
      <c r="V11" s="32">
        <f t="shared" si="16"/>
        <v>0.95559224965927703</v>
      </c>
    </row>
    <row r="12" spans="1:22" x14ac:dyDescent="0.25">
      <c r="A12" s="23">
        <f t="shared" si="4"/>
        <v>57.5</v>
      </c>
      <c r="B12" s="13">
        <f t="shared" si="5"/>
        <v>55</v>
      </c>
      <c r="C12" s="8">
        <f>1-GEVCUM(KVD!$D$38,KVD!$E$38,KVD!$F$38,$A12)</f>
        <v>1.3256060223088451E-2</v>
      </c>
      <c r="D12" s="3">
        <f t="shared" si="0"/>
        <v>1.3344706057319152E-2</v>
      </c>
      <c r="E12" s="3">
        <f t="shared" si="1"/>
        <v>74.936082945905838</v>
      </c>
      <c r="F12" s="32">
        <f t="shared" si="6"/>
        <v>1.1096585832753025E-2</v>
      </c>
      <c r="G12" s="8">
        <f>1-GEVCUM(KVD!$D$39,KVD!$E$39,KVD!$F$39,$A12)</f>
        <v>7.940092120224973E-2</v>
      </c>
      <c r="H12" s="3">
        <f t="shared" si="2"/>
        <v>8.2730648253689268E-2</v>
      </c>
      <c r="I12" s="3">
        <f t="shared" si="3"/>
        <v>12.087418884154655</v>
      </c>
      <c r="J12" s="13">
        <f t="shared" si="7"/>
        <v>5.8096077657221176E-2</v>
      </c>
      <c r="K12" s="8">
        <f>1-GEVCUM(KVD!$D$40,KVD!$E$40,KVD!$F$40,$A12)</f>
        <v>0.36477111203302748</v>
      </c>
      <c r="L12" s="3">
        <f t="shared" si="8"/>
        <v>0.45376989154590314</v>
      </c>
      <c r="M12" s="3">
        <f t="shared" si="9"/>
        <v>2.2037601406148837</v>
      </c>
      <c r="N12" s="13">
        <f t="shared" si="10"/>
        <v>0.24646868614201639</v>
      </c>
      <c r="O12" s="8">
        <f>1-GEVCUM(KVD!$D$41,KVD!$E$41,KVD!$F$41,$A12)</f>
        <v>0.84964693702154215</v>
      </c>
      <c r="P12" s="3">
        <f t="shared" si="11"/>
        <v>1.8947689974341417</v>
      </c>
      <c r="Q12" s="3">
        <f t="shared" si="12"/>
        <v>0.52776882108277046</v>
      </c>
      <c r="R12" s="13">
        <f t="shared" si="15"/>
        <v>0.66912353728903406</v>
      </c>
      <c r="S12" s="8">
        <f>1-GEVCUM(KVD!$D$42,KVD!$E$42,KVD!$F$42,$A12)</f>
        <v>0.90018802141373877</v>
      </c>
      <c r="T12" s="3">
        <f t="shared" si="13"/>
        <v>2.3044670769528115</v>
      </c>
      <c r="U12" s="9">
        <f t="shared" si="14"/>
        <v>0.43393980760284778</v>
      </c>
      <c r="V12" s="32">
        <f t="shared" si="16"/>
        <v>0.73825279799131405</v>
      </c>
    </row>
    <row r="13" spans="1:22" x14ac:dyDescent="0.25">
      <c r="A13" s="23">
        <f t="shared" si="4"/>
        <v>62.5</v>
      </c>
      <c r="B13" s="13">
        <f t="shared" si="5"/>
        <v>60</v>
      </c>
      <c r="C13" s="8">
        <f>1-GEVCUM(KVD!$D$38,KVD!$E$38,KVD!$F$38,$A13)</f>
        <v>7.447188430109386E-3</v>
      </c>
      <c r="D13" s="3">
        <f t="shared" si="0"/>
        <v>7.4750571866641375E-3</v>
      </c>
      <c r="E13" s="3">
        <f t="shared" si="1"/>
        <v>133.77824075835142</v>
      </c>
      <c r="F13" s="32">
        <f t="shared" si="6"/>
        <v>5.8696488706550132E-3</v>
      </c>
      <c r="G13" s="8">
        <f>1-GEVCUM(KVD!$D$39,KVD!$E$39,KVD!$F$39,$A13)</f>
        <v>4.8156807288713299E-2</v>
      </c>
      <c r="H13" s="3">
        <f t="shared" si="2"/>
        <v>4.9354971296100794E-2</v>
      </c>
      <c r="I13" s="3">
        <f t="shared" si="3"/>
        <v>20.26138347848666</v>
      </c>
      <c r="J13" s="13">
        <f t="shared" si="7"/>
        <v>3.3375676957588474E-2</v>
      </c>
      <c r="K13" s="8">
        <f>1-GEVCUM(KVD!$D$40,KVD!$E$40,KVD!$F$40,$A13)</f>
        <v>0.25566295617317869</v>
      </c>
      <c r="L13" s="3">
        <f t="shared" si="8"/>
        <v>0.29526133083350181</v>
      </c>
      <c r="M13" s="3">
        <f t="shared" si="9"/>
        <v>3.3868302265558139</v>
      </c>
      <c r="N13" s="13">
        <f t="shared" si="10"/>
        <v>0.15850856071240133</v>
      </c>
      <c r="O13" s="8">
        <f>1-GEVCUM(KVD!$D$41,KVD!$E$41,KVD!$F$41,$A13)</f>
        <v>0.75199617876340241</v>
      </c>
      <c r="P13" s="3">
        <f t="shared" si="11"/>
        <v>1.3943111247237732</v>
      </c>
      <c r="Q13" s="3">
        <f t="shared" si="12"/>
        <v>0.71720004399886705</v>
      </c>
      <c r="R13" s="13">
        <f t="shared" si="15"/>
        <v>0.50045787271036879</v>
      </c>
      <c r="S13" s="8">
        <f>1-GEVCUM(KVD!$D$42,KVD!$E$42,KVD!$F$42,$A13)</f>
        <v>0.82390187680614635</v>
      </c>
      <c r="T13" s="3">
        <f t="shared" si="13"/>
        <v>1.7367139211525919</v>
      </c>
      <c r="U13" s="9">
        <f t="shared" si="14"/>
        <v>0.57580007151456325</v>
      </c>
      <c r="V13" s="32">
        <f t="shared" si="16"/>
        <v>0.56775315580021957</v>
      </c>
    </row>
    <row r="14" spans="1:22" x14ac:dyDescent="0.25">
      <c r="A14" s="23">
        <f t="shared" si="4"/>
        <v>67.5</v>
      </c>
      <c r="B14" s="13">
        <f t="shared" si="5"/>
        <v>65</v>
      </c>
      <c r="C14" s="8">
        <f>1-GEVCUM(KVD!$D$38,KVD!$E$38,KVD!$F$38,$A14)</f>
        <v>4.2776683241270153E-3</v>
      </c>
      <c r="D14" s="3">
        <f t="shared" si="0"/>
        <v>4.286843722829765E-3</v>
      </c>
      <c r="E14" s="3">
        <f t="shared" si="1"/>
        <v>233.27185795797928</v>
      </c>
      <c r="F14" s="32">
        <f t="shared" si="6"/>
        <v>3.1882134638343725E-3</v>
      </c>
      <c r="G14" s="8">
        <f>1-GEVCUM(KVD!$D$39,KVD!$E$39,KVD!$F$39,$A14)</f>
        <v>2.9432804134911006E-2</v>
      </c>
      <c r="H14" s="3">
        <f t="shared" si="2"/>
        <v>2.987464037211451E-2</v>
      </c>
      <c r="I14" s="3">
        <f t="shared" si="3"/>
        <v>33.473206289486143</v>
      </c>
      <c r="J14" s="13">
        <f t="shared" si="7"/>
        <v>1.9480330923986287E-2</v>
      </c>
      <c r="K14" s="8">
        <f>1-GEVCUM(KVD!$D$40,KVD!$E$40,KVD!$F$40,$A14)</f>
        <v>0.1754330576092421</v>
      </c>
      <c r="L14" s="3">
        <f t="shared" si="8"/>
        <v>0.19289694877953809</v>
      </c>
      <c r="M14" s="3">
        <f t="shared" si="9"/>
        <v>5.1841151782182928</v>
      </c>
      <c r="N14" s="13">
        <f t="shared" si="10"/>
        <v>0.10236438205396373</v>
      </c>
      <c r="O14" s="8">
        <f>1-GEVCUM(KVD!$D$41,KVD!$E$41,KVD!$F$41,$A14)</f>
        <v>0.63996136541438509</v>
      </c>
      <c r="P14" s="3">
        <f t="shared" si="11"/>
        <v>1.0215439349968027</v>
      </c>
      <c r="Q14" s="3">
        <f t="shared" si="12"/>
        <v>0.9789104175956268</v>
      </c>
      <c r="R14" s="13">
        <f t="shared" si="15"/>
        <v>0.37276718972697043</v>
      </c>
      <c r="S14" s="8">
        <f>1-GEVCUM(KVD!$D$42,KVD!$E$42,KVD!$F$42,$A14)</f>
        <v>0.72805045632223386</v>
      </c>
      <c r="T14" s="3">
        <f t="shared" si="13"/>
        <v>1.3021387310782959</v>
      </c>
      <c r="U14" s="9">
        <f t="shared" si="14"/>
        <v>0.76796732647058574</v>
      </c>
      <c r="V14" s="32">
        <f t="shared" si="16"/>
        <v>0.43457519007429601</v>
      </c>
    </row>
    <row r="15" spans="1:22" x14ac:dyDescent="0.25">
      <c r="A15" s="23">
        <f t="shared" si="4"/>
        <v>72.5</v>
      </c>
      <c r="B15" s="13">
        <f t="shared" si="5"/>
        <v>70</v>
      </c>
      <c r="C15" s="8">
        <f>1-GEVCUM(KVD!$D$38,KVD!$E$38,KVD!$F$38,$A15)</f>
        <v>2.5092021874211223E-3</v>
      </c>
      <c r="D15" s="3">
        <f t="shared" si="0"/>
        <v>2.512355511218907E-3</v>
      </c>
      <c r="E15" s="3">
        <f t="shared" si="1"/>
        <v>398.03284031042045</v>
      </c>
      <c r="F15" s="32">
        <f t="shared" si="6"/>
        <v>1.774488211610858E-3</v>
      </c>
      <c r="G15" s="8">
        <f>1-GEVCUM(KVD!$D$39,KVD!$E$39,KVD!$F$39,$A15)</f>
        <v>1.8166107400121589E-2</v>
      </c>
      <c r="H15" s="3">
        <f t="shared" si="2"/>
        <v>1.8333137074124345E-2</v>
      </c>
      <c r="I15" s="3">
        <f t="shared" si="3"/>
        <v>54.54603846340158</v>
      </c>
      <c r="J15" s="13">
        <f t="shared" si="7"/>
        <v>1.1541503297990162E-2</v>
      </c>
      <c r="K15" s="8">
        <f>1-GEVCUM(KVD!$D$40,KVD!$E$40,KVD!$F$40,$A15)</f>
        <v>0.11884357955280234</v>
      </c>
      <c r="L15" s="3">
        <f t="shared" si="8"/>
        <v>0.12652012005763316</v>
      </c>
      <c r="M15" s="3">
        <f t="shared" si="9"/>
        <v>7.9038812130787921</v>
      </c>
      <c r="N15" s="13">
        <f t="shared" si="10"/>
        <v>6.6376828721904924E-2</v>
      </c>
      <c r="O15" s="8">
        <f>1-GEVCUM(KVD!$D$41,KVD!$E$41,KVD!$F$41,$A15)</f>
        <v>0.52529560724861513</v>
      </c>
      <c r="P15" s="3">
        <f t="shared" si="11"/>
        <v>0.74506299972555923</v>
      </c>
      <c r="Q15" s="3">
        <f t="shared" si="12"/>
        <v>1.3421683808863756</v>
      </c>
      <c r="R15" s="13">
        <f t="shared" si="15"/>
        <v>0.2764809352712434</v>
      </c>
      <c r="S15" s="8">
        <f>1-GEVCUM(KVD!$D$42,KVD!$E$42,KVD!$F$42,$A15)</f>
        <v>0.62134311699730893</v>
      </c>
      <c r="T15" s="3">
        <f t="shared" si="13"/>
        <v>0.97112480584371541</v>
      </c>
      <c r="U15" s="9">
        <f t="shared" si="14"/>
        <v>1.0297337623161607</v>
      </c>
      <c r="V15" s="32">
        <f t="shared" si="16"/>
        <v>0.33101392523458062</v>
      </c>
    </row>
    <row r="16" spans="1:22" x14ac:dyDescent="0.25">
      <c r="A16" s="23">
        <f t="shared" si="4"/>
        <v>77.5</v>
      </c>
      <c r="B16" s="13">
        <f t="shared" si="5"/>
        <v>75</v>
      </c>
      <c r="C16" s="8">
        <f>1-GEVCUM(KVD!$D$38,KVD!$E$38,KVD!$F$38,$A16)</f>
        <v>1.5011054451754546E-3</v>
      </c>
      <c r="D16" s="3">
        <f t="shared" si="0"/>
        <v>1.5022332327141938E-3</v>
      </c>
      <c r="E16" s="3">
        <f t="shared" si="1"/>
        <v>665.6755943238104</v>
      </c>
      <c r="F16" s="32">
        <f t="shared" si="6"/>
        <v>1.0101222785047132E-3</v>
      </c>
      <c r="G16" s="8">
        <f>1-GEVCUM(KVD!$D$39,KVD!$E$39,KVD!$F$39,$A16)</f>
        <v>1.1332954534126971E-2</v>
      </c>
      <c r="H16" s="3">
        <f t="shared" si="2"/>
        <v>1.139766181096631E-2</v>
      </c>
      <c r="I16" s="3">
        <f t="shared" si="3"/>
        <v>87.737293541895198</v>
      </c>
      <c r="J16" s="13">
        <f t="shared" si="7"/>
        <v>6.9354752631580353E-3</v>
      </c>
      <c r="K16" s="8">
        <f>1-GEVCUM(KVD!$D$40,KVD!$E$40,KVD!$F$40,$A16)</f>
        <v>7.9930694986259709E-2</v>
      </c>
      <c r="L16" s="3">
        <f t="shared" si="8"/>
        <v>8.3306280239654543E-2</v>
      </c>
      <c r="M16" s="3">
        <f t="shared" si="9"/>
        <v>12.003896910571587</v>
      </c>
      <c r="N16" s="13">
        <f t="shared" si="10"/>
        <v>4.3213839817978619E-2</v>
      </c>
      <c r="O16" s="8">
        <f>1-GEVCUM(KVD!$D$41,KVD!$E$41,KVD!$F$41,$A16)</f>
        <v>0.41777073547808075</v>
      </c>
      <c r="P16" s="3">
        <f t="shared" si="11"/>
        <v>0.5408909835235044</v>
      </c>
      <c r="Q16" s="3">
        <f t="shared" si="12"/>
        <v>1.8488013859756733</v>
      </c>
      <c r="R16" s="13">
        <f t="shared" si="15"/>
        <v>0.20417201620205494</v>
      </c>
      <c r="S16" s="8">
        <f>1-GEVCUM(KVD!$D$42,KVD!$E$42,KVD!$F$42,$A16)</f>
        <v>0.5133785881160513</v>
      </c>
      <c r="T16" s="3">
        <f t="shared" si="13"/>
        <v>0.72026884655119316</v>
      </c>
      <c r="U16" s="9">
        <f t="shared" si="14"/>
        <v>1.3883704741475653</v>
      </c>
      <c r="V16" s="32">
        <f t="shared" si="16"/>
        <v>0.25085595929252213</v>
      </c>
    </row>
    <row r="17" spans="1:22" x14ac:dyDescent="0.25">
      <c r="A17" s="23">
        <f t="shared" si="4"/>
        <v>82.5</v>
      </c>
      <c r="B17" s="13">
        <f t="shared" si="5"/>
        <v>80</v>
      </c>
      <c r="C17" s="8">
        <f>1-GEVCUM(KVD!$D$38,KVD!$E$38,KVD!$F$38,$A17)</f>
        <v>9.1469668721610997E-4</v>
      </c>
      <c r="D17" s="3">
        <f t="shared" si="0"/>
        <v>9.1511527750581247E-4</v>
      </c>
      <c r="E17" s="3">
        <f t="shared" si="1"/>
        <v>1092.7585022135622</v>
      </c>
      <c r="F17" s="32">
        <f t="shared" si="6"/>
        <v>5.8711795520838132E-4</v>
      </c>
      <c r="G17" s="8">
        <f>1-GEVCUM(KVD!$D$39,KVD!$E$39,KVD!$F$39,$A17)</f>
        <v>7.1480907306690211E-3</v>
      </c>
      <c r="H17" s="3">
        <f t="shared" si="2"/>
        <v>7.1737607320283281E-3</v>
      </c>
      <c r="I17" s="3">
        <f t="shared" si="3"/>
        <v>139.39689897034765</v>
      </c>
      <c r="J17" s="13">
        <f t="shared" si="7"/>
        <v>4.2239010789379815E-3</v>
      </c>
      <c r="K17" s="8">
        <f>1-GEVCUM(KVD!$D$40,KVD!$E$40,KVD!$F$40,$A17)</f>
        <v>5.3573189008835342E-2</v>
      </c>
      <c r="L17" s="3">
        <f t="shared" si="8"/>
        <v>5.5061637269564513E-2</v>
      </c>
      <c r="M17" s="3">
        <f t="shared" si="9"/>
        <v>18.161465034254494</v>
      </c>
      <c r="N17" s="13">
        <f t="shared" si="10"/>
        <v>2.8244642970090029E-2</v>
      </c>
      <c r="O17" s="8">
        <f>1-GEVCUM(KVD!$D$41,KVD!$E$41,KVD!$F$41,$A17)</f>
        <v>0.32347989558184731</v>
      </c>
      <c r="P17" s="3">
        <f t="shared" si="11"/>
        <v>0.39079311353031249</v>
      </c>
      <c r="Q17" s="3">
        <f t="shared" si="12"/>
        <v>2.5588987251241146</v>
      </c>
      <c r="R17" s="13">
        <f t="shared" si="15"/>
        <v>0.15009786999319191</v>
      </c>
      <c r="S17" s="8">
        <f>1-GEVCUM(KVD!$D$42,KVD!$E$42,KVD!$F$42,$A17)</f>
        <v>0.41207641478124535</v>
      </c>
      <c r="T17" s="3">
        <f t="shared" si="13"/>
        <v>0.53115829663962866</v>
      </c>
      <c r="U17" s="9">
        <f t="shared" si="14"/>
        <v>1.8826779254442545</v>
      </c>
      <c r="V17" s="32">
        <f t="shared" si="16"/>
        <v>0.18911054991156451</v>
      </c>
    </row>
    <row r="18" spans="1:22" x14ac:dyDescent="0.25">
      <c r="A18" s="23">
        <f t="shared" si="4"/>
        <v>87.5</v>
      </c>
      <c r="B18" s="13">
        <f t="shared" si="5"/>
        <v>85</v>
      </c>
      <c r="C18" s="8">
        <f>1-GEVCUM(KVD!$D$38,KVD!$E$38,KVD!$F$38,$A18)</f>
        <v>5.670334596170612E-4</v>
      </c>
      <c r="D18" s="3">
        <f t="shared" si="0"/>
        <v>5.67194283887259E-4</v>
      </c>
      <c r="E18" s="3">
        <f t="shared" si="1"/>
        <v>1763.0643121903704</v>
      </c>
      <c r="F18" s="32">
        <f t="shared" si="6"/>
        <v>3.4792099361855347E-4</v>
      </c>
      <c r="G18" s="8">
        <f>1-GEVCUM(KVD!$D$39,KVD!$E$39,KVD!$F$39,$A18)</f>
        <v>4.5579334249173931E-3</v>
      </c>
      <c r="H18" s="3">
        <f t="shared" si="2"/>
        <v>4.568352475082884E-3</v>
      </c>
      <c r="I18" s="3">
        <f t="shared" si="3"/>
        <v>218.8972951308572</v>
      </c>
      <c r="J18" s="13">
        <f t="shared" si="7"/>
        <v>2.6054082569454441E-3</v>
      </c>
      <c r="K18" s="8">
        <f>1-GEVCUM(KVD!$D$40,KVD!$E$40,KVD!$F$40,$A18)</f>
        <v>3.5870360760164588E-2</v>
      </c>
      <c r="L18" s="3">
        <f t="shared" si="8"/>
        <v>3.6529512874040188E-2</v>
      </c>
      <c r="M18" s="3">
        <f t="shared" si="9"/>
        <v>27.375125516952981</v>
      </c>
      <c r="N18" s="13">
        <f t="shared" si="10"/>
        <v>1.8532124395524326E-2</v>
      </c>
      <c r="O18" s="8">
        <f>1-GEVCUM(KVD!$D$41,KVD!$E$41,KVD!$F$41,$A18)</f>
        <v>0.2449399237433354</v>
      </c>
      <c r="P18" s="3">
        <f t="shared" si="11"/>
        <v>0.28095796169785214</v>
      </c>
      <c r="Q18" s="3">
        <f t="shared" si="12"/>
        <v>3.5592513341032141</v>
      </c>
      <c r="R18" s="13">
        <f t="shared" si="15"/>
        <v>0.10983515183246034</v>
      </c>
      <c r="S18" s="8">
        <f>1-GEVCUM(KVD!$D$42,KVD!$E$42,KVD!$F$42,$A18)</f>
        <v>0.32251835095429371</v>
      </c>
      <c r="T18" s="3">
        <f t="shared" si="13"/>
        <v>0.3893728128745213</v>
      </c>
      <c r="U18" s="9">
        <f t="shared" si="14"/>
        <v>2.5682327243588485</v>
      </c>
      <c r="V18" s="32">
        <f t="shared" si="16"/>
        <v>0.14178548376510736</v>
      </c>
    </row>
    <row r="19" spans="1:22" x14ac:dyDescent="0.25">
      <c r="A19" s="23">
        <f t="shared" si="4"/>
        <v>92.5</v>
      </c>
      <c r="B19" s="13">
        <f t="shared" si="5"/>
        <v>90</v>
      </c>
      <c r="C19" s="8">
        <f>1-GEVCUM(KVD!$D$38,KVD!$E$38,KVD!$F$38,$A19)</f>
        <v>3.5720744402989446E-4</v>
      </c>
      <c r="D19" s="3">
        <f t="shared" si="0"/>
        <v>3.5727125780588595E-4</v>
      </c>
      <c r="E19" s="3">
        <f t="shared" si="1"/>
        <v>2798.9937005884867</v>
      </c>
      <c r="F19" s="32">
        <f t="shared" si="6"/>
        <v>2.0992302608137305E-4</v>
      </c>
      <c r="G19" s="8">
        <f>1-GEVCUM(KVD!$D$39,KVD!$E$39,KVD!$F$39,$A19)</f>
        <v>2.9374112323516943E-3</v>
      </c>
      <c r="H19" s="3">
        <f t="shared" si="2"/>
        <v>2.9417338917531932E-3</v>
      </c>
      <c r="I19" s="3">
        <f t="shared" si="3"/>
        <v>339.93557432349098</v>
      </c>
      <c r="J19" s="13">
        <f t="shared" si="7"/>
        <v>1.6266185833296908E-3</v>
      </c>
      <c r="K19" s="8">
        <f>1-GEVCUM(KVD!$D$40,KVD!$E$40,KVD!$F$40,$A19)</f>
        <v>2.4030445147524171E-2</v>
      </c>
      <c r="L19" s="3">
        <f t="shared" si="8"/>
        <v>2.4323886854274019E-2</v>
      </c>
      <c r="M19" s="3">
        <f t="shared" si="9"/>
        <v>41.111850502802646</v>
      </c>
      <c r="N19" s="13">
        <f t="shared" si="10"/>
        <v>1.2205626019766169E-2</v>
      </c>
      <c r="O19" s="8">
        <f>1-GEVCUM(KVD!$D$41,KVD!$E$41,KVD!$F$41,$A19)</f>
        <v>0.18206143379320827</v>
      </c>
      <c r="P19" s="3">
        <f t="shared" si="11"/>
        <v>0.20096804763640413</v>
      </c>
      <c r="Q19" s="3">
        <f t="shared" si="12"/>
        <v>4.975915384366087</v>
      </c>
      <c r="R19" s="13">
        <f t="shared" si="15"/>
        <v>7.9989914061448009E-2</v>
      </c>
      <c r="S19" s="8">
        <f>1-GEVCUM(KVD!$D$42,KVD!$E$42,KVD!$F$42,$A19)</f>
        <v>0.24698633507973211</v>
      </c>
      <c r="T19" s="3">
        <f t="shared" si="13"/>
        <v>0.2836719040424312</v>
      </c>
      <c r="U19" s="9">
        <f t="shared" si="14"/>
        <v>3.5251993086013256</v>
      </c>
      <c r="V19" s="32">
        <f t="shared" si="16"/>
        <v>0.1057009088320901</v>
      </c>
    </row>
    <row r="20" spans="1:22" x14ac:dyDescent="0.25">
      <c r="A20" s="23">
        <f t="shared" si="4"/>
        <v>97.5</v>
      </c>
      <c r="B20" s="13">
        <f t="shared" si="5"/>
        <v>95</v>
      </c>
      <c r="C20" s="8">
        <f>1-GEVCUM(KVD!$D$38,KVD!$E$38,KVD!$F$38,$A20)</f>
        <v>2.2843739059452695E-4</v>
      </c>
      <c r="D20" s="3">
        <f t="shared" si="0"/>
        <v>2.2846348638948363E-4</v>
      </c>
      <c r="E20" s="3">
        <f t="shared" si="1"/>
        <v>4377.0670569878466</v>
      </c>
      <c r="F20" s="32">
        <f t="shared" si="6"/>
        <v>3.5727125780588595E-4</v>
      </c>
      <c r="G20" s="8">
        <f>1-GEVCUM(KVD!$D$39,KVD!$E$39,KVD!$F$39,$A20)</f>
        <v>1.9126262867267263E-3</v>
      </c>
      <c r="H20" s="3">
        <f t="shared" si="2"/>
        <v>1.9144576919514916E-3</v>
      </c>
      <c r="I20" s="3">
        <f t="shared" si="3"/>
        <v>522.34113305510323</v>
      </c>
      <c r="J20" s="13">
        <f t="shared" si="7"/>
        <v>1.0272761998017014E-3</v>
      </c>
      <c r="K20" s="8">
        <f>1-GEVCUM(KVD!$D$40,KVD!$E$40,KVD!$F$40,$A20)</f>
        <v>1.6123642888938194E-2</v>
      </c>
      <c r="L20" s="3">
        <f t="shared" si="8"/>
        <v>1.6255043167343088E-2</v>
      </c>
      <c r="M20" s="3">
        <f t="shared" si="9"/>
        <v>61.519369078578187</v>
      </c>
      <c r="N20" s="13">
        <f t="shared" si="10"/>
        <v>8.0688436869309314E-3</v>
      </c>
      <c r="O20" s="8">
        <f>1-GEVCUM(KVD!$D$41,KVD!$E$41,KVD!$F$41,$A20)</f>
        <v>0.13324556565077506</v>
      </c>
      <c r="P20" s="3">
        <f t="shared" si="11"/>
        <v>0.14299957836522256</v>
      </c>
      <c r="Q20" s="3">
        <f t="shared" si="12"/>
        <v>6.9930276119135719</v>
      </c>
      <c r="R20" s="13">
        <f t="shared" si="15"/>
        <v>5.7968469271181572E-2</v>
      </c>
      <c r="S20" s="8">
        <f>1-GEVCUM(KVD!$D$42,KVD!$E$42,KVD!$F$42,$A20)</f>
        <v>0.18562689384054731</v>
      </c>
      <c r="T20" s="3">
        <f t="shared" si="13"/>
        <v>0.20533665661983411</v>
      </c>
      <c r="U20" s="9">
        <f t="shared" si="14"/>
        <v>4.8700510491481666</v>
      </c>
      <c r="V20" s="32">
        <f t="shared" si="16"/>
        <v>7.8335247422597065E-2</v>
      </c>
    </row>
    <row r="21" spans="1:22" x14ac:dyDescent="0.25">
      <c r="A21" s="23">
        <f t="shared" si="4"/>
        <v>102.5</v>
      </c>
      <c r="B21" s="13">
        <f t="shared" si="5"/>
        <v>100</v>
      </c>
      <c r="C21" s="8"/>
      <c r="D21" s="3"/>
      <c r="E21" s="3"/>
      <c r="F21" s="32"/>
      <c r="G21" s="8">
        <f>1-GEVCUM(KVD!$D$39,KVD!$E$39,KVD!$F$39,$A21)</f>
        <v>1.2577590247396797E-3</v>
      </c>
      <c r="H21" s="3">
        <f t="shared" si="2"/>
        <v>1.2585506674886661E-3</v>
      </c>
      <c r="I21" s="3">
        <f t="shared" si="3"/>
        <v>794.56475280047118</v>
      </c>
      <c r="J21" s="13">
        <f t="shared" si="7"/>
        <v>6.5590702446282571E-4</v>
      </c>
      <c r="K21" s="8">
        <f>1-GEVCUM(KVD!$D$40,KVD!$E$40,KVD!$F$40,$A21)</f>
        <v>1.0842183500324509E-2</v>
      </c>
      <c r="L21" s="3">
        <f t="shared" si="8"/>
        <v>1.0901388300290245E-2</v>
      </c>
      <c r="M21" s="3">
        <f t="shared" si="9"/>
        <v>91.731435708365268</v>
      </c>
      <c r="N21" s="13">
        <f t="shared" si="10"/>
        <v>5.3536548670528421E-3</v>
      </c>
      <c r="O21" s="8">
        <f>1-GEVCUM(KVD!$D$41,KVD!$E$41,KVD!$F$41,$A21)</f>
        <v>9.6250180042773192E-2</v>
      </c>
      <c r="P21" s="3">
        <f t="shared" si="11"/>
        <v>0.10120270472663551</v>
      </c>
      <c r="Q21" s="3">
        <f t="shared" si="12"/>
        <v>9.8811588356374269</v>
      </c>
      <c r="R21" s="13">
        <f t="shared" si="15"/>
        <v>4.1796873638587057E-2</v>
      </c>
      <c r="S21" s="8">
        <f>1-GEVCUM(KVD!$D$42,KVD!$E$42,KVD!$F$42,$A21)</f>
        <v>0.13725708180796126</v>
      </c>
      <c r="T21" s="3">
        <f t="shared" si="13"/>
        <v>0.14763852545030257</v>
      </c>
      <c r="U21" s="9">
        <f t="shared" si="14"/>
        <v>6.7732998345111186</v>
      </c>
      <c r="V21" s="32">
        <f t="shared" si="16"/>
        <v>5.7698131169531569E-2</v>
      </c>
    </row>
    <row r="22" spans="1:22" x14ac:dyDescent="0.25">
      <c r="A22" s="23">
        <f t="shared" si="4"/>
        <v>107.5</v>
      </c>
      <c r="B22" s="13">
        <f t="shared" si="5"/>
        <v>105</v>
      </c>
      <c r="C22" s="8"/>
      <c r="D22" s="3"/>
      <c r="E22" s="3"/>
      <c r="F22" s="32"/>
      <c r="G22" s="8">
        <f>1-GEVCUM(KVD!$D$39,KVD!$E$39,KVD!$F$39,$A22)</f>
        <v>8.3501755047621362E-4</v>
      </c>
      <c r="H22" s="3">
        <f t="shared" si="2"/>
        <v>8.3536637182583264E-4</v>
      </c>
      <c r="I22" s="3">
        <f t="shared" si="3"/>
        <v>1197.0795494368933</v>
      </c>
      <c r="J22" s="13">
        <f t="shared" si="7"/>
        <v>1.2585506674886661E-3</v>
      </c>
      <c r="K22" s="8">
        <f>1-GEVCUM(KVD!$D$40,KVD!$E$40,KVD!$F$40,$A22)</f>
        <v>7.3096248838983024E-3</v>
      </c>
      <c r="L22" s="3">
        <f t="shared" si="8"/>
        <v>7.3364710956967203E-3</v>
      </c>
      <c r="M22" s="3">
        <f t="shared" si="9"/>
        <v>136.30531449739644</v>
      </c>
      <c r="N22" s="13">
        <f t="shared" si="10"/>
        <v>3.5649172045935261E-3</v>
      </c>
      <c r="O22" s="8">
        <f>1-GEVCUM(KVD!$D$41,KVD!$E$41,KVD!$F$41,$A22)</f>
        <v>6.874623921894063E-2</v>
      </c>
      <c r="P22" s="3">
        <f t="shared" si="11"/>
        <v>7.1223470873908096E-2</v>
      </c>
      <c r="Q22" s="3">
        <f t="shared" si="12"/>
        <v>14.04031547087013</v>
      </c>
      <c r="R22" s="13">
        <f t="shared" si="15"/>
        <v>2.997923385272741E-2</v>
      </c>
      <c r="S22" s="8">
        <f>1-GEVCUM(KVD!$D$42,KVD!$E$42,KVD!$F$42,$A22)</f>
        <v>0.10004678944774315</v>
      </c>
      <c r="T22" s="3">
        <f t="shared" si="13"/>
        <v>0.10541250528453368</v>
      </c>
      <c r="U22" s="9">
        <f t="shared" si="14"/>
        <v>9.4865404944200851</v>
      </c>
      <c r="V22" s="32">
        <f t="shared" si="16"/>
        <v>4.2226020165768888E-2</v>
      </c>
    </row>
    <row r="23" spans="1:22" x14ac:dyDescent="0.25">
      <c r="A23" s="23">
        <f t="shared" si="4"/>
        <v>112.5</v>
      </c>
      <c r="B23" s="13">
        <f t="shared" si="5"/>
        <v>110</v>
      </c>
      <c r="C23" s="8"/>
      <c r="D23" s="3"/>
      <c r="E23" s="3"/>
      <c r="F23" s="32"/>
      <c r="G23" s="8"/>
      <c r="H23" s="3"/>
      <c r="I23" s="3"/>
      <c r="J23" s="13"/>
      <c r="K23" s="8">
        <f>1-GEVCUM(KVD!$D$40,KVD!$E$40,KVD!$F$40,$A23)</f>
        <v>4.9420013377631244E-3</v>
      </c>
      <c r="L23" s="3">
        <f t="shared" si="8"/>
        <v>4.9542534095460122E-3</v>
      </c>
      <c r="M23" s="3">
        <f t="shared" si="9"/>
        <v>201.84676021480217</v>
      </c>
      <c r="N23" s="13">
        <f t="shared" si="10"/>
        <v>2.3822176861507073E-3</v>
      </c>
      <c r="O23" s="8">
        <f>1-GEVCUM(KVD!$D$41,KVD!$E$41,KVD!$F$41,$A23)</f>
        <v>4.8615097361182413E-2</v>
      </c>
      <c r="P23" s="3">
        <f t="shared" si="11"/>
        <v>4.9836563683735721E-2</v>
      </c>
      <c r="Q23" s="3">
        <f t="shared" si="12"/>
        <v>20.065588918731013</v>
      </c>
      <c r="R23" s="13">
        <f t="shared" si="15"/>
        <v>2.1386907190172368E-2</v>
      </c>
      <c r="S23" s="8">
        <f>1-GEVCUM(KVD!$D$42,KVD!$E$42,KVD!$F$42,$A23)</f>
        <v>7.1992725481734854E-2</v>
      </c>
      <c r="T23" s="3">
        <f t="shared" si="13"/>
        <v>7.4715707306116319E-2</v>
      </c>
      <c r="U23" s="9">
        <f t="shared" si="14"/>
        <v>13.384066564516599</v>
      </c>
      <c r="V23" s="32">
        <f t="shared" si="16"/>
        <v>3.0696797978417359E-2</v>
      </c>
    </row>
    <row r="24" spans="1:22" x14ac:dyDescent="0.25">
      <c r="A24" s="23">
        <f t="shared" si="4"/>
        <v>117.5</v>
      </c>
      <c r="B24" s="13">
        <f t="shared" si="5"/>
        <v>115</v>
      </c>
      <c r="C24" s="8"/>
      <c r="D24" s="3"/>
      <c r="E24" s="3"/>
      <c r="F24" s="32"/>
      <c r="G24" s="8"/>
      <c r="H24" s="3"/>
      <c r="I24" s="3"/>
      <c r="J24" s="13"/>
      <c r="K24" s="8">
        <f>1-GEVCUM(KVD!$D$40,KVD!$E$40,KVD!$F$40,$A24)</f>
        <v>3.3512024182125177E-3</v>
      </c>
      <c r="L24" s="3">
        <f t="shared" si="8"/>
        <v>3.3568302739432109E-3</v>
      </c>
      <c r="M24" s="3">
        <f t="shared" si="9"/>
        <v>297.90007786879175</v>
      </c>
      <c r="N24" s="13">
        <f t="shared" si="10"/>
        <v>1.5974231356028017E-3</v>
      </c>
      <c r="O24" s="8">
        <f>1-GEVCUM(KVD!$D$41,KVD!$E$41,KVD!$F$41,$A24)</f>
        <v>3.407044084867572E-2</v>
      </c>
      <c r="P24" s="3">
        <f t="shared" si="11"/>
        <v>3.46643675616259E-2</v>
      </c>
      <c r="Q24" s="3">
        <f t="shared" si="12"/>
        <v>28.848067059703656</v>
      </c>
      <c r="R24" s="13">
        <f t="shared" si="15"/>
        <v>1.5172196122109828E-2</v>
      </c>
      <c r="S24" s="8">
        <f>1-GEVCUM(KVD!$D$42,KVD!$E$42,KVD!$F$42,$A24)</f>
        <v>5.1198362411526643E-2</v>
      </c>
      <c r="T24" s="3">
        <f t="shared" si="13"/>
        <v>5.2555524782668298E-2</v>
      </c>
      <c r="U24" s="9">
        <f t="shared" si="14"/>
        <v>19.027495284944408</v>
      </c>
      <c r="V24" s="32">
        <f t="shared" si="16"/>
        <v>2.2160182523448022E-2</v>
      </c>
    </row>
    <row r="25" spans="1:22" x14ac:dyDescent="0.25">
      <c r="A25" s="23">
        <f t="shared" si="4"/>
        <v>122.5</v>
      </c>
      <c r="B25" s="13">
        <f t="shared" si="5"/>
        <v>120</v>
      </c>
      <c r="C25" s="8"/>
      <c r="D25" s="3"/>
      <c r="E25" s="3"/>
      <c r="F25" s="32"/>
      <c r="G25" s="8"/>
      <c r="H25" s="3"/>
      <c r="I25" s="3"/>
      <c r="J25" s="13"/>
      <c r="K25" s="8">
        <f>1-GEVCUM(KVD!$D$40,KVD!$E$40,KVD!$F$40,$A25)</f>
        <v>2.2793996521441873E-3</v>
      </c>
      <c r="L25" s="3">
        <f t="shared" si="8"/>
        <v>2.2820014379563158E-3</v>
      </c>
      <c r="M25" s="3">
        <f t="shared" si="9"/>
        <v>438.21181852346535</v>
      </c>
      <c r="N25" s="13">
        <f t="shared" si="10"/>
        <v>3.3568302739432104E-3</v>
      </c>
      <c r="O25" s="8">
        <f>1-GEVCUM(KVD!$D$41,KVD!$E$41,KVD!$F$41,$A25)</f>
        <v>2.3678142856428774E-2</v>
      </c>
      <c r="P25" s="3">
        <f t="shared" si="11"/>
        <v>2.3962975268273283E-2</v>
      </c>
      <c r="Q25" s="3">
        <f t="shared" si="12"/>
        <v>41.731045031123038</v>
      </c>
      <c r="R25" s="13">
        <f t="shared" si="15"/>
        <v>1.0701392293352617E-2</v>
      </c>
      <c r="S25" s="8">
        <f>1-GEVCUM(KVD!$D$42,KVD!$E$42,KVD!$F$42,$A25)</f>
        <v>3.6009901701994695E-2</v>
      </c>
      <c r="T25" s="3">
        <f t="shared" si="13"/>
        <v>3.6674255899441628E-2</v>
      </c>
      <c r="U25" s="9">
        <f t="shared" si="14"/>
        <v>27.267083556976139</v>
      </c>
      <c r="V25" s="32">
        <f t="shared" si="16"/>
        <v>1.5881268883226669E-2</v>
      </c>
    </row>
    <row r="26" spans="1:22" x14ac:dyDescent="0.25">
      <c r="A26" s="23">
        <f t="shared" si="4"/>
        <v>127.5</v>
      </c>
      <c r="B26" s="13">
        <f t="shared" si="5"/>
        <v>125</v>
      </c>
      <c r="C26" s="8"/>
      <c r="D26" s="3"/>
      <c r="E26" s="3"/>
      <c r="F26" s="32"/>
      <c r="G26" s="8"/>
      <c r="H26" s="3"/>
      <c r="I26" s="3"/>
      <c r="J26" s="13"/>
      <c r="K26" s="8"/>
      <c r="L26" s="3"/>
      <c r="M26" s="3"/>
      <c r="N26" s="13"/>
      <c r="O26" s="8">
        <f>1-GEVCUM(KVD!$D$41,KVD!$E$41,KVD!$F$41,$A26)</f>
        <v>1.632520373573032E-2</v>
      </c>
      <c r="P26" s="3">
        <f t="shared" si="11"/>
        <v>1.645992815562046E-2</v>
      </c>
      <c r="Q26" s="3">
        <f t="shared" si="12"/>
        <v>60.75360661027775</v>
      </c>
      <c r="R26" s="13">
        <f t="shared" si="15"/>
        <v>7.5030471126528234E-3</v>
      </c>
      <c r="S26" s="8">
        <f>1-GEVCUM(KVD!$D$42,KVD!$E$42,KVD!$F$42,$A26)</f>
        <v>2.5059975808755852E-2</v>
      </c>
      <c r="T26" s="3">
        <f t="shared" si="13"/>
        <v>2.5379323526338038E-2</v>
      </c>
      <c r="U26" s="9">
        <f t="shared" si="14"/>
        <v>39.402153448346432</v>
      </c>
      <c r="V26" s="32">
        <f t="shared" si="16"/>
        <v>1.129493237310359E-2</v>
      </c>
    </row>
    <row r="27" spans="1:22" x14ac:dyDescent="0.25">
      <c r="A27" s="23">
        <f t="shared" si="4"/>
        <v>132.5</v>
      </c>
      <c r="B27" s="13">
        <f t="shared" si="5"/>
        <v>130</v>
      </c>
      <c r="C27" s="8"/>
      <c r="D27" s="3"/>
      <c r="E27" s="3"/>
      <c r="F27" s="32"/>
      <c r="G27" s="8"/>
      <c r="H27" s="3"/>
      <c r="I27" s="3"/>
      <c r="J27" s="13"/>
      <c r="K27" s="8"/>
      <c r="L27" s="3"/>
      <c r="M27" s="3"/>
      <c r="N27" s="13"/>
      <c r="O27" s="8">
        <f>1-GEVCUM(KVD!$D$41,KVD!$E$41,KVD!$F$41,$A27)</f>
        <v>1.1168910156668987E-2</v>
      </c>
      <c r="P27" s="3">
        <f t="shared" si="11"/>
        <v>1.1231750779339845E-2</v>
      </c>
      <c r="Q27" s="3">
        <f t="shared" si="12"/>
        <v>89.033314542505877</v>
      </c>
      <c r="R27" s="13">
        <f t="shared" si="15"/>
        <v>5.2281773762806148E-3</v>
      </c>
      <c r="S27" s="8">
        <f>1-GEVCUM(KVD!$D$42,KVD!$E$42,KVD!$F$42,$A27)</f>
        <v>1.7259466649537702E-2</v>
      </c>
      <c r="T27" s="3">
        <f t="shared" si="13"/>
        <v>1.7410147542170136E-2</v>
      </c>
      <c r="U27" s="9">
        <f t="shared" si="14"/>
        <v>57.43776711701274</v>
      </c>
      <c r="V27" s="32">
        <f t="shared" si="16"/>
        <v>7.9691759841679019E-3</v>
      </c>
    </row>
    <row r="28" spans="1:22" x14ac:dyDescent="0.25">
      <c r="A28" s="23">
        <f t="shared" si="4"/>
        <v>137.5</v>
      </c>
      <c r="B28" s="13">
        <f t="shared" si="5"/>
        <v>135</v>
      </c>
      <c r="C28" s="8"/>
      <c r="D28" s="3"/>
      <c r="E28" s="3"/>
      <c r="F28" s="32"/>
      <c r="G28" s="8"/>
      <c r="H28" s="3"/>
      <c r="I28" s="3"/>
      <c r="J28" s="13"/>
      <c r="K28" s="8"/>
      <c r="L28" s="3"/>
      <c r="M28" s="3"/>
      <c r="N28" s="13"/>
      <c r="O28" s="8">
        <f>1-GEVCUM(KVD!$D$41,KVD!$E$41,KVD!$F$41,$A28)</f>
        <v>7.5830653848235618E-3</v>
      </c>
      <c r="P28" s="3">
        <f t="shared" si="11"/>
        <v>7.6119630061987171E-3</v>
      </c>
      <c r="Q28" s="3">
        <f t="shared" si="12"/>
        <v>131.37215711448692</v>
      </c>
      <c r="R28" s="13">
        <f t="shared" si="15"/>
        <v>3.6197877731411286E-3</v>
      </c>
      <c r="S28" s="8">
        <f>1-GEVCUM(KVD!$D$42,KVD!$E$42,KVD!$F$42,$A28)</f>
        <v>1.1764584739838324E-2</v>
      </c>
      <c r="T28" s="3">
        <f t="shared" si="13"/>
        <v>1.1834335062322943E-2</v>
      </c>
      <c r="U28" s="9">
        <f t="shared" si="14"/>
        <v>84.499889071394222</v>
      </c>
      <c r="V28" s="32">
        <f t="shared" si="16"/>
        <v>5.5758124798471927E-3</v>
      </c>
    </row>
    <row r="29" spans="1:22" x14ac:dyDescent="0.25">
      <c r="A29" s="23">
        <f t="shared" si="4"/>
        <v>142.5</v>
      </c>
      <c r="B29" s="13">
        <f t="shared" si="5"/>
        <v>140</v>
      </c>
      <c r="C29" s="8"/>
      <c r="D29" s="3"/>
      <c r="E29" s="3"/>
      <c r="F29" s="32"/>
      <c r="G29" s="8"/>
      <c r="H29" s="3"/>
      <c r="I29" s="3"/>
      <c r="J29" s="13"/>
      <c r="K29" s="8"/>
      <c r="L29" s="3"/>
      <c r="M29" s="3"/>
      <c r="N29" s="13"/>
      <c r="O29" s="8">
        <f>1-GEVCUM(KVD!$D$41,KVD!$E$41,KVD!$F$41,$A29)</f>
        <v>5.1092304492609264E-3</v>
      </c>
      <c r="P29" s="3">
        <f t="shared" si="11"/>
        <v>5.1223271957286046E-3</v>
      </c>
      <c r="Q29" s="3">
        <f t="shared" si="12"/>
        <v>195.22376486099481</v>
      </c>
      <c r="R29" s="13">
        <f t="shared" si="15"/>
        <v>2.4896358104701116E-3</v>
      </c>
      <c r="S29" s="8">
        <f>1-GEVCUM(KVD!$D$42,KVD!$E$42,KVD!$F$42,$A29)</f>
        <v>7.9355470804874928E-3</v>
      </c>
      <c r="T29" s="3">
        <f t="shared" si="13"/>
        <v>7.9672011067773042E-3</v>
      </c>
      <c r="U29" s="9">
        <f t="shared" si="14"/>
        <v>125.51459246451674</v>
      </c>
      <c r="V29" s="32">
        <f t="shared" si="16"/>
        <v>3.8671339555456392E-3</v>
      </c>
    </row>
    <row r="30" spans="1:22" x14ac:dyDescent="0.25">
      <c r="A30" s="23">
        <f t="shared" si="4"/>
        <v>147.5</v>
      </c>
      <c r="B30" s="13">
        <f t="shared" si="5"/>
        <v>145</v>
      </c>
      <c r="C30" s="8"/>
      <c r="D30" s="3"/>
      <c r="E30" s="3"/>
      <c r="F30" s="32"/>
      <c r="G30" s="8"/>
      <c r="H30" s="3"/>
      <c r="I30" s="3"/>
      <c r="J30" s="13"/>
      <c r="K30" s="8"/>
      <c r="L30" s="3"/>
      <c r="M30" s="3"/>
      <c r="N30" s="13"/>
      <c r="O30" s="8">
        <f>1-GEVCUM(KVD!$D$41,KVD!$E$41,KVD!$F$41,$A30)</f>
        <v>3.4158777155669506E-3</v>
      </c>
      <c r="P30" s="3">
        <f t="shared" si="11"/>
        <v>3.4217251457191308E-3</v>
      </c>
      <c r="Q30" s="3">
        <f t="shared" si="12"/>
        <v>292.25024144650689</v>
      </c>
      <c r="R30" s="13">
        <f t="shared" si="15"/>
        <v>1.7006020500094738E-3</v>
      </c>
      <c r="S30" s="8">
        <f>1-GEVCUM(KVD!$D$42,KVD!$E$42,KVD!$F$42,$A30)</f>
        <v>5.2956832649234675E-3</v>
      </c>
      <c r="T30" s="3">
        <f t="shared" si="13"/>
        <v>5.309755097509806E-3</v>
      </c>
      <c r="U30" s="9">
        <f t="shared" si="14"/>
        <v>188.33260322476733</v>
      </c>
      <c r="V30" s="32">
        <f t="shared" si="16"/>
        <v>2.6574460092674982E-3</v>
      </c>
    </row>
    <row r="31" spans="1:22" x14ac:dyDescent="0.25">
      <c r="A31" s="23">
        <f t="shared" si="4"/>
        <v>152.5</v>
      </c>
      <c r="B31" s="13">
        <f t="shared" si="5"/>
        <v>150</v>
      </c>
      <c r="C31" s="8"/>
      <c r="D31" s="3"/>
      <c r="E31" s="3"/>
      <c r="F31" s="32"/>
      <c r="G31" s="8"/>
      <c r="H31" s="3"/>
      <c r="I31" s="3"/>
      <c r="J31" s="13"/>
      <c r="K31" s="8"/>
      <c r="L31" s="3"/>
      <c r="M31" s="3"/>
      <c r="N31" s="13"/>
      <c r="O31" s="8">
        <f>1-GEVCUM(KVD!$D$41,KVD!$E$41,KVD!$F$41,$A31)</f>
        <v>2.2657753633185118E-3</v>
      </c>
      <c r="P31" s="3">
        <f t="shared" si="11"/>
        <v>2.2683461162168296E-3</v>
      </c>
      <c r="Q31" s="3">
        <f t="shared" si="12"/>
        <v>440.8498301254881</v>
      </c>
      <c r="R31" s="13">
        <f t="shared" si="15"/>
        <v>1.1533790295023012E-3</v>
      </c>
      <c r="S31" s="8">
        <f>1-GEVCUM(KVD!$D$42,KVD!$E$42,KVD!$F$42,$A31)</f>
        <v>3.4950983015312742E-3</v>
      </c>
      <c r="T31" s="3">
        <f t="shared" si="13"/>
        <v>3.5012204267153928E-3</v>
      </c>
      <c r="U31" s="9">
        <f t="shared" si="14"/>
        <v>285.6146937706896</v>
      </c>
      <c r="V31" s="32">
        <f t="shared" si="16"/>
        <v>1.8085346707944136E-3</v>
      </c>
    </row>
    <row r="32" spans="1:22" x14ac:dyDescent="0.25">
      <c r="A32" s="23">
        <f t="shared" si="4"/>
        <v>157.5</v>
      </c>
      <c r="B32" s="13">
        <f t="shared" si="5"/>
        <v>155</v>
      </c>
      <c r="C32" s="8"/>
      <c r="D32" s="3"/>
      <c r="E32" s="3"/>
      <c r="F32" s="32"/>
      <c r="G32" s="8"/>
      <c r="H32" s="3"/>
      <c r="I32" s="3"/>
      <c r="J32" s="13"/>
      <c r="K32" s="8"/>
      <c r="L32" s="3"/>
      <c r="M32" s="3"/>
      <c r="N32" s="13"/>
      <c r="O32" s="8">
        <f>1-GEVCUM(KVD!$D$41,KVD!$E$41,KVD!$F$41,$A32)</f>
        <v>1.4907618036341663E-3</v>
      </c>
      <c r="P32" s="3">
        <f t="shared" si="11"/>
        <v>1.4918740945897727E-3</v>
      </c>
      <c r="Q32" s="3">
        <f t="shared" si="12"/>
        <v>670.2978512908453</v>
      </c>
      <c r="R32" s="13">
        <f t="shared" si="15"/>
        <v>2.2683461162168296E-3</v>
      </c>
      <c r="S32" s="8">
        <f>1-GEVCUM(KVD!$D$42,KVD!$E$42,KVD!$F$42,$A32)</f>
        <v>2.2803203094047264E-3</v>
      </c>
      <c r="T32" s="3">
        <f t="shared" si="13"/>
        <v>2.2829241989827912E-3</v>
      </c>
      <c r="U32" s="9">
        <f t="shared" si="14"/>
        <v>438.034692718038</v>
      </c>
      <c r="V32" s="32">
        <f t="shared" si="16"/>
        <v>1.2182962277326012E-3</v>
      </c>
    </row>
    <row r="33" spans="1:22" x14ac:dyDescent="0.25">
      <c r="A33" s="23">
        <f t="shared" si="4"/>
        <v>162.5</v>
      </c>
      <c r="B33" s="13">
        <f t="shared" si="5"/>
        <v>160</v>
      </c>
      <c r="C33" s="8"/>
      <c r="D33" s="3"/>
      <c r="E33" s="3"/>
      <c r="F33" s="32"/>
      <c r="G33" s="8"/>
      <c r="H33" s="3"/>
      <c r="I33" s="3"/>
      <c r="J33" s="13"/>
      <c r="K33" s="8"/>
      <c r="L33" s="3"/>
      <c r="M33" s="3"/>
      <c r="N33" s="13"/>
      <c r="O33" s="8"/>
      <c r="P33" s="3"/>
      <c r="Q33" s="3"/>
      <c r="R33" s="13"/>
      <c r="S33" s="8">
        <f>1-GEVCUM(KVD!$D$42,KVD!$E$42,KVD!$F$42,$A33)</f>
        <v>1.4699458474759508E-3</v>
      </c>
      <c r="T33" s="3">
        <f t="shared" si="13"/>
        <v>1.4710272777657674E-3</v>
      </c>
      <c r="U33" s="9">
        <f t="shared" si="14"/>
        <v>679.797047352395</v>
      </c>
      <c r="V33" s="32">
        <f t="shared" si="16"/>
        <v>2.2829241989827912E-3</v>
      </c>
    </row>
    <row r="34" spans="1:22" x14ac:dyDescent="0.25">
      <c r="A34" s="23">
        <f t="shared" si="4"/>
        <v>167.5</v>
      </c>
      <c r="B34" s="13">
        <f t="shared" si="5"/>
        <v>165</v>
      </c>
      <c r="C34" s="8"/>
      <c r="D34" s="3"/>
      <c r="E34" s="3"/>
      <c r="F34" s="32"/>
      <c r="G34" s="8"/>
      <c r="H34" s="3"/>
      <c r="I34" s="3"/>
      <c r="J34" s="13"/>
      <c r="K34" s="8"/>
      <c r="L34" s="3"/>
      <c r="M34" s="3"/>
      <c r="N34" s="13"/>
      <c r="O34" s="8"/>
      <c r="P34" s="3"/>
      <c r="Q34" s="3"/>
      <c r="R34" s="13"/>
      <c r="S34" s="8"/>
      <c r="T34" s="3"/>
      <c r="U34" s="9"/>
      <c r="V34" s="32"/>
    </row>
    <row r="35" spans="1:22" x14ac:dyDescent="0.25">
      <c r="A35" s="23">
        <f t="shared" si="4"/>
        <v>172.5</v>
      </c>
      <c r="B35" s="13">
        <f t="shared" si="5"/>
        <v>170</v>
      </c>
      <c r="C35" s="8"/>
      <c r="D35" s="3"/>
      <c r="E35" s="3"/>
      <c r="F35" s="32"/>
      <c r="G35" s="8"/>
      <c r="H35" s="3"/>
      <c r="I35" s="3"/>
      <c r="J35" s="13"/>
      <c r="K35" s="8"/>
      <c r="L35" s="3"/>
      <c r="M35" s="3"/>
      <c r="N35" s="13"/>
      <c r="O35" s="8"/>
      <c r="P35" s="3"/>
      <c r="Q35" s="3"/>
      <c r="R35" s="13"/>
      <c r="S35" s="8"/>
      <c r="T35" s="3"/>
      <c r="U35" s="9"/>
      <c r="V35" s="32"/>
    </row>
    <row r="36" spans="1:22" x14ac:dyDescent="0.25">
      <c r="A36" s="23">
        <f t="shared" si="4"/>
        <v>177.5</v>
      </c>
      <c r="B36" s="13">
        <f t="shared" si="5"/>
        <v>175</v>
      </c>
      <c r="C36" s="8"/>
      <c r="D36" s="3"/>
      <c r="E36" s="3"/>
      <c r="F36" s="32"/>
      <c r="G36" s="8"/>
      <c r="H36" s="3"/>
      <c r="I36" s="3"/>
      <c r="J36" s="13"/>
      <c r="K36" s="8"/>
      <c r="L36" s="3"/>
      <c r="M36" s="3"/>
      <c r="N36" s="13"/>
      <c r="O36" s="8"/>
      <c r="P36" s="3"/>
      <c r="Q36" s="3"/>
      <c r="R36" s="13"/>
      <c r="S36" s="8"/>
      <c r="T36" s="3"/>
      <c r="U36" s="9"/>
      <c r="V36" s="32"/>
    </row>
    <row r="37" spans="1:22" x14ac:dyDescent="0.25">
      <c r="A37" s="14">
        <f t="shared" si="4"/>
        <v>182.5</v>
      </c>
      <c r="B37" s="15">
        <f t="shared" si="5"/>
        <v>180</v>
      </c>
      <c r="C37" s="10"/>
      <c r="D37" s="4"/>
      <c r="E37" s="4"/>
      <c r="F37" s="33"/>
      <c r="G37" s="10"/>
      <c r="H37" s="4"/>
      <c r="I37" s="4"/>
      <c r="J37" s="15"/>
      <c r="K37" s="10"/>
      <c r="L37" s="4"/>
      <c r="M37" s="4"/>
      <c r="N37" s="15"/>
      <c r="O37" s="8"/>
      <c r="P37" s="3"/>
      <c r="Q37" s="3"/>
      <c r="R37" s="13"/>
      <c r="S37" s="8"/>
      <c r="T37" s="3"/>
      <c r="U37" s="9"/>
      <c r="V37" s="32"/>
    </row>
    <row r="38" spans="1:22" x14ac:dyDescent="0.25">
      <c r="A38" s="14">
        <f t="shared" si="4"/>
        <v>187.5</v>
      </c>
      <c r="B38" s="15">
        <f t="shared" si="5"/>
        <v>185</v>
      </c>
      <c r="O38" s="8"/>
      <c r="P38" s="3"/>
      <c r="Q38" s="3"/>
      <c r="R38" s="13"/>
      <c r="S38" s="8"/>
      <c r="T38" s="3"/>
      <c r="U38" s="9"/>
      <c r="V38" s="32"/>
    </row>
    <row r="39" spans="1:22" x14ac:dyDescent="0.25">
      <c r="A39" s="14">
        <f t="shared" si="4"/>
        <v>192.5</v>
      </c>
      <c r="B39" s="15">
        <f t="shared" si="5"/>
        <v>190</v>
      </c>
      <c r="O39" s="8"/>
      <c r="P39" s="3"/>
      <c r="Q39" s="3"/>
      <c r="R39" s="13"/>
      <c r="S39" s="8"/>
      <c r="T39" s="3"/>
      <c r="U39" s="9"/>
      <c r="V39" s="32"/>
    </row>
    <row r="40" spans="1:22" x14ac:dyDescent="0.25">
      <c r="A40" s="14">
        <f t="shared" si="4"/>
        <v>197.5</v>
      </c>
      <c r="B40" s="15">
        <f t="shared" si="5"/>
        <v>195</v>
      </c>
      <c r="S40" s="8"/>
      <c r="T40" s="3"/>
      <c r="U40" s="9"/>
      <c r="V40" s="32"/>
    </row>
  </sheetData>
  <mergeCells count="11">
    <mergeCell ref="S2:U2"/>
    <mergeCell ref="A1:B2"/>
    <mergeCell ref="C1:F1"/>
    <mergeCell ref="G1:J1"/>
    <mergeCell ref="K1:N1"/>
    <mergeCell ref="O1:R1"/>
    <mergeCell ref="S1:V1"/>
    <mergeCell ref="C2:E2"/>
    <mergeCell ref="G2:I2"/>
    <mergeCell ref="K2:M2"/>
    <mergeCell ref="O2:Q2"/>
  </mergeCells>
  <pageMargins left="0.7" right="0.7" top="0.75" bottom="0.75" header="0.3" footer="0.3"/>
  <pageSetup paperSize="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Blad12">
    <tabColor theme="8" tint="-0.249977111117893"/>
  </sheetPr>
  <dimension ref="A1:V40"/>
  <sheetViews>
    <sheetView topLeftCell="H1" workbookViewId="0">
      <selection activeCell="V6" sqref="V6"/>
    </sheetView>
  </sheetViews>
  <sheetFormatPr defaultColWidth="9.140625" defaultRowHeight="15" x14ac:dyDescent="0.25"/>
  <cols>
    <col min="1" max="1" width="11.42578125" bestFit="1" customWidth="1"/>
    <col min="2" max="2" width="14" bestFit="1" customWidth="1"/>
    <col min="4" max="4" width="12.28515625" style="19" bestFit="1" customWidth="1"/>
    <col min="5" max="5" width="12" style="19" bestFit="1" customWidth="1"/>
    <col min="6" max="6" width="14.7109375" bestFit="1" customWidth="1"/>
    <col min="8" max="8" width="12.28515625" bestFit="1" customWidth="1"/>
    <col min="9" max="9" width="12" bestFit="1" customWidth="1"/>
    <col min="10" max="10" width="13.7109375" bestFit="1" customWidth="1"/>
    <col min="12" max="12" width="12.28515625" bestFit="1" customWidth="1"/>
    <col min="13" max="13" width="18.85546875" bestFit="1" customWidth="1"/>
    <col min="14" max="14" width="14.7109375" bestFit="1" customWidth="1"/>
    <col min="15" max="15" width="7.7109375" bestFit="1" customWidth="1"/>
    <col min="16" max="16" width="12.28515625" bestFit="1" customWidth="1"/>
    <col min="17" max="17" width="16.42578125" bestFit="1" customWidth="1"/>
    <col min="18" max="18" width="14.7109375" bestFit="1" customWidth="1"/>
    <col min="19" max="19" width="7.7109375" bestFit="1" customWidth="1"/>
    <col min="20" max="20" width="12.28515625" bestFit="1" customWidth="1"/>
    <col min="21" max="21" width="11.42578125" bestFit="1" customWidth="1"/>
    <col min="22" max="22" width="14.7109375" bestFit="1" customWidth="1"/>
  </cols>
  <sheetData>
    <row r="1" spans="1:22" x14ac:dyDescent="0.25">
      <c r="A1" s="50" t="s">
        <v>15</v>
      </c>
      <c r="B1" s="51"/>
      <c r="C1" s="63">
        <v>24</v>
      </c>
      <c r="D1" s="64"/>
      <c r="E1" s="64"/>
      <c r="F1" s="65"/>
      <c r="G1" s="66">
        <v>48</v>
      </c>
      <c r="H1" s="67"/>
      <c r="I1" s="67"/>
      <c r="J1" s="68"/>
      <c r="K1" s="66">
        <v>96</v>
      </c>
      <c r="L1" s="67"/>
      <c r="M1" s="67"/>
      <c r="N1" s="68"/>
      <c r="O1" s="66">
        <v>192</v>
      </c>
      <c r="P1" s="67"/>
      <c r="Q1" s="67"/>
      <c r="R1" s="68"/>
      <c r="S1" s="60">
        <v>216</v>
      </c>
      <c r="T1" s="61"/>
      <c r="U1" s="61"/>
      <c r="V1" s="62"/>
    </row>
    <row r="2" spans="1:22" x14ac:dyDescent="0.25">
      <c r="A2" s="52"/>
      <c r="B2" s="53"/>
      <c r="C2" s="57" t="s">
        <v>9</v>
      </c>
      <c r="D2" s="58"/>
      <c r="E2" s="59"/>
      <c r="F2" s="30">
        <f>24/24*365.25</f>
        <v>365.25</v>
      </c>
      <c r="G2" s="54" t="s">
        <v>9</v>
      </c>
      <c r="H2" s="55"/>
      <c r="I2" s="56"/>
      <c r="J2" s="30">
        <f>24/48*365.25</f>
        <v>182.625</v>
      </c>
      <c r="K2" s="54" t="s">
        <v>9</v>
      </c>
      <c r="L2" s="55"/>
      <c r="M2" s="56"/>
      <c r="N2" s="30">
        <f>24/96*365.25</f>
        <v>91.3125</v>
      </c>
      <c r="O2" s="54" t="s">
        <v>9</v>
      </c>
      <c r="P2" s="55"/>
      <c r="Q2" s="56"/>
      <c r="R2" s="30">
        <f>24/192*365.25</f>
        <v>45.65625</v>
      </c>
      <c r="S2" s="54" t="s">
        <v>9</v>
      </c>
      <c r="T2" s="55"/>
      <c r="U2" s="56"/>
      <c r="V2" s="30">
        <f>24/216*365.25</f>
        <v>40.583333333333329</v>
      </c>
    </row>
    <row r="3" spans="1:22" x14ac:dyDescent="0.25">
      <c r="A3" s="24" t="s">
        <v>12</v>
      </c>
      <c r="B3" s="27" t="s">
        <v>14</v>
      </c>
      <c r="C3" s="24" t="s">
        <v>8</v>
      </c>
      <c r="D3" s="25" t="s">
        <v>10</v>
      </c>
      <c r="E3" s="26" t="s">
        <v>17</v>
      </c>
      <c r="F3" s="36" t="s">
        <v>13</v>
      </c>
      <c r="G3" s="24" t="s">
        <v>8</v>
      </c>
      <c r="H3" s="25" t="s">
        <v>10</v>
      </c>
      <c r="I3" s="26" t="s">
        <v>17</v>
      </c>
      <c r="J3" s="29" t="s">
        <v>13</v>
      </c>
      <c r="K3" s="24" t="s">
        <v>8</v>
      </c>
      <c r="L3" s="25" t="s">
        <v>10</v>
      </c>
      <c r="M3" s="26" t="s">
        <v>17</v>
      </c>
      <c r="N3" s="29" t="s">
        <v>13</v>
      </c>
      <c r="O3" s="24" t="s">
        <v>8</v>
      </c>
      <c r="P3" s="25" t="s">
        <v>10</v>
      </c>
      <c r="Q3" s="26" t="s">
        <v>17</v>
      </c>
      <c r="R3" s="29" t="s">
        <v>13</v>
      </c>
      <c r="S3" s="24" t="s">
        <v>8</v>
      </c>
      <c r="T3" s="25" t="s">
        <v>10</v>
      </c>
      <c r="U3" s="26" t="s">
        <v>17</v>
      </c>
      <c r="V3" s="29" t="s">
        <v>13</v>
      </c>
    </row>
    <row r="4" spans="1:22" x14ac:dyDescent="0.25">
      <c r="A4" s="34">
        <v>17.5</v>
      </c>
      <c r="B4" s="12">
        <f>A4-2.5</f>
        <v>15</v>
      </c>
      <c r="C4" s="8">
        <f>1-GEVCUM(KVD!$D$43,KVD!$E$43,KVD!$F$43,$A4)</f>
        <v>0.99988895885529971</v>
      </c>
      <c r="D4" s="3">
        <f t="shared" ref="D4:D22" si="0">-LN(1-C4)</f>
        <v>9.1056097523586494</v>
      </c>
      <c r="E4" s="3">
        <f t="shared" ref="E4:E22" si="1">1/D4</f>
        <v>0.1098224091737478</v>
      </c>
      <c r="F4" s="31">
        <f>KLASSEFREQUENTIEUITHERHALINGSTIJD(F$2,E3,E4,E5)</f>
        <v>356.14439024764135</v>
      </c>
      <c r="G4" s="8">
        <f>1-GEVCUM(KVD!$D$44,KVD!$E$44,KVD!$F$44,$A4)</f>
        <v>0.9999994958118118</v>
      </c>
      <c r="H4" s="2">
        <f t="shared" ref="H4:H23" si="2">-LN(1-G4)</f>
        <v>14.500316249282696</v>
      </c>
      <c r="I4" s="2">
        <f t="shared" ref="I4:I23" si="3">1/H4</f>
        <v>6.8964013115884154E-2</v>
      </c>
      <c r="J4" s="12">
        <f>KLASSEFREQUENTIEUITHERHALINGSTIJD(J$2,I3,I4,I5)</f>
        <v>168.12468375071731</v>
      </c>
      <c r="K4" s="35"/>
      <c r="L4" s="2"/>
      <c r="M4" s="2"/>
      <c r="N4" s="12"/>
      <c r="O4" s="35"/>
      <c r="P4" s="2"/>
      <c r="Q4" s="2"/>
      <c r="R4" s="12"/>
      <c r="S4" s="35"/>
      <c r="T4" s="2"/>
      <c r="U4" s="37"/>
      <c r="V4" s="31"/>
    </row>
    <row r="5" spans="1:22" x14ac:dyDescent="0.25">
      <c r="A5" s="23">
        <f t="shared" ref="A5:A40" si="4">A4+5</f>
        <v>22.5</v>
      </c>
      <c r="B5" s="13">
        <f t="shared" ref="B5:B40" si="5">A5-2.5</f>
        <v>20</v>
      </c>
      <c r="C5" s="8">
        <f>1-GEVCUM(KVD!$D$43,KVD!$E$43,KVD!$F$43,$A5)</f>
        <v>0.9940583512512895</v>
      </c>
      <c r="D5" s="3">
        <f t="shared" si="0"/>
        <v>5.1257686169992303</v>
      </c>
      <c r="E5" s="3">
        <f t="shared" si="1"/>
        <v>0.19509269237857799</v>
      </c>
      <c r="F5" s="32">
        <f t="shared" ref="F5:F22" si="6">KLASSEFREQUENTIEUITHERHALINGSTIJD(F$2,E4,E5,E6)</f>
        <v>3.9798411353594192</v>
      </c>
      <c r="G5" s="8">
        <f>1-GEVCUM(KVD!$D$44,KVD!$E$44,KVD!$F$44,$A5)</f>
        <v>0.99987216452169425</v>
      </c>
      <c r="H5" s="3">
        <f t="shared" si="2"/>
        <v>8.9647664465206134</v>
      </c>
      <c r="I5" s="3">
        <f t="shared" si="3"/>
        <v>0.11154780283072717</v>
      </c>
      <c r="J5" s="13">
        <f t="shared" ref="J5:J23" si="7">KLASSEFREQUENTIEUITHERHALINGSTIJD(J$2,I4,I5,I6)</f>
        <v>5.5355498027620822</v>
      </c>
      <c r="K5" s="8">
        <f>1-GEVCUM(KVD!$D$45,KVD!$E$45,KVD!$F$45,$A5)</f>
        <v>0.99999804695721795</v>
      </c>
      <c r="L5" s="3">
        <f t="shared" ref="L5:L25" si="8">-LN(1-K5)</f>
        <v>13.146122000495703</v>
      </c>
      <c r="M5" s="3">
        <f t="shared" ref="M5:M25" si="9">1/L5</f>
        <v>7.6068060220519235E-2</v>
      </c>
      <c r="N5" s="13">
        <f>KLASSEFREQUENTIEUITHERHALINGSTIJD(N$2,M4,M5,M6)</f>
        <v>78.166377999504292</v>
      </c>
      <c r="O5" s="8">
        <f>1-GEVCUM(KVD!$D$46,KVD!$E$46,KVD!$F$46,$A5)</f>
        <v>0.99999930766557465</v>
      </c>
      <c r="P5" s="3">
        <f t="shared" ref="P5:P31" si="10">-LN(1-O5)</f>
        <v>14.183196724447727</v>
      </c>
      <c r="Q5" s="3">
        <f t="shared" ref="Q5:Q31" si="11">1/P5</f>
        <v>7.0505966985305174E-2</v>
      </c>
      <c r="R5" s="13">
        <f>KLASSEFREQUENTIEUITHERHALINGSTIJD(R$2,Q4,Q5,Q6)</f>
        <v>31.473053275552274</v>
      </c>
      <c r="S5" s="8">
        <f>1-GEVCUM(KVD!$D$47,KVD!$E$47,KVD!$F$47,$A5)</f>
        <v>0.99999905297193625</v>
      </c>
      <c r="T5" s="3">
        <f t="shared" ref="T5" si="12">-LN(1-S5)</f>
        <v>13.869937109830982</v>
      </c>
      <c r="U5" s="9">
        <f t="shared" ref="U5" si="13">1/T5</f>
        <v>7.2098380265271864E-2</v>
      </c>
      <c r="V5" s="32">
        <f>KLASSEFREQUENTIEUITHERHALINGSTIJD(V$2,U4,U5,U6)</f>
        <v>26.713396223502343</v>
      </c>
    </row>
    <row r="6" spans="1:22" x14ac:dyDescent="0.25">
      <c r="A6" s="23">
        <f t="shared" si="4"/>
        <v>27.5</v>
      </c>
      <c r="B6" s="13">
        <f t="shared" si="5"/>
        <v>25</v>
      </c>
      <c r="C6" s="8">
        <f>1-GEVCUM(KVD!$D$43,KVD!$E$43,KVD!$F$43,$A6)</f>
        <v>0.94781467352520932</v>
      </c>
      <c r="D6" s="3">
        <f t="shared" si="0"/>
        <v>2.9529539256256254</v>
      </c>
      <c r="E6" s="3">
        <f t="shared" si="1"/>
        <v>0.33864395625073485</v>
      </c>
      <c r="F6" s="32">
        <f t="shared" si="6"/>
        <v>2.1728146913736048</v>
      </c>
      <c r="G6" s="8">
        <f>1-GEVCUM(KVD!$D$44,KVD!$E$44,KVD!$F$44,$A6)</f>
        <v>0.99634904923744838</v>
      </c>
      <c r="H6" s="3">
        <f t="shared" si="2"/>
        <v>5.61276766241666</v>
      </c>
      <c r="I6" s="3">
        <f t="shared" si="3"/>
        <v>0.17816522260417872</v>
      </c>
      <c r="J6" s="13">
        <f t="shared" si="7"/>
        <v>3.3519987841039534</v>
      </c>
      <c r="K6" s="8">
        <f>1-GEVCUM(KVD!$D$45,KVD!$E$45,KVD!$F$45,$A6)</f>
        <v>0.99990308844275311</v>
      </c>
      <c r="L6" s="3">
        <f t="shared" si="8"/>
        <v>9.2417117763458609</v>
      </c>
      <c r="M6" s="3">
        <f t="shared" si="9"/>
        <v>0.10820506246034393</v>
      </c>
      <c r="N6" s="13">
        <f t="shared" ref="N6:N25" si="14">KLASSEFREQUENTIEUITHERHALINGSTIJD(N$2,M5,M6,M7)</f>
        <v>3.9044102241498422</v>
      </c>
      <c r="O6" s="8">
        <f>1-GEVCUM(KVD!$D$46,KVD!$E$46,KVD!$F$46,$A6)</f>
        <v>0.99998822060289583</v>
      </c>
      <c r="P6" s="3">
        <f t="shared" si="10"/>
        <v>11.349158560662403</v>
      </c>
      <c r="Q6" s="3">
        <f t="shared" si="11"/>
        <v>8.8112259129599663E-2</v>
      </c>
      <c r="R6" s="13">
        <f t="shared" ref="R6:R31" si="15">KLASSEFREQUENTIEUITHERHALINGSTIJD(R$2,Q5,Q6,Q7)</f>
        <v>2.8340381637853245</v>
      </c>
      <c r="S6" s="8">
        <f>1-GEVCUM(KVD!$D$47,KVD!$E$47,KVD!$F$47,$A6)</f>
        <v>0.99998801661326076</v>
      </c>
      <c r="T6" s="3">
        <f t="shared" ref="T6:T32" si="16">-LN(1-S6)</f>
        <v>11.33198930579279</v>
      </c>
      <c r="U6" s="9">
        <f t="shared" ref="U6:U32" si="17">1/T6</f>
        <v>8.8245759240949059E-2</v>
      </c>
      <c r="V6" s="32">
        <f t="shared" ref="V6:V32" si="18">KLASSEFREQUENTIEUITHERHALINGSTIJD(V$2,U5,U6,U7)</f>
        <v>2.5379478040381933</v>
      </c>
    </row>
    <row r="7" spans="1:22" x14ac:dyDescent="0.25">
      <c r="A7" s="23">
        <f t="shared" si="4"/>
        <v>32.5</v>
      </c>
      <c r="B7" s="13">
        <f t="shared" si="5"/>
        <v>30</v>
      </c>
      <c r="C7" s="8">
        <f>1-GEVCUM(KVD!$D$43,KVD!$E$43,KVD!$F$43,$A7)</f>
        <v>0.8241101834690242</v>
      </c>
      <c r="D7" s="3">
        <f t="shared" si="0"/>
        <v>1.7378975224280162</v>
      </c>
      <c r="E7" s="3">
        <f t="shared" si="1"/>
        <v>0.57540792083235159</v>
      </c>
      <c r="F7" s="32">
        <f t="shared" si="6"/>
        <v>1.215056403197609</v>
      </c>
      <c r="G7" s="8">
        <f>1-GEVCUM(KVD!$D$44,KVD!$E$44,KVD!$F$44,$A7)</f>
        <v>0.97145889578541444</v>
      </c>
      <c r="H7" s="3">
        <f t="shared" si="2"/>
        <v>3.5564099776123173</v>
      </c>
      <c r="I7" s="3">
        <f t="shared" si="3"/>
        <v>0.28118243011773758</v>
      </c>
      <c r="J7" s="13">
        <f t="shared" si="7"/>
        <v>2.0563576848043432</v>
      </c>
      <c r="K7" s="8">
        <f>1-GEVCUM(KVD!$D$45,KVD!$E$45,KVD!$F$45,$A7)</f>
        <v>0.99851828115498442</v>
      </c>
      <c r="L7" s="3">
        <f t="shared" si="8"/>
        <v>6.5145524833209301</v>
      </c>
      <c r="M7" s="3">
        <f t="shared" si="9"/>
        <v>0.15350248579012582</v>
      </c>
      <c r="N7" s="13">
        <f t="shared" si="14"/>
        <v>2.7271592930249309</v>
      </c>
      <c r="O7" s="8">
        <f>1-GEVCUM(KVD!$D$46,KVD!$E$46,KVD!$F$46,$A7)</f>
        <v>0.9998838303751445</v>
      </c>
      <c r="P7" s="3">
        <f t="shared" si="10"/>
        <v>9.060459151715861</v>
      </c>
      <c r="Q7" s="3">
        <f t="shared" si="11"/>
        <v>0.11036968251334381</v>
      </c>
      <c r="R7" s="13">
        <f t="shared" si="15"/>
        <v>2.2886994089465418</v>
      </c>
      <c r="S7" s="8">
        <f>1-GEVCUM(KVD!$D$47,KVD!$E$47,KVD!$F$47,$A7)</f>
        <v>0.99990237154375217</v>
      </c>
      <c r="T7" s="3">
        <f t="shared" si="16"/>
        <v>9.2343415471242327</v>
      </c>
      <c r="U7" s="9">
        <f t="shared" si="17"/>
        <v>0.108291424450444</v>
      </c>
      <c r="V7" s="32">
        <f t="shared" si="18"/>
        <v>2.0976477586685576</v>
      </c>
    </row>
    <row r="8" spans="1:22" x14ac:dyDescent="0.25">
      <c r="A8" s="23">
        <f t="shared" si="4"/>
        <v>37.5</v>
      </c>
      <c r="B8" s="13">
        <f t="shared" si="5"/>
        <v>35</v>
      </c>
      <c r="C8" s="8">
        <f>1-GEVCUM(KVD!$D$43,KVD!$E$43,KVD!$F$43,$A8)</f>
        <v>0.64767709554860176</v>
      </c>
      <c r="D8" s="3">
        <f t="shared" si="0"/>
        <v>1.0432071816937731</v>
      </c>
      <c r="E8" s="3">
        <f t="shared" si="1"/>
        <v>0.95858235789402735</v>
      </c>
      <c r="F8" s="32">
        <f t="shared" si="6"/>
        <v>0.69469034073424329</v>
      </c>
      <c r="G8" s="8">
        <f>1-GEVCUM(KVD!$D$44,KVD!$E$44,KVD!$F$44,$A8)</f>
        <v>0.89763491245650118</v>
      </c>
      <c r="H8" s="3">
        <f t="shared" si="2"/>
        <v>2.2792095664686722</v>
      </c>
      <c r="I8" s="3">
        <f t="shared" si="3"/>
        <v>0.43874859719431814</v>
      </c>
      <c r="J8" s="13">
        <f t="shared" si="7"/>
        <v>1.2772004111436446</v>
      </c>
      <c r="K8" s="8">
        <f>1-GEVCUM(KVD!$D$45,KVD!$E$45,KVD!$F$45,$A8)</f>
        <v>0.98999262803761956</v>
      </c>
      <c r="L8" s="3">
        <f t="shared" si="8"/>
        <v>4.6044332613457231</v>
      </c>
      <c r="M8" s="3">
        <f t="shared" si="9"/>
        <v>0.21718199466479685</v>
      </c>
      <c r="N8" s="13">
        <f t="shared" si="14"/>
        <v>1.910119221975207</v>
      </c>
      <c r="O8" s="8">
        <f>1-GEVCUM(KVD!$D$46,KVD!$E$46,KVD!$F$46,$A8)</f>
        <v>0.99926546263189109</v>
      </c>
      <c r="P8" s="3">
        <f t="shared" si="10"/>
        <v>7.2162696880707209</v>
      </c>
      <c r="Q8" s="3">
        <f t="shared" si="11"/>
        <v>0.13857575218580159</v>
      </c>
      <c r="R8" s="13">
        <f t="shared" si="15"/>
        <v>1.8441894636451401</v>
      </c>
      <c r="S8" s="8">
        <f>1-GEVCUM(KVD!$D$47,KVD!$E$47,KVD!$F$47,$A8)</f>
        <v>0.9994496128250544</v>
      </c>
      <c r="T8" s="3">
        <f t="shared" si="16"/>
        <v>7.5048885729509243</v>
      </c>
      <c r="U8" s="9">
        <f t="shared" si="17"/>
        <v>0.13324648198031802</v>
      </c>
      <c r="V8" s="32">
        <f t="shared" si="18"/>
        <v>1.7294529741733085</v>
      </c>
    </row>
    <row r="9" spans="1:22" x14ac:dyDescent="0.25">
      <c r="A9" s="23">
        <f t="shared" si="4"/>
        <v>42.5</v>
      </c>
      <c r="B9" s="13">
        <f t="shared" si="5"/>
        <v>40</v>
      </c>
      <c r="C9" s="8">
        <f>1-GEVCUM(KVD!$D$43,KVD!$E$43,KVD!$F$43,$A9)</f>
        <v>0.47154232493408665</v>
      </c>
      <c r="D9" s="3">
        <f t="shared" si="0"/>
        <v>0.63779256190074496</v>
      </c>
      <c r="E9" s="3">
        <f t="shared" si="1"/>
        <v>1.5679079056986913</v>
      </c>
      <c r="F9" s="32">
        <f t="shared" si="6"/>
        <v>0.40541461979302817</v>
      </c>
      <c r="G9" s="8">
        <f>1-GEVCUM(KVD!$D$44,KVD!$E$44,KVD!$F$44,$A9)</f>
        <v>0.77158036612068936</v>
      </c>
      <c r="H9" s="3">
        <f t="shared" si="2"/>
        <v>1.4765708422008581</v>
      </c>
      <c r="I9" s="3">
        <f t="shared" si="3"/>
        <v>0.67724485098830756</v>
      </c>
      <c r="J9" s="13">
        <f t="shared" si="7"/>
        <v>0.80263872426781413</v>
      </c>
      <c r="K9" s="8">
        <f>1-GEVCUM(KVD!$D$45,KVD!$E$45,KVD!$F$45,$A9)</f>
        <v>0.96172445589852662</v>
      </c>
      <c r="L9" s="3">
        <f t="shared" si="8"/>
        <v>3.2629441219555404</v>
      </c>
      <c r="M9" s="3">
        <f t="shared" si="9"/>
        <v>0.30647169017429643</v>
      </c>
      <c r="N9" s="13">
        <f t="shared" si="14"/>
        <v>1.3414891393901831</v>
      </c>
      <c r="O9" s="8">
        <f>1-GEVCUM(KVD!$D$46,KVD!$E$46,KVD!$F$46,$A9)</f>
        <v>0.99676468737908963</v>
      </c>
      <c r="P9" s="3">
        <f t="shared" si="10"/>
        <v>5.7336297186317591</v>
      </c>
      <c r="Q9" s="3">
        <f t="shared" si="11"/>
        <v>0.17440958852826555</v>
      </c>
      <c r="R9" s="13">
        <f t="shared" si="15"/>
        <v>1.4826399694389618</v>
      </c>
      <c r="S9" s="8">
        <f>1-GEVCUM(KVD!$D$47,KVD!$E$47,KVD!$F$47,$A9)</f>
        <v>0.99771779979965602</v>
      </c>
      <c r="T9" s="3">
        <f t="shared" si="16"/>
        <v>6.0826153011782393</v>
      </c>
      <c r="U9" s="9">
        <f t="shared" si="17"/>
        <v>0.16440296656707748</v>
      </c>
      <c r="V9" s="32">
        <f t="shared" si="18"/>
        <v>1.4222732717726849</v>
      </c>
    </row>
    <row r="10" spans="1:22" x14ac:dyDescent="0.25">
      <c r="A10" s="23">
        <f t="shared" si="4"/>
        <v>47.5</v>
      </c>
      <c r="B10" s="13">
        <f t="shared" si="5"/>
        <v>45</v>
      </c>
      <c r="C10" s="8">
        <f>1-GEVCUM(KVD!$D$43,KVD!$E$43,KVD!$F$43,$A10)</f>
        <v>0.32742512503246324</v>
      </c>
      <c r="D10" s="3">
        <f t="shared" si="0"/>
        <v>0.39664183546209453</v>
      </c>
      <c r="E10" s="3">
        <f t="shared" si="1"/>
        <v>2.521166227548798</v>
      </c>
      <c r="F10" s="32">
        <f t="shared" si="6"/>
        <v>0.24115072643865038</v>
      </c>
      <c r="G10" s="8">
        <f>1-GEVCUM(KVD!$D$44,KVD!$E$44,KVD!$F$44,$A10)</f>
        <v>0.61958535057332909</v>
      </c>
      <c r="H10" s="3">
        <f t="shared" si="2"/>
        <v>0.96649343846705549</v>
      </c>
      <c r="I10" s="3">
        <f t="shared" si="3"/>
        <v>1.0346681727980367</v>
      </c>
      <c r="J10" s="13">
        <f t="shared" si="7"/>
        <v>0.51007740373380261</v>
      </c>
      <c r="K10" s="8">
        <f>1-GEVCUM(KVD!$D$45,KVD!$E$45,KVD!$F$45,$A10)</f>
        <v>0.90155823052118211</v>
      </c>
      <c r="L10" s="3">
        <f t="shared" si="8"/>
        <v>2.3182900784195146</v>
      </c>
      <c r="M10" s="3">
        <f t="shared" si="9"/>
        <v>0.43135240464892388</v>
      </c>
      <c r="N10" s="13">
        <f t="shared" si="14"/>
        <v>0.94465404353602533</v>
      </c>
      <c r="O10" s="8">
        <f>1-GEVCUM(KVD!$D$46,KVD!$E$46,KVD!$F$46,$A10)</f>
        <v>0.98937367062375914</v>
      </c>
      <c r="P10" s="3">
        <f t="shared" si="10"/>
        <v>4.5444204542343849</v>
      </c>
      <c r="Q10" s="3">
        <f t="shared" si="11"/>
        <v>0.22005006140402861</v>
      </c>
      <c r="R10" s="13">
        <f t="shared" si="15"/>
        <v>1.1892092643973742</v>
      </c>
      <c r="S10" s="8">
        <f>1-GEVCUM(KVD!$D$47,KVD!$E$47,KVD!$F$47,$A10)</f>
        <v>0.99267164532572161</v>
      </c>
      <c r="T10" s="3">
        <f t="shared" si="16"/>
        <v>4.9160042529073094</v>
      </c>
      <c r="U10" s="9">
        <f t="shared" si="17"/>
        <v>0.20341723655112853</v>
      </c>
      <c r="V10" s="32">
        <f t="shared" si="18"/>
        <v>1.16661104827093</v>
      </c>
    </row>
    <row r="11" spans="1:22" x14ac:dyDescent="0.25">
      <c r="A11" s="23">
        <f t="shared" si="4"/>
        <v>52.5</v>
      </c>
      <c r="B11" s="13">
        <f t="shared" si="5"/>
        <v>50</v>
      </c>
      <c r="C11" s="8">
        <f>1-GEVCUM(KVD!$D$43,KVD!$E$43,KVD!$F$43,$A11)</f>
        <v>0.22168879575216127</v>
      </c>
      <c r="D11" s="3">
        <f t="shared" si="0"/>
        <v>0.25062882932465469</v>
      </c>
      <c r="E11" s="3">
        <f t="shared" si="1"/>
        <v>3.9899639745938384</v>
      </c>
      <c r="F11" s="32">
        <f t="shared" si="6"/>
        <v>0.14601300613743989</v>
      </c>
      <c r="G11" s="8">
        <f>1-GEVCUM(KVD!$D$44,KVD!$E$44,KVD!$F$44,$A11)</f>
        <v>0.472109956933216</v>
      </c>
      <c r="H11" s="3">
        <f t="shared" si="2"/>
        <v>0.63886726873074051</v>
      </c>
      <c r="I11" s="3">
        <f t="shared" si="3"/>
        <v>1.5652703604408069</v>
      </c>
      <c r="J11" s="13">
        <f t="shared" si="7"/>
        <v>0.32762616973631498</v>
      </c>
      <c r="K11" s="8">
        <f>1-GEVCUM(KVD!$D$45,KVD!$E$45,KVD!$F$45,$A11)</f>
        <v>0.80820530670619717</v>
      </c>
      <c r="L11" s="3">
        <f t="shared" si="8"/>
        <v>1.6513297848310853</v>
      </c>
      <c r="M11" s="3">
        <f t="shared" si="9"/>
        <v>0.60557255684835243</v>
      </c>
      <c r="N11" s="13">
        <f t="shared" si="14"/>
        <v>0.66696029358842934</v>
      </c>
      <c r="O11" s="8">
        <f>1-GEVCUM(KVD!$D$46,KVD!$E$46,KVD!$F$46,$A11)</f>
        <v>0.97247956907459765</v>
      </c>
      <c r="P11" s="3">
        <f t="shared" si="10"/>
        <v>3.5928266074130502</v>
      </c>
      <c r="Q11" s="3">
        <f t="shared" si="11"/>
        <v>0.27833238540838795</v>
      </c>
      <c r="R11" s="13">
        <f t="shared" si="15"/>
        <v>0.95159384682133474</v>
      </c>
      <c r="S11" s="8">
        <f>1-GEVCUM(KVD!$D$47,KVD!$E$47,KVD!$F$47,$A11)</f>
        <v>0.9809684094725829</v>
      </c>
      <c r="T11" s="3">
        <f t="shared" si="16"/>
        <v>3.9616550211657944</v>
      </c>
      <c r="U11" s="9">
        <f t="shared" si="17"/>
        <v>0.25241975756529411</v>
      </c>
      <c r="V11" s="32">
        <f t="shared" si="18"/>
        <v>0.95434923174151454</v>
      </c>
    </row>
    <row r="12" spans="1:22" x14ac:dyDescent="0.25">
      <c r="A12" s="23">
        <f t="shared" si="4"/>
        <v>57.5</v>
      </c>
      <c r="B12" s="13">
        <f t="shared" si="5"/>
        <v>55</v>
      </c>
      <c r="C12" s="8">
        <f>1-GEVCUM(KVD!$D$43,KVD!$E$43,KVD!$F$43,$A12)</f>
        <v>0.14848801079394069</v>
      </c>
      <c r="D12" s="3">
        <f t="shared" si="0"/>
        <v>0.16074169887744988</v>
      </c>
      <c r="E12" s="3">
        <f t="shared" si="1"/>
        <v>6.2211610738443426</v>
      </c>
      <c r="F12" s="32">
        <f t="shared" si="6"/>
        <v>8.988713044720481E-2</v>
      </c>
      <c r="G12" s="8">
        <f>1-GEVCUM(KVD!$D$44,KVD!$E$44,KVD!$F$44,$A12)</f>
        <v>0.34706723259170802</v>
      </c>
      <c r="H12" s="3">
        <f t="shared" si="2"/>
        <v>0.42628111456491669</v>
      </c>
      <c r="I12" s="3">
        <f t="shared" si="3"/>
        <v>2.3458698164957386</v>
      </c>
      <c r="J12" s="13">
        <f t="shared" si="7"/>
        <v>0.21258615416582383</v>
      </c>
      <c r="K12" s="8">
        <f>1-GEVCUM(KVD!$D$45,KVD!$E$45,KVD!$F$45,$A12)</f>
        <v>0.69247856646533767</v>
      </c>
      <c r="L12" s="3">
        <f t="shared" si="8"/>
        <v>1.1792104916129271</v>
      </c>
      <c r="M12" s="3">
        <f t="shared" si="9"/>
        <v>0.84802501937732711</v>
      </c>
      <c r="N12" s="13">
        <f t="shared" si="14"/>
        <v>0.47211929321815815</v>
      </c>
      <c r="O12" s="8">
        <f>1-GEVCUM(KVD!$D$46,KVD!$E$46,KVD!$F$46,$A12)</f>
        <v>0.94117638503653156</v>
      </c>
      <c r="P12" s="3">
        <f t="shared" si="10"/>
        <v>2.8332118896783101</v>
      </c>
      <c r="Q12" s="3">
        <f t="shared" si="11"/>
        <v>0.35295630504838188</v>
      </c>
      <c r="R12" s="13">
        <f t="shared" si="15"/>
        <v>0.7596147177347401</v>
      </c>
      <c r="S12" s="8">
        <f>1-GEVCUM(KVD!$D$47,KVD!$E$47,KVD!$F$47,$A12)</f>
        <v>0.95854263894283265</v>
      </c>
      <c r="T12" s="3">
        <f t="shared" si="16"/>
        <v>3.1830898243339103</v>
      </c>
      <c r="U12" s="9">
        <f t="shared" si="17"/>
        <v>0.31416015732740399</v>
      </c>
      <c r="V12" s="32">
        <f t="shared" si="18"/>
        <v>0.77856519683188452</v>
      </c>
    </row>
    <row r="13" spans="1:22" x14ac:dyDescent="0.25">
      <c r="A13" s="23">
        <f t="shared" si="4"/>
        <v>62.5</v>
      </c>
      <c r="B13" s="13">
        <f t="shared" si="5"/>
        <v>60</v>
      </c>
      <c r="C13" s="8">
        <f>1-GEVCUM(KVD!$D$43,KVD!$E$43,KVD!$F$43,$A13)</f>
        <v>9.9261764941534936E-2</v>
      </c>
      <c r="D13" s="3">
        <f t="shared" si="0"/>
        <v>0.10454059071210059</v>
      </c>
      <c r="E13" s="3">
        <f t="shared" si="1"/>
        <v>9.565662420580237</v>
      </c>
      <c r="F13" s="32">
        <f t="shared" si="6"/>
        <v>5.6201108165349289E-2</v>
      </c>
      <c r="G13" s="8">
        <f>1-GEVCUM(KVD!$D$44,KVD!$E$44,KVD!$F$44,$A13)</f>
        <v>0.24948472506744757</v>
      </c>
      <c r="H13" s="3">
        <f t="shared" si="2"/>
        <v>0.28699527510767553</v>
      </c>
      <c r="I13" s="3">
        <f t="shared" si="3"/>
        <v>3.4843779209424888</v>
      </c>
      <c r="J13" s="13">
        <f t="shared" si="7"/>
        <v>0.13928583945724116</v>
      </c>
      <c r="K13" s="8">
        <f>1-GEVCUM(KVD!$D$45,KVD!$E$45,KVD!$F$45,$A13)</f>
        <v>0.57008125646786767</v>
      </c>
      <c r="L13" s="3">
        <f t="shared" si="8"/>
        <v>0.84415905668125601</v>
      </c>
      <c r="M13" s="3">
        <f t="shared" si="9"/>
        <v>1.1846108764519097</v>
      </c>
      <c r="N13" s="13">
        <f t="shared" si="14"/>
        <v>0.33505143493167111</v>
      </c>
      <c r="O13" s="8">
        <f>1-GEVCUM(KVD!$D$46,KVD!$E$46,KVD!$F$46,$A13)</f>
        <v>0.89229337065137071</v>
      </c>
      <c r="P13" s="3">
        <f t="shared" si="10"/>
        <v>2.2283441428735848</v>
      </c>
      <c r="Q13" s="3">
        <f t="shared" si="11"/>
        <v>0.44876371686037658</v>
      </c>
      <c r="R13" s="13">
        <f t="shared" si="15"/>
        <v>0.60486774680472521</v>
      </c>
      <c r="S13" s="8">
        <f>1-GEVCUM(KVD!$D$47,KVD!$E$47,KVD!$F$47,$A13)</f>
        <v>0.92189663032422353</v>
      </c>
      <c r="T13" s="3">
        <f t="shared" si="16"/>
        <v>2.5497220774106948</v>
      </c>
      <c r="U13" s="9">
        <f t="shared" si="17"/>
        <v>0.39219960828653311</v>
      </c>
      <c r="V13" s="32">
        <f t="shared" si="18"/>
        <v>0.63336774692321551</v>
      </c>
    </row>
    <row r="14" spans="1:22" x14ac:dyDescent="0.25">
      <c r="A14" s="23">
        <f t="shared" si="4"/>
        <v>67.5</v>
      </c>
      <c r="B14" s="13">
        <f t="shared" si="5"/>
        <v>65</v>
      </c>
      <c r="C14" s="8">
        <f>1-GEVCUM(KVD!$D$43,KVD!$E$43,KVD!$F$43,$A14)</f>
        <v>6.6566944476456058E-2</v>
      </c>
      <c r="D14" s="3">
        <f t="shared" si="0"/>
        <v>6.8886031990696608E-2</v>
      </c>
      <c r="E14" s="3">
        <f t="shared" si="1"/>
        <v>14.516731057103925</v>
      </c>
      <c r="F14" s="32">
        <f t="shared" si="6"/>
        <v>3.5654558721403981E-2</v>
      </c>
      <c r="G14" s="8">
        <f>1-GEVCUM(KVD!$D$44,KVD!$E$44,KVD!$F$44,$A14)</f>
        <v>0.17707048972040706</v>
      </c>
      <c r="H14" s="3">
        <f t="shared" si="2"/>
        <v>0.19488473169424328</v>
      </c>
      <c r="I14" s="3">
        <f t="shared" si="3"/>
        <v>5.1312383033110596</v>
      </c>
      <c r="J14" s="13">
        <f t="shared" si="7"/>
        <v>9.211054341343225E-2</v>
      </c>
      <c r="K14" s="8">
        <f>1-GEVCUM(KVD!$D$45,KVD!$E$45,KVD!$F$45,$A14)</f>
        <v>0.45435289118829369</v>
      </c>
      <c r="L14" s="3">
        <f t="shared" si="8"/>
        <v>0.60578283305027791</v>
      </c>
      <c r="M14" s="3">
        <f t="shared" si="9"/>
        <v>1.6507565837822338</v>
      </c>
      <c r="N14" s="13">
        <f t="shared" si="14"/>
        <v>0.2383762236309781</v>
      </c>
      <c r="O14" s="8">
        <f>1-GEVCUM(KVD!$D$46,KVD!$E$46,KVD!$F$46,$A14)</f>
        <v>0.82586343907023074</v>
      </c>
      <c r="P14" s="3">
        <f t="shared" si="10"/>
        <v>1.7479154546582156</v>
      </c>
      <c r="Q14" s="3">
        <f t="shared" si="11"/>
        <v>0.57211005105251977</v>
      </c>
      <c r="R14" s="13">
        <f t="shared" si="15"/>
        <v>0.48042868821536922</v>
      </c>
      <c r="S14" s="8">
        <f>1-GEVCUM(KVD!$D$47,KVD!$E$47,KVD!$F$47,$A14)</f>
        <v>0.86944589197349553</v>
      </c>
      <c r="T14" s="3">
        <f t="shared" si="16"/>
        <v>2.0359675172581251</v>
      </c>
      <c r="U14" s="9">
        <f t="shared" si="17"/>
        <v>0.49116697173377227</v>
      </c>
      <c r="V14" s="32">
        <f t="shared" si="18"/>
        <v>0.51375456015256971</v>
      </c>
    </row>
    <row r="15" spans="1:22" x14ac:dyDescent="0.25">
      <c r="A15" s="23">
        <f t="shared" si="4"/>
        <v>72.5</v>
      </c>
      <c r="B15" s="13">
        <f t="shared" si="5"/>
        <v>70</v>
      </c>
      <c r="C15" s="8">
        <f>1-GEVCUM(KVD!$D$43,KVD!$E$43,KVD!$F$43,$A15)</f>
        <v>4.4914870066038892E-2</v>
      </c>
      <c r="D15" s="3">
        <f t="shared" si="0"/>
        <v>4.595480118214982E-2</v>
      </c>
      <c r="E15" s="3">
        <f t="shared" si="1"/>
        <v>21.760511943819029</v>
      </c>
      <c r="F15" s="32">
        <f t="shared" si="6"/>
        <v>2.2931230808546789E-2</v>
      </c>
      <c r="G15" s="8">
        <f>1-GEVCUM(KVD!$D$44,KVD!$E$44,KVD!$F$44,$A15)</f>
        <v>0.12490960218737901</v>
      </c>
      <c r="H15" s="3">
        <f t="shared" si="2"/>
        <v>0.13342808617496507</v>
      </c>
      <c r="I15" s="3">
        <f t="shared" si="3"/>
        <v>7.4946739376048148</v>
      </c>
      <c r="J15" s="13">
        <f t="shared" si="7"/>
        <v>6.1456645519278208E-2</v>
      </c>
      <c r="K15" s="8">
        <f>1-GEVCUM(KVD!$D$45,KVD!$E$45,KVD!$F$45,$A15)</f>
        <v>0.35323137971107688</v>
      </c>
      <c r="L15" s="3">
        <f t="shared" si="8"/>
        <v>0.43576666777933976</v>
      </c>
      <c r="M15" s="3">
        <f t="shared" si="9"/>
        <v>2.2948060830260024</v>
      </c>
      <c r="N15" s="13">
        <f t="shared" si="14"/>
        <v>0.17001616527093816</v>
      </c>
      <c r="O15" s="8">
        <f>1-GEVCUM(KVD!$D$46,KVD!$E$46,KVD!$F$46,$A15)</f>
        <v>0.74520874816453975</v>
      </c>
      <c r="P15" s="3">
        <f t="shared" si="10"/>
        <v>1.3673106893293427</v>
      </c>
      <c r="Q15" s="3">
        <f t="shared" si="11"/>
        <v>0.73136267258357623</v>
      </c>
      <c r="R15" s="13">
        <f t="shared" si="15"/>
        <v>0.38060476532887288</v>
      </c>
      <c r="S15" s="8">
        <f>1-GEVCUM(KVD!$D$47,KVD!$E$47,KVD!$F$47,$A15)</f>
        <v>0.80219622141255098</v>
      </c>
      <c r="T15" s="3">
        <f t="shared" si="16"/>
        <v>1.6204797569049603</v>
      </c>
      <c r="U15" s="9">
        <f t="shared" si="17"/>
        <v>0.61710119841913524</v>
      </c>
      <c r="V15" s="32">
        <f t="shared" si="18"/>
        <v>0.41548776035316459</v>
      </c>
    </row>
    <row r="16" spans="1:22" x14ac:dyDescent="0.25">
      <c r="A16" s="23">
        <f t="shared" si="4"/>
        <v>77.5</v>
      </c>
      <c r="B16" s="13">
        <f t="shared" si="5"/>
        <v>75</v>
      </c>
      <c r="C16" s="8">
        <f>1-GEVCUM(KVD!$D$43,KVD!$E$43,KVD!$F$43,$A16)</f>
        <v>3.0539313518748501E-2</v>
      </c>
      <c r="D16" s="3">
        <f t="shared" si="0"/>
        <v>3.1015355424606005E-2</v>
      </c>
      <c r="E16" s="3">
        <f t="shared" si="1"/>
        <v>32.24209383738517</v>
      </c>
      <c r="F16" s="32">
        <f t="shared" si="6"/>
        <v>1.4939445757543815E-2</v>
      </c>
      <c r="G16" s="8">
        <f>1-GEVCUM(KVD!$D$44,KVD!$E$44,KVD!$F$44,$A16)</f>
        <v>8.7961931684467087E-2</v>
      </c>
      <c r="H16" s="3">
        <f t="shared" si="2"/>
        <v>9.2073548204911676E-2</v>
      </c>
      <c r="I16" s="3">
        <f t="shared" si="3"/>
        <v>10.860882625859908</v>
      </c>
      <c r="J16" s="13">
        <f t="shared" si="7"/>
        <v>4.1354537970053395E-2</v>
      </c>
      <c r="K16" s="8">
        <f>1-GEVCUM(KVD!$D$45,KVD!$E$45,KVD!$F$45,$A16)</f>
        <v>0.26963457073987762</v>
      </c>
      <c r="L16" s="3">
        <f t="shared" si="8"/>
        <v>0.31421028206452384</v>
      </c>
      <c r="M16" s="3">
        <f t="shared" si="9"/>
        <v>3.1825820384663528</v>
      </c>
      <c r="N16" s="13">
        <f t="shared" si="14"/>
        <v>0.12155638571481592</v>
      </c>
      <c r="O16" s="8">
        <f>1-GEVCUM(KVD!$D$46,KVD!$E$46,KVD!$F$46,$A16)</f>
        <v>0.65581804447039715</v>
      </c>
      <c r="P16" s="3">
        <f t="shared" si="10"/>
        <v>1.0665848209554207</v>
      </c>
      <c r="Q16" s="3">
        <f t="shared" si="11"/>
        <v>0.93757194022714885</v>
      </c>
      <c r="R16" s="13">
        <f t="shared" si="15"/>
        <v>0.30072586837392201</v>
      </c>
      <c r="S16" s="8">
        <f>1-GEVCUM(KVD!$D$47,KVD!$E$47,KVD!$F$47,$A16)</f>
        <v>0.72348611508204463</v>
      </c>
      <c r="T16" s="3">
        <f t="shared" si="16"/>
        <v>1.2854942425790978</v>
      </c>
      <c r="U16" s="9">
        <f t="shared" si="17"/>
        <v>0.77791091307705251</v>
      </c>
      <c r="V16" s="32">
        <f t="shared" si="18"/>
        <v>0.33498551432586265</v>
      </c>
    </row>
    <row r="17" spans="1:22" x14ac:dyDescent="0.25">
      <c r="A17" s="23">
        <f t="shared" si="4"/>
        <v>82.5</v>
      </c>
      <c r="B17" s="13">
        <f t="shared" si="5"/>
        <v>80</v>
      </c>
      <c r="C17" s="8">
        <f>1-GEVCUM(KVD!$D$43,KVD!$E$43,KVD!$F$43,$A17)</f>
        <v>2.0941108707812961E-2</v>
      </c>
      <c r="D17" s="3">
        <f t="shared" si="0"/>
        <v>2.1163483723364313E-2</v>
      </c>
      <c r="E17" s="3">
        <f t="shared" si="1"/>
        <v>47.251199900326817</v>
      </c>
      <c r="F17" s="32">
        <f t="shared" si="6"/>
        <v>9.8518717012416913E-3</v>
      </c>
      <c r="G17" s="8">
        <f>1-GEVCUM(KVD!$D$44,KVD!$E$44,KVD!$F$44,$A17)</f>
        <v>6.2011806999217711E-2</v>
      </c>
      <c r="H17" s="3">
        <f t="shared" si="2"/>
        <v>6.4017917474343253E-2</v>
      </c>
      <c r="I17" s="3">
        <f t="shared" si="3"/>
        <v>15.620626840927377</v>
      </c>
      <c r="J17" s="13">
        <f t="shared" si="7"/>
        <v>2.8055630730568423E-2</v>
      </c>
      <c r="K17" s="8">
        <f>1-GEVCUM(KVD!$D$45,KVD!$E$45,KVD!$F$45,$A17)</f>
        <v>0.20315235410708854</v>
      </c>
      <c r="L17" s="3">
        <f t="shared" si="8"/>
        <v>0.22709177794714241</v>
      </c>
      <c r="M17" s="3">
        <f t="shared" si="9"/>
        <v>4.4035059703163659</v>
      </c>
      <c r="N17" s="13">
        <f t="shared" si="14"/>
        <v>8.7118504117381451E-2</v>
      </c>
      <c r="O17" s="8">
        <f>1-GEVCUM(KVD!$D$46,KVD!$E$46,KVD!$F$46,$A17)</f>
        <v>0.56378299125833264</v>
      </c>
      <c r="P17" s="3">
        <f t="shared" si="10"/>
        <v>0.82961543298612339</v>
      </c>
      <c r="Q17" s="3">
        <f t="shared" si="11"/>
        <v>1.2053777693124552</v>
      </c>
      <c r="R17" s="13">
        <f t="shared" si="15"/>
        <v>0.23696938796929745</v>
      </c>
      <c r="S17" s="8">
        <f>1-GEVCUM(KVD!$D$47,KVD!$E$47,KVD!$F$47,$A17)</f>
        <v>0.63805625045265413</v>
      </c>
      <c r="T17" s="3">
        <f t="shared" si="16"/>
        <v>1.0162664672210879</v>
      </c>
      <c r="U17" s="9">
        <f t="shared" si="17"/>
        <v>0.9839938955522487</v>
      </c>
      <c r="V17" s="32">
        <f t="shared" si="18"/>
        <v>0.2692277753580099</v>
      </c>
    </row>
    <row r="18" spans="1:22" x14ac:dyDescent="0.25">
      <c r="A18" s="23">
        <f t="shared" si="4"/>
        <v>87.5</v>
      </c>
      <c r="B18" s="13">
        <f t="shared" si="5"/>
        <v>85</v>
      </c>
      <c r="C18" s="8">
        <f>1-GEVCUM(KVD!$D$43,KVD!$E$43,KVD!$F$43,$A18)</f>
        <v>1.4485674351384814E-2</v>
      </c>
      <c r="D18" s="3">
        <f t="shared" si="0"/>
        <v>1.4591616068211145E-2</v>
      </c>
      <c r="E18" s="3">
        <f t="shared" si="1"/>
        <v>68.53250492099842</v>
      </c>
      <c r="F18" s="32">
        <f t="shared" si="6"/>
        <v>6.5718676551531664E-3</v>
      </c>
      <c r="G18" s="8">
        <f>1-GEVCUM(KVD!$D$44,KVD!$E$44,KVD!$F$44,$A18)</f>
        <v>4.3844692033695787E-2</v>
      </c>
      <c r="H18" s="3">
        <f t="shared" si="2"/>
        <v>4.4834923093588913E-2</v>
      </c>
      <c r="I18" s="3">
        <f t="shared" si="3"/>
        <v>22.304041827228943</v>
      </c>
      <c r="J18" s="13">
        <f t="shared" si="7"/>
        <v>1.918299438075434E-2</v>
      </c>
      <c r="K18" s="8">
        <f>1-GEVCUM(KVD!$D$45,KVD!$E$45,KVD!$F$45,$A18)</f>
        <v>0.15168763027005305</v>
      </c>
      <c r="L18" s="3">
        <f t="shared" si="8"/>
        <v>0.16450635048772014</v>
      </c>
      <c r="M18" s="3">
        <f t="shared" si="9"/>
        <v>6.0787926851167171</v>
      </c>
      <c r="N18" s="13">
        <f t="shared" si="14"/>
        <v>6.2585427459422249E-2</v>
      </c>
      <c r="O18" s="8">
        <f>1-GEVCUM(KVD!$D$46,KVD!$E$46,KVD!$F$46,$A18)</f>
        <v>0.47449831180635749</v>
      </c>
      <c r="P18" s="3">
        <f t="shared" si="10"/>
        <v>0.64340187612292221</v>
      </c>
      <c r="Q18" s="3">
        <f t="shared" si="11"/>
        <v>1.5542385515347015</v>
      </c>
      <c r="R18" s="13">
        <f t="shared" si="15"/>
        <v>0.18621355686320107</v>
      </c>
      <c r="S18" s="8">
        <f>1-GEVCUM(KVD!$D$47,KVD!$E$47,KVD!$F$47,$A18)</f>
        <v>0.5509369491052496</v>
      </c>
      <c r="T18" s="3">
        <f t="shared" si="16"/>
        <v>0.80059197594322584</v>
      </c>
      <c r="U18" s="9">
        <f t="shared" si="17"/>
        <v>1.2490757215269856</v>
      </c>
      <c r="V18" s="32">
        <f t="shared" si="18"/>
        <v>0.21567449127786209</v>
      </c>
    </row>
    <row r="19" spans="1:22" x14ac:dyDescent="0.25">
      <c r="A19" s="23">
        <f t="shared" si="4"/>
        <v>92.5</v>
      </c>
      <c r="B19" s="13">
        <f t="shared" si="5"/>
        <v>90</v>
      </c>
      <c r="C19" s="8">
        <f>1-GEVCUM(KVD!$D$43,KVD!$E$43,KVD!$F$43,$A19)</f>
        <v>1.0108413050215703E-2</v>
      </c>
      <c r="D19" s="3">
        <f t="shared" si="0"/>
        <v>1.0159849981485667E-2</v>
      </c>
      <c r="E19" s="3">
        <f t="shared" si="1"/>
        <v>98.426650179117189</v>
      </c>
      <c r="F19" s="32">
        <f t="shared" si="6"/>
        <v>4.4317660867254794E-3</v>
      </c>
      <c r="G19" s="8">
        <f>1-GEVCUM(KVD!$D$44,KVD!$E$44,KVD!$F$44,$A19)</f>
        <v>3.1124929958064596E-2</v>
      </c>
      <c r="H19" s="3">
        <f t="shared" si="2"/>
        <v>3.1619602088439502E-2</v>
      </c>
      <c r="I19" s="3">
        <f t="shared" si="3"/>
        <v>31.625951433639695</v>
      </c>
      <c r="J19" s="13">
        <f t="shared" si="7"/>
        <v>1.3215321005149411E-2</v>
      </c>
      <c r="K19" s="8">
        <f>1-GEVCUM(KVD!$D$45,KVD!$E$45,KVD!$F$45,$A19)</f>
        <v>0.11258281717391905</v>
      </c>
      <c r="L19" s="3">
        <f t="shared" si="8"/>
        <v>0.11944007711223598</v>
      </c>
      <c r="M19" s="3">
        <f t="shared" si="9"/>
        <v>8.3723991492429768</v>
      </c>
      <c r="N19" s="13">
        <f t="shared" si="14"/>
        <v>4.5066273375484162E-2</v>
      </c>
      <c r="O19" s="8">
        <f>1-GEVCUM(KVD!$D$46,KVD!$E$46,KVD!$F$46,$A19)</f>
        <v>0.39194319216467022</v>
      </c>
      <c r="P19" s="3">
        <f t="shared" si="10"/>
        <v>0.4974869674409616</v>
      </c>
      <c r="Q19" s="3">
        <f t="shared" si="11"/>
        <v>2.0101029081101975</v>
      </c>
      <c r="R19" s="13">
        <f t="shared" si="15"/>
        <v>0.14591490868196066</v>
      </c>
      <c r="S19" s="8">
        <f>1-GEVCUM(KVD!$D$47,KVD!$E$47,KVD!$F$47,$A19)</f>
        <v>0.4665538767907399</v>
      </c>
      <c r="T19" s="3">
        <f t="shared" si="16"/>
        <v>0.62839720076396954</v>
      </c>
      <c r="U19" s="9">
        <f t="shared" si="17"/>
        <v>1.5913501823118514</v>
      </c>
      <c r="V19" s="32">
        <f t="shared" si="18"/>
        <v>0.1721947751792563</v>
      </c>
    </row>
    <row r="20" spans="1:22" x14ac:dyDescent="0.25">
      <c r="A20" s="23">
        <f t="shared" si="4"/>
        <v>97.5</v>
      </c>
      <c r="B20" s="13">
        <f t="shared" si="5"/>
        <v>95</v>
      </c>
      <c r="C20" s="8">
        <f>1-GEVCUM(KVD!$D$43,KVD!$E$43,KVD!$F$43,$A20)</f>
        <v>7.1149115316748723E-3</v>
      </c>
      <c r="D20" s="3">
        <f t="shared" si="0"/>
        <v>7.1403432159775748E-3</v>
      </c>
      <c r="E20" s="3">
        <f t="shared" si="1"/>
        <v>140.04929031455407</v>
      </c>
      <c r="F20" s="32">
        <f t="shared" si="6"/>
        <v>3.0195067655080926E-3</v>
      </c>
      <c r="G20" s="8">
        <f>1-GEVCUM(KVD!$D$44,KVD!$E$44,KVD!$F$44,$A20)</f>
        <v>2.219932090686294E-2</v>
      </c>
      <c r="H20" s="3">
        <f t="shared" si="2"/>
        <v>2.2449434326545399E-2</v>
      </c>
      <c r="I20" s="3">
        <f t="shared" si="3"/>
        <v>44.544552234777115</v>
      </c>
      <c r="J20" s="13">
        <f t="shared" si="7"/>
        <v>9.1701677618941033E-3</v>
      </c>
      <c r="K20" s="8">
        <f>1-GEVCUM(KVD!$D$45,KVD!$E$45,KVD!$F$45,$A20)</f>
        <v>8.3244085257304645E-2</v>
      </c>
      <c r="L20" s="3">
        <f t="shared" si="8"/>
        <v>8.6914020191470806E-2</v>
      </c>
      <c r="M20" s="3">
        <f t="shared" si="9"/>
        <v>11.50562357830197</v>
      </c>
      <c r="N20" s="13">
        <f t="shared" si="14"/>
        <v>3.252605692076517E-2</v>
      </c>
      <c r="O20" s="8">
        <f>1-GEVCUM(KVD!$D$46,KVD!$E$46,KVD!$F$46,$A20)</f>
        <v>0.31851488367533864</v>
      </c>
      <c r="P20" s="3">
        <f t="shared" si="10"/>
        <v>0.38348086766633865</v>
      </c>
      <c r="Q20" s="3">
        <f t="shared" si="11"/>
        <v>2.607692024077942</v>
      </c>
      <c r="R20" s="13">
        <f t="shared" si="15"/>
        <v>0.11400609977462289</v>
      </c>
      <c r="S20" s="8">
        <f>1-GEVCUM(KVD!$D$47,KVD!$E$47,KVD!$F$47,$A20)</f>
        <v>0.38822548321933592</v>
      </c>
      <c r="T20" s="3">
        <f t="shared" si="16"/>
        <v>0.49139150099216483</v>
      </c>
      <c r="U20" s="9">
        <f t="shared" si="17"/>
        <v>2.0350372319848993</v>
      </c>
      <c r="V20" s="32">
        <f t="shared" si="18"/>
        <v>0.13700569977180471</v>
      </c>
    </row>
    <row r="21" spans="1:22" x14ac:dyDescent="0.25">
      <c r="A21" s="23">
        <f t="shared" si="4"/>
        <v>102.5</v>
      </c>
      <c r="B21" s="13">
        <f t="shared" si="5"/>
        <v>100</v>
      </c>
      <c r="C21" s="8">
        <f>1-GEVCUM(KVD!$D$43,KVD!$E$43,KVD!$F$43,$A21)</f>
        <v>5.0500610295798332E-3</v>
      </c>
      <c r="D21" s="3">
        <f t="shared" si="0"/>
        <v>5.0628556818077671E-3</v>
      </c>
      <c r="E21" s="3">
        <f t="shared" si="1"/>
        <v>197.51698702241799</v>
      </c>
      <c r="F21" s="32">
        <f t="shared" si="6"/>
        <v>2.0774875341698076E-3</v>
      </c>
      <c r="G21" s="8">
        <f>1-GEVCUM(KVD!$D$44,KVD!$E$44,KVD!$F$44,$A21)</f>
        <v>1.5913846023467015E-2</v>
      </c>
      <c r="H21" s="3">
        <f t="shared" si="2"/>
        <v>1.6041830908385974E-2</v>
      </c>
      <c r="I21" s="3">
        <f t="shared" si="3"/>
        <v>62.337024103479571</v>
      </c>
      <c r="J21" s="13">
        <f t="shared" si="7"/>
        <v>6.4076034181594251E-3</v>
      </c>
      <c r="K21" s="8">
        <f>1-GEVCUM(KVD!$D$45,KVD!$E$45,KVD!$F$45,$A21)</f>
        <v>6.1418218083421072E-2</v>
      </c>
      <c r="L21" s="3">
        <f t="shared" si="8"/>
        <v>6.3385285658287355E-2</v>
      </c>
      <c r="M21" s="3">
        <f t="shared" si="9"/>
        <v>15.776532196936692</v>
      </c>
      <c r="N21" s="13">
        <f t="shared" si="14"/>
        <v>2.3528734533183451E-2</v>
      </c>
      <c r="O21" s="8">
        <f>1-GEVCUM(KVD!$D$46,KVD!$E$46,KVD!$F$46,$A21)</f>
        <v>0.25522265930651145</v>
      </c>
      <c r="P21" s="3">
        <f t="shared" si="10"/>
        <v>0.29466997682594509</v>
      </c>
      <c r="Q21" s="3">
        <f t="shared" si="11"/>
        <v>3.393627035816674</v>
      </c>
      <c r="R21" s="13">
        <f t="shared" si="15"/>
        <v>8.8810890840393564E-2</v>
      </c>
      <c r="S21" s="8">
        <f>1-GEVCUM(KVD!$D$47,KVD!$E$47,KVD!$F$47,$A21)</f>
        <v>0.31803161429815796</v>
      </c>
      <c r="T21" s="3">
        <f t="shared" si="16"/>
        <v>0.38277197748900538</v>
      </c>
      <c r="U21" s="9">
        <f t="shared" si="17"/>
        <v>2.6125214456920993</v>
      </c>
      <c r="V21" s="32">
        <f t="shared" si="18"/>
        <v>0.10861952350315945</v>
      </c>
    </row>
    <row r="22" spans="1:22" x14ac:dyDescent="0.25">
      <c r="A22" s="23">
        <f t="shared" si="4"/>
        <v>107.5</v>
      </c>
      <c r="B22" s="13">
        <f t="shared" si="5"/>
        <v>105</v>
      </c>
      <c r="C22" s="8">
        <f>1-GEVCUM(KVD!$D$43,KVD!$E$43,KVD!$F$43,$A22)</f>
        <v>3.613620251753602E-3</v>
      </c>
      <c r="D22" s="3">
        <f t="shared" si="0"/>
        <v>3.6201651493557811E-3</v>
      </c>
      <c r="E22" s="3">
        <f t="shared" si="1"/>
        <v>276.23049190945142</v>
      </c>
      <c r="F22" s="32">
        <f t="shared" si="6"/>
        <v>5.0628556818077671E-3</v>
      </c>
      <c r="G22" s="8">
        <f>1-GEVCUM(KVD!$D$44,KVD!$E$44,KVD!$F$44,$A22)</f>
        <v>1.1468227196874348E-2</v>
      </c>
      <c r="H22" s="3">
        <f t="shared" si="2"/>
        <v>1.1534494446823199E-2</v>
      </c>
      <c r="I22" s="3">
        <f t="shared" si="3"/>
        <v>86.696474181009066</v>
      </c>
      <c r="J22" s="13">
        <f t="shared" si="7"/>
        <v>4.5073364615627748E-3</v>
      </c>
      <c r="K22" s="8">
        <f>1-GEVCUM(KVD!$D$45,KVD!$E$45,KVD!$F$45,$A22)</f>
        <v>4.5270133793918199E-2</v>
      </c>
      <c r="L22" s="3">
        <f t="shared" si="8"/>
        <v>4.632684112601361E-2</v>
      </c>
      <c r="M22" s="3">
        <f t="shared" si="9"/>
        <v>21.585758400403357</v>
      </c>
      <c r="N22" s="13">
        <f t="shared" si="14"/>
        <v>1.7058444532273745E-2</v>
      </c>
      <c r="O22" s="8">
        <f>1-GEVCUM(KVD!$D$46,KVD!$E$46,KVD!$F$46,$A22)</f>
        <v>0.20203968784019477</v>
      </c>
      <c r="P22" s="3">
        <f t="shared" si="10"/>
        <v>0.22569641690469383</v>
      </c>
      <c r="Q22" s="3">
        <f t="shared" si="11"/>
        <v>4.4307305083282555</v>
      </c>
      <c r="R22" s="13">
        <f t="shared" si="15"/>
        <v>6.897355992125126E-2</v>
      </c>
      <c r="S22" s="8">
        <f>1-GEVCUM(KVD!$D$47,KVD!$E$47,KVD!$F$47,$A22)</f>
        <v>0.25693643642624853</v>
      </c>
      <c r="T22" s="3">
        <f t="shared" si="16"/>
        <v>0.29697368802618418</v>
      </c>
      <c r="U22" s="9">
        <f t="shared" si="17"/>
        <v>3.3673016846927863</v>
      </c>
      <c r="V22" s="32">
        <f t="shared" si="18"/>
        <v>8.5798289462821198E-2</v>
      </c>
    </row>
    <row r="23" spans="1:22" x14ac:dyDescent="0.25">
      <c r="A23" s="23">
        <f t="shared" si="4"/>
        <v>112.5</v>
      </c>
      <c r="B23" s="13">
        <f t="shared" si="5"/>
        <v>110</v>
      </c>
      <c r="C23" s="8"/>
      <c r="D23" s="3"/>
      <c r="E23" s="3"/>
      <c r="F23" s="32"/>
      <c r="G23" s="8">
        <f>1-GEVCUM(KVD!$D$44,KVD!$E$44,KVD!$F$44,$A23)</f>
        <v>8.3086604022194477E-3</v>
      </c>
      <c r="H23" s="3">
        <f t="shared" si="2"/>
        <v>8.3433697133558447E-3</v>
      </c>
      <c r="I23" s="3">
        <f t="shared" si="3"/>
        <v>119.85564997787723</v>
      </c>
      <c r="J23" s="13">
        <f t="shared" si="7"/>
        <v>1.1534494446823199E-2</v>
      </c>
      <c r="K23" s="8">
        <f>1-GEVCUM(KVD!$D$45,KVD!$E$45,KVD!$F$45,$A23)</f>
        <v>3.3362776369916913E-2</v>
      </c>
      <c r="L23" s="3">
        <f t="shared" si="8"/>
        <v>3.3932010453252358E-2</v>
      </c>
      <c r="M23" s="3">
        <f t="shared" si="9"/>
        <v>29.470697039236317</v>
      </c>
      <c r="N23" s="13">
        <f t="shared" si="14"/>
        <v>1.2394830672761252E-2</v>
      </c>
      <c r="O23" s="8">
        <f>1-GEVCUM(KVD!$D$46,KVD!$E$46,KVD!$F$46,$A23)</f>
        <v>0.15827000709314354</v>
      </c>
      <c r="P23" s="3">
        <f t="shared" si="10"/>
        <v>0.17229598967385026</v>
      </c>
      <c r="Q23" s="3">
        <f t="shared" si="11"/>
        <v>5.8039656169186635</v>
      </c>
      <c r="R23" s="13">
        <f t="shared" si="15"/>
        <v>5.3400427230843567E-2</v>
      </c>
      <c r="S23" s="8">
        <f>1-GEVCUM(KVD!$D$47,KVD!$E$47,KVD!$F$47,$A23)</f>
        <v>0.20503630354406066</v>
      </c>
      <c r="T23" s="3">
        <f t="shared" si="16"/>
        <v>0.2294588302057719</v>
      </c>
      <c r="U23" s="9">
        <f t="shared" si="17"/>
        <v>4.3580802669621805</v>
      </c>
      <c r="V23" s="32">
        <f t="shared" si="18"/>
        <v>6.7514857820412305E-2</v>
      </c>
    </row>
    <row r="24" spans="1:22" x14ac:dyDescent="0.25">
      <c r="A24" s="23">
        <f t="shared" si="4"/>
        <v>117.5</v>
      </c>
      <c r="B24" s="13">
        <f t="shared" si="5"/>
        <v>115</v>
      </c>
      <c r="C24" s="8"/>
      <c r="D24" s="3"/>
      <c r="E24" s="3"/>
      <c r="F24" s="32"/>
      <c r="G24" s="8"/>
      <c r="H24" s="3"/>
      <c r="I24" s="3"/>
      <c r="J24" s="13"/>
      <c r="K24" s="8">
        <f>1-GEVCUM(KVD!$D$45,KVD!$E$45,KVD!$F$45,$A24)</f>
        <v>2.459854378746118E-2</v>
      </c>
      <c r="L24" s="3">
        <f t="shared" si="8"/>
        <v>2.4906142768465121E-2</v>
      </c>
      <c r="M24" s="3">
        <f t="shared" si="9"/>
        <v>40.150737482567898</v>
      </c>
      <c r="N24" s="13">
        <f t="shared" si="14"/>
        <v>9.0258676847872338E-3</v>
      </c>
      <c r="O24" s="8">
        <f>1-GEVCUM(KVD!$D$46,KVD!$E$46,KVD!$F$46,$A24)</f>
        <v>0.12285631751354176</v>
      </c>
      <c r="P24" s="3">
        <f t="shared" si="10"/>
        <v>0.13108446595123133</v>
      </c>
      <c r="Q24" s="3">
        <f t="shared" si="11"/>
        <v>7.6286689863926371</v>
      </c>
      <c r="R24" s="13">
        <f t="shared" si="15"/>
        <v>4.1211523722618937E-2</v>
      </c>
      <c r="S24" s="8">
        <f>1-GEVCUM(KVD!$D$47,KVD!$E$47,KVD!$F$47,$A24)</f>
        <v>0.16183415294971948</v>
      </c>
      <c r="T24" s="3">
        <f t="shared" si="16"/>
        <v>0.1765392899067342</v>
      </c>
      <c r="U24" s="9">
        <f t="shared" si="17"/>
        <v>5.6644614381778728</v>
      </c>
      <c r="V24" s="32">
        <f t="shared" si="18"/>
        <v>5.2919540299037671E-2</v>
      </c>
    </row>
    <row r="25" spans="1:22" x14ac:dyDescent="0.25">
      <c r="A25" s="23">
        <f t="shared" si="4"/>
        <v>122.5</v>
      </c>
      <c r="B25" s="13">
        <f t="shared" si="5"/>
        <v>120</v>
      </c>
      <c r="C25" s="8"/>
      <c r="D25" s="3"/>
      <c r="E25" s="3"/>
      <c r="F25" s="32"/>
      <c r="G25" s="8"/>
      <c r="H25" s="3"/>
      <c r="I25" s="3"/>
      <c r="J25" s="13"/>
      <c r="K25" s="8">
        <f>1-GEVCUM(KVD!$D$45,KVD!$E$45,KVD!$F$45,$A25)</f>
        <v>1.8152605395912902E-2</v>
      </c>
      <c r="L25" s="3">
        <f t="shared" si="8"/>
        <v>1.8319385347408929E-2</v>
      </c>
      <c r="M25" s="3">
        <f t="shared" si="9"/>
        <v>54.586984281185984</v>
      </c>
      <c r="N25" s="13">
        <f t="shared" si="14"/>
        <v>2.4906142768465124E-2</v>
      </c>
      <c r="O25" s="8">
        <f>1-GEVCUM(KVD!$D$46,KVD!$E$46,KVD!$F$46,$A25)</f>
        <v>9.4604785181340412E-2</v>
      </c>
      <c r="P25" s="3">
        <f t="shared" si="10"/>
        <v>9.9383729151458072E-2</v>
      </c>
      <c r="Q25" s="3">
        <f t="shared" si="11"/>
        <v>10.062009229659992</v>
      </c>
      <c r="R25" s="13">
        <f t="shared" si="15"/>
        <v>3.1700736799773255E-2</v>
      </c>
      <c r="S25" s="8">
        <f>1-GEVCUM(KVD!$D$47,KVD!$E$47,KVD!$F$47,$A25)</f>
        <v>0.12648300023183312</v>
      </c>
      <c r="T25" s="3">
        <f t="shared" si="16"/>
        <v>0.13522768792806347</v>
      </c>
      <c r="U25" s="9">
        <f t="shared" si="17"/>
        <v>7.3949352778401858</v>
      </c>
      <c r="V25" s="32">
        <f t="shared" si="18"/>
        <v>4.1311601978670731E-2</v>
      </c>
    </row>
    <row r="26" spans="1:22" x14ac:dyDescent="0.25">
      <c r="A26" s="23">
        <f t="shared" si="4"/>
        <v>127.5</v>
      </c>
      <c r="B26" s="13">
        <f t="shared" si="5"/>
        <v>125</v>
      </c>
      <c r="C26" s="8"/>
      <c r="D26" s="3"/>
      <c r="E26" s="3"/>
      <c r="F26" s="32"/>
      <c r="G26" s="8"/>
      <c r="H26" s="3"/>
      <c r="I26" s="3"/>
      <c r="J26" s="13"/>
      <c r="K26" s="8"/>
      <c r="L26" s="3"/>
      <c r="M26" s="3"/>
      <c r="N26" s="13"/>
      <c r="O26" s="8">
        <f>1-GEVCUM(KVD!$D$46,KVD!$E$46,KVD!$F$46,$A26)</f>
        <v>7.2331383633099877E-2</v>
      </c>
      <c r="P26" s="3">
        <f t="shared" si="10"/>
        <v>7.5080704401555468E-2</v>
      </c>
      <c r="Q26" s="3">
        <f t="shared" si="11"/>
        <v>13.319001306270147</v>
      </c>
      <c r="R26" s="13">
        <f t="shared" si="15"/>
        <v>2.4303024749902605E-2</v>
      </c>
      <c r="S26" s="8">
        <f>1-GEVCUM(KVD!$D$47,KVD!$E$47,KVD!$F$47,$A26)</f>
        <v>9.7974695367465503E-2</v>
      </c>
      <c r="T26" s="3">
        <f t="shared" si="16"/>
        <v>0.10311270539668178</v>
      </c>
      <c r="U26" s="9">
        <f t="shared" si="17"/>
        <v>9.6981259113794955</v>
      </c>
      <c r="V26" s="32">
        <f t="shared" si="18"/>
        <v>3.2114982531381689E-2</v>
      </c>
    </row>
    <row r="27" spans="1:22" x14ac:dyDescent="0.25">
      <c r="A27" s="23">
        <f t="shared" si="4"/>
        <v>132.5</v>
      </c>
      <c r="B27" s="13">
        <f t="shared" si="5"/>
        <v>130</v>
      </c>
      <c r="C27" s="8"/>
      <c r="D27" s="3"/>
      <c r="E27" s="3"/>
      <c r="F27" s="32"/>
      <c r="G27" s="8"/>
      <c r="H27" s="3"/>
      <c r="I27" s="3"/>
      <c r="J27" s="13"/>
      <c r="K27" s="8"/>
      <c r="L27" s="3"/>
      <c r="M27" s="3"/>
      <c r="N27" s="13"/>
      <c r="O27" s="8">
        <f>1-GEVCUM(KVD!$D$46,KVD!$E$46,KVD!$F$46,$A27)</f>
        <v>5.4945982976809193E-2</v>
      </c>
      <c r="P27" s="3">
        <f t="shared" si="10"/>
        <v>5.6513192250913252E-2</v>
      </c>
      <c r="Q27" s="3">
        <f t="shared" si="11"/>
        <v>17.694983421925524</v>
      </c>
      <c r="R27" s="13">
        <f t="shared" si="15"/>
        <v>1.8567512150642215E-2</v>
      </c>
      <c r="S27" s="8">
        <f>1-GEVCUM(KVD!$D$47,KVD!$E$47,KVD!$F$47,$A27)</f>
        <v>7.5271445095030143E-2</v>
      </c>
      <c r="T27" s="3">
        <f t="shared" si="16"/>
        <v>7.8255038692597756E-2</v>
      </c>
      <c r="U27" s="9">
        <f t="shared" si="17"/>
        <v>12.778729864644374</v>
      </c>
      <c r="V27" s="32">
        <f t="shared" si="18"/>
        <v>2.4857666704084028E-2</v>
      </c>
    </row>
    <row r="28" spans="1:22" x14ac:dyDescent="0.25">
      <c r="A28" s="23">
        <f t="shared" si="4"/>
        <v>137.5</v>
      </c>
      <c r="B28" s="13">
        <f t="shared" si="5"/>
        <v>135</v>
      </c>
      <c r="C28" s="8"/>
      <c r="D28" s="3"/>
      <c r="E28" s="3"/>
      <c r="F28" s="32"/>
      <c r="G28" s="8"/>
      <c r="H28" s="3"/>
      <c r="I28" s="3"/>
      <c r="J28" s="13"/>
      <c r="K28" s="8"/>
      <c r="L28" s="3"/>
      <c r="M28" s="3"/>
      <c r="N28" s="13"/>
      <c r="O28" s="8">
        <f>1-GEVCUM(KVD!$D$46,KVD!$E$46,KVD!$F$46,$A28)</f>
        <v>4.1492340627015456E-2</v>
      </c>
      <c r="P28" s="3">
        <f t="shared" si="10"/>
        <v>4.2377725528903502E-2</v>
      </c>
      <c r="Q28" s="3">
        <f t="shared" si="11"/>
        <v>23.597302297829913</v>
      </c>
      <c r="R28" s="13">
        <f t="shared" si="15"/>
        <v>1.413546672200975E-2</v>
      </c>
      <c r="S28" s="8">
        <f>1-GEVCUM(KVD!$D$47,KVD!$E$47,KVD!$F$47,$A28)</f>
        <v>5.7388284246233212E-2</v>
      </c>
      <c r="T28" s="3">
        <f t="shared" si="16"/>
        <v>5.9100835380519808E-2</v>
      </c>
      <c r="U28" s="9">
        <f t="shared" si="17"/>
        <v>16.920234605171238</v>
      </c>
      <c r="V28" s="32">
        <f t="shared" si="18"/>
        <v>1.9154203312077941E-2</v>
      </c>
    </row>
    <row r="29" spans="1:22" x14ac:dyDescent="0.25">
      <c r="A29" s="23">
        <f t="shared" si="4"/>
        <v>142.5</v>
      </c>
      <c r="B29" s="13">
        <f t="shared" si="5"/>
        <v>140</v>
      </c>
      <c r="C29" s="8"/>
      <c r="D29" s="3"/>
      <c r="E29" s="3"/>
      <c r="F29" s="32"/>
      <c r="G29" s="8"/>
      <c r="H29" s="3"/>
      <c r="I29" s="3"/>
      <c r="J29" s="13"/>
      <c r="K29" s="8"/>
      <c r="L29" s="3"/>
      <c r="M29" s="3"/>
      <c r="N29" s="13"/>
      <c r="O29" s="8">
        <f>1-GEVCUM(KVD!$D$46,KVD!$E$46,KVD!$F$46,$A29)</f>
        <v>3.1159620004187705E-2</v>
      </c>
      <c r="P29" s="3">
        <f t="shared" si="10"/>
        <v>3.1655407186784716E-2</v>
      </c>
      <c r="Q29" s="3">
        <f t="shared" si="11"/>
        <v>31.59017965238726</v>
      </c>
      <c r="R29" s="13">
        <f t="shared" si="15"/>
        <v>1.0722318342118786E-2</v>
      </c>
      <c r="S29" s="8">
        <f>1-GEVCUM(KVD!$D$47,KVD!$E$47,KVD!$F$47,$A29)</f>
        <v>4.3438218939425233E-2</v>
      </c>
      <c r="T29" s="3">
        <f t="shared" si="16"/>
        <v>4.4409901429150037E-2</v>
      </c>
      <c r="U29" s="9">
        <f t="shared" si="17"/>
        <v>22.517501003585071</v>
      </c>
      <c r="V29" s="32">
        <f t="shared" si="18"/>
        <v>1.4690933951369778E-2</v>
      </c>
    </row>
    <row r="30" spans="1:22" x14ac:dyDescent="0.25">
      <c r="A30" s="23">
        <f t="shared" si="4"/>
        <v>147.5</v>
      </c>
      <c r="B30" s="13">
        <f t="shared" si="5"/>
        <v>145</v>
      </c>
      <c r="C30" s="8"/>
      <c r="D30" s="3"/>
      <c r="E30" s="3"/>
      <c r="F30" s="32"/>
      <c r="G30" s="8"/>
      <c r="H30" s="3"/>
      <c r="I30" s="3"/>
      <c r="J30" s="13"/>
      <c r="K30" s="8"/>
      <c r="L30" s="3"/>
      <c r="M30" s="3"/>
      <c r="N30" s="13"/>
      <c r="O30" s="8">
        <f>1-GEVCUM(KVD!$D$46,KVD!$E$46,KVD!$F$46,$A30)</f>
        <v>2.3277197286713069E-2</v>
      </c>
      <c r="P30" s="3">
        <f t="shared" si="10"/>
        <v>2.3552390110043758E-2</v>
      </c>
      <c r="Q30" s="3">
        <f t="shared" si="11"/>
        <v>42.458535856773054</v>
      </c>
      <c r="R30" s="13">
        <f t="shared" si="15"/>
        <v>8.1030170767409579E-3</v>
      </c>
      <c r="S30" s="8">
        <f>1-GEVCUM(KVD!$D$47,KVD!$E$47,KVD!$F$47,$A30)</f>
        <v>3.265140148399881E-2</v>
      </c>
      <c r="T30" s="3">
        <f t="shared" si="16"/>
        <v>3.319635364558126E-2</v>
      </c>
      <c r="U30" s="9">
        <f t="shared" si="17"/>
        <v>30.123790422178168</v>
      </c>
      <c r="V30" s="32">
        <f t="shared" si="18"/>
        <v>1.1213547783568777E-2</v>
      </c>
    </row>
    <row r="31" spans="1:22" x14ac:dyDescent="0.25">
      <c r="A31" s="23">
        <f t="shared" si="4"/>
        <v>152.5</v>
      </c>
      <c r="B31" s="13">
        <f t="shared" si="5"/>
        <v>150</v>
      </c>
      <c r="C31" s="8"/>
      <c r="D31" s="3"/>
      <c r="E31" s="3"/>
      <c r="F31" s="32"/>
      <c r="G31" s="8"/>
      <c r="H31" s="3"/>
      <c r="I31" s="3"/>
      <c r="J31" s="13"/>
      <c r="K31" s="8"/>
      <c r="L31" s="3"/>
      <c r="M31" s="3"/>
      <c r="N31" s="13"/>
      <c r="O31" s="8">
        <f>1-GEVCUM(KVD!$D$46,KVD!$E$46,KVD!$F$46,$A31)</f>
        <v>1.7300839238742594E-2</v>
      </c>
      <c r="P31" s="3">
        <f t="shared" si="10"/>
        <v>1.7452247627290987E-2</v>
      </c>
      <c r="Q31" s="3">
        <f t="shared" si="11"/>
        <v>57.299209898686513</v>
      </c>
      <c r="R31" s="13">
        <f t="shared" si="15"/>
        <v>2.3552390110043758E-2</v>
      </c>
      <c r="S31" s="8">
        <f>1-GEVCUM(KVD!$D$47,KVD!$E$47,KVD!$F$47,$A31)</f>
        <v>2.4377671443747917E-2</v>
      </c>
      <c r="T31" s="3">
        <f t="shared" si="16"/>
        <v>2.4679725903246824E-2</v>
      </c>
      <c r="U31" s="9">
        <f t="shared" si="17"/>
        <v>40.519088579846894</v>
      </c>
      <c r="V31" s="32">
        <f t="shared" si="18"/>
        <v>8.5166277423344358E-3</v>
      </c>
    </row>
    <row r="32" spans="1:22" x14ac:dyDescent="0.25">
      <c r="A32" s="23">
        <f t="shared" si="4"/>
        <v>157.5</v>
      </c>
      <c r="B32" s="13">
        <f t="shared" si="5"/>
        <v>155</v>
      </c>
      <c r="C32" s="8"/>
      <c r="D32" s="3"/>
      <c r="E32" s="3"/>
      <c r="F32" s="32"/>
      <c r="G32" s="8"/>
      <c r="H32" s="3"/>
      <c r="I32" s="3"/>
      <c r="J32" s="13"/>
      <c r="K32" s="8"/>
      <c r="L32" s="3"/>
      <c r="M32" s="3"/>
      <c r="N32" s="13"/>
      <c r="O32" s="8"/>
      <c r="P32" s="3"/>
      <c r="Q32" s="3"/>
      <c r="R32" s="13"/>
      <c r="S32" s="8">
        <f>1-GEVCUM(KVD!$D$47,KVD!$E$47,KVD!$F$47,$A32)</f>
        <v>1.8079399664690854E-2</v>
      </c>
      <c r="T32" s="3">
        <f t="shared" si="16"/>
        <v>1.8244828952310721E-2</v>
      </c>
      <c r="U32" s="9">
        <f t="shared" si="17"/>
        <v>54.810050706085093</v>
      </c>
      <c r="V32" s="32">
        <f t="shared" si="18"/>
        <v>2.4679725903246824E-2</v>
      </c>
    </row>
    <row r="33" spans="1:22" x14ac:dyDescent="0.25">
      <c r="A33" s="23">
        <f t="shared" si="4"/>
        <v>162.5</v>
      </c>
      <c r="B33" s="13">
        <f t="shared" si="5"/>
        <v>160</v>
      </c>
      <c r="C33" s="8"/>
      <c r="D33" s="3"/>
      <c r="E33" s="3"/>
      <c r="F33" s="32"/>
      <c r="G33" s="8"/>
      <c r="H33" s="3"/>
      <c r="I33" s="3"/>
      <c r="J33" s="13"/>
      <c r="K33" s="8"/>
      <c r="L33" s="3"/>
      <c r="M33" s="3"/>
      <c r="N33" s="13"/>
      <c r="O33" s="8"/>
      <c r="P33" s="3"/>
      <c r="Q33" s="3"/>
      <c r="R33" s="13"/>
      <c r="S33" s="8"/>
      <c r="T33" s="3"/>
      <c r="U33" s="9"/>
      <c r="V33" s="32"/>
    </row>
    <row r="34" spans="1:22" x14ac:dyDescent="0.25">
      <c r="A34" s="23">
        <f t="shared" si="4"/>
        <v>167.5</v>
      </c>
      <c r="B34" s="13">
        <f t="shared" si="5"/>
        <v>165</v>
      </c>
      <c r="C34" s="8"/>
      <c r="D34" s="3"/>
      <c r="E34" s="3"/>
      <c r="F34" s="32"/>
      <c r="G34" s="8"/>
      <c r="H34" s="3"/>
      <c r="I34" s="3"/>
      <c r="J34" s="13"/>
      <c r="K34" s="8"/>
      <c r="L34" s="3"/>
      <c r="M34" s="3"/>
      <c r="N34" s="13"/>
      <c r="O34" s="8"/>
      <c r="P34" s="3"/>
      <c r="Q34" s="3"/>
      <c r="R34" s="13"/>
      <c r="S34" s="8"/>
      <c r="T34" s="3"/>
      <c r="U34" s="9"/>
      <c r="V34" s="32"/>
    </row>
    <row r="35" spans="1:22" x14ac:dyDescent="0.25">
      <c r="A35" s="23">
        <f t="shared" si="4"/>
        <v>172.5</v>
      </c>
      <c r="B35" s="13">
        <f t="shared" si="5"/>
        <v>170</v>
      </c>
      <c r="C35" s="8"/>
      <c r="D35" s="3"/>
      <c r="E35" s="3"/>
      <c r="F35" s="32"/>
      <c r="G35" s="8"/>
      <c r="H35" s="3"/>
      <c r="I35" s="3"/>
      <c r="J35" s="13"/>
      <c r="K35" s="8"/>
      <c r="L35" s="3"/>
      <c r="M35" s="3"/>
      <c r="N35" s="13"/>
      <c r="O35" s="8"/>
      <c r="P35" s="3"/>
      <c r="Q35" s="3"/>
      <c r="R35" s="13"/>
      <c r="S35" s="8"/>
      <c r="T35" s="3"/>
      <c r="U35" s="9"/>
      <c r="V35" s="32"/>
    </row>
    <row r="36" spans="1:22" x14ac:dyDescent="0.25">
      <c r="A36" s="23">
        <f t="shared" si="4"/>
        <v>177.5</v>
      </c>
      <c r="B36" s="13">
        <f t="shared" si="5"/>
        <v>175</v>
      </c>
      <c r="C36" s="8"/>
      <c r="D36" s="3"/>
      <c r="E36" s="3"/>
      <c r="F36" s="32"/>
      <c r="G36" s="8"/>
      <c r="H36" s="3"/>
      <c r="I36" s="3"/>
      <c r="J36" s="13"/>
      <c r="K36" s="8"/>
      <c r="L36" s="3"/>
      <c r="M36" s="3"/>
      <c r="N36" s="13"/>
      <c r="O36" s="8"/>
      <c r="P36" s="3"/>
      <c r="Q36" s="3"/>
      <c r="R36" s="13"/>
      <c r="S36" s="8"/>
      <c r="T36" s="3"/>
      <c r="U36" s="9"/>
      <c r="V36" s="32"/>
    </row>
    <row r="37" spans="1:22" x14ac:dyDescent="0.25">
      <c r="A37" s="14">
        <f t="shared" si="4"/>
        <v>182.5</v>
      </c>
      <c r="B37" s="15">
        <f t="shared" si="5"/>
        <v>180</v>
      </c>
      <c r="C37" s="10"/>
      <c r="D37" s="4"/>
      <c r="E37" s="4"/>
      <c r="F37" s="33"/>
      <c r="G37" s="10"/>
      <c r="H37" s="4"/>
      <c r="I37" s="4"/>
      <c r="J37" s="15"/>
      <c r="K37" s="10"/>
      <c r="L37" s="4"/>
      <c r="M37" s="4"/>
      <c r="N37" s="15"/>
      <c r="O37" s="8"/>
      <c r="P37" s="3"/>
      <c r="Q37" s="3"/>
      <c r="R37" s="13"/>
      <c r="S37" s="8"/>
      <c r="T37" s="3"/>
      <c r="U37" s="9"/>
      <c r="V37" s="32"/>
    </row>
    <row r="38" spans="1:22" x14ac:dyDescent="0.25">
      <c r="A38" s="14">
        <f t="shared" si="4"/>
        <v>187.5</v>
      </c>
      <c r="B38" s="15">
        <f t="shared" si="5"/>
        <v>185</v>
      </c>
      <c r="O38" s="8"/>
      <c r="P38" s="3"/>
      <c r="Q38" s="3"/>
      <c r="R38" s="13"/>
      <c r="S38" s="8"/>
      <c r="T38" s="3"/>
      <c r="U38" s="9"/>
      <c r="V38" s="32"/>
    </row>
    <row r="39" spans="1:22" x14ac:dyDescent="0.25">
      <c r="A39" s="14">
        <f t="shared" si="4"/>
        <v>192.5</v>
      </c>
      <c r="B39" s="15">
        <f t="shared" si="5"/>
        <v>190</v>
      </c>
      <c r="O39" s="8"/>
      <c r="P39" s="3"/>
      <c r="Q39" s="3"/>
      <c r="R39" s="13"/>
      <c r="S39" s="8"/>
      <c r="T39" s="3"/>
      <c r="U39" s="9"/>
      <c r="V39" s="32"/>
    </row>
    <row r="40" spans="1:22" x14ac:dyDescent="0.25">
      <c r="A40" s="14">
        <f t="shared" si="4"/>
        <v>197.5</v>
      </c>
      <c r="B40" s="15">
        <f t="shared" si="5"/>
        <v>195</v>
      </c>
      <c r="S40" s="8"/>
      <c r="T40" s="3"/>
      <c r="U40" s="9"/>
      <c r="V40" s="32"/>
    </row>
  </sheetData>
  <mergeCells count="11">
    <mergeCell ref="S2:U2"/>
    <mergeCell ref="A1:B2"/>
    <mergeCell ref="C1:F1"/>
    <mergeCell ref="G1:J1"/>
    <mergeCell ref="K1:N1"/>
    <mergeCell ref="O1:R1"/>
    <mergeCell ref="S1:V1"/>
    <mergeCell ref="C2:E2"/>
    <mergeCell ref="G2:I2"/>
    <mergeCell ref="K2:M2"/>
    <mergeCell ref="O2:Q2"/>
  </mergeCells>
  <pageMargins left="0.7" right="0.7" top="0.75" bottom="0.75" header="0.3" footer="0.3"/>
  <pageSetup paperSize="0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Blad8">
    <tabColor theme="8" tint="-0.249977111117893"/>
  </sheetPr>
  <dimension ref="A1:V40"/>
  <sheetViews>
    <sheetView topLeftCell="H1" workbookViewId="0">
      <selection activeCell="V5" sqref="V5:V32"/>
    </sheetView>
  </sheetViews>
  <sheetFormatPr defaultColWidth="9.140625" defaultRowHeight="15" x14ac:dyDescent="0.25"/>
  <cols>
    <col min="1" max="1" width="11.42578125" bestFit="1" customWidth="1"/>
    <col min="2" max="2" width="14" bestFit="1" customWidth="1"/>
    <col min="4" max="4" width="12.28515625" style="19" bestFit="1" customWidth="1"/>
    <col min="5" max="5" width="12" style="19" bestFit="1" customWidth="1"/>
    <col min="6" max="6" width="14.7109375" bestFit="1" customWidth="1"/>
    <col min="8" max="8" width="12.28515625" bestFit="1" customWidth="1"/>
    <col min="9" max="9" width="12" bestFit="1" customWidth="1"/>
    <col min="10" max="10" width="13.7109375" bestFit="1" customWidth="1"/>
    <col min="12" max="12" width="12.28515625" bestFit="1" customWidth="1"/>
    <col min="13" max="13" width="18.85546875" bestFit="1" customWidth="1"/>
    <col min="14" max="14" width="14.7109375" bestFit="1" customWidth="1"/>
    <col min="15" max="15" width="7.7109375" bestFit="1" customWidth="1"/>
    <col min="16" max="16" width="12.28515625" bestFit="1" customWidth="1"/>
    <col min="17" max="17" width="16.42578125" bestFit="1" customWidth="1"/>
    <col min="18" max="18" width="14.7109375" bestFit="1" customWidth="1"/>
    <col min="19" max="19" width="7.7109375" bestFit="1" customWidth="1"/>
    <col min="20" max="20" width="12.28515625" bestFit="1" customWidth="1"/>
    <col min="21" max="21" width="11.42578125" bestFit="1" customWidth="1"/>
    <col min="22" max="22" width="14.7109375" bestFit="1" customWidth="1"/>
  </cols>
  <sheetData>
    <row r="1" spans="1:22" x14ac:dyDescent="0.25">
      <c r="A1" s="50" t="s">
        <v>15</v>
      </c>
      <c r="B1" s="51"/>
      <c r="C1" s="63">
        <v>24</v>
      </c>
      <c r="D1" s="64"/>
      <c r="E1" s="64"/>
      <c r="F1" s="65"/>
      <c r="G1" s="66">
        <v>48</v>
      </c>
      <c r="H1" s="67"/>
      <c r="I1" s="67"/>
      <c r="J1" s="68"/>
      <c r="K1" s="66">
        <v>96</v>
      </c>
      <c r="L1" s="67"/>
      <c r="M1" s="67"/>
      <c r="N1" s="68"/>
      <c r="O1" s="66">
        <v>192</v>
      </c>
      <c r="P1" s="67"/>
      <c r="Q1" s="67"/>
      <c r="R1" s="68"/>
      <c r="S1" s="60">
        <v>216</v>
      </c>
      <c r="T1" s="61"/>
      <c r="U1" s="61"/>
      <c r="V1" s="62"/>
    </row>
    <row r="2" spans="1:22" x14ac:dyDescent="0.25">
      <c r="A2" s="52"/>
      <c r="B2" s="53"/>
      <c r="C2" s="57" t="s">
        <v>9</v>
      </c>
      <c r="D2" s="58"/>
      <c r="E2" s="59"/>
      <c r="F2" s="30">
        <f>24/24*365.25</f>
        <v>365.25</v>
      </c>
      <c r="G2" s="54" t="s">
        <v>9</v>
      </c>
      <c r="H2" s="55"/>
      <c r="I2" s="56"/>
      <c r="J2" s="30">
        <f>24/48*365.25</f>
        <v>182.625</v>
      </c>
      <c r="K2" s="54" t="s">
        <v>9</v>
      </c>
      <c r="L2" s="55"/>
      <c r="M2" s="56"/>
      <c r="N2" s="30">
        <f>24/96*365.25</f>
        <v>91.3125</v>
      </c>
      <c r="O2" s="54" t="s">
        <v>9</v>
      </c>
      <c r="P2" s="55"/>
      <c r="Q2" s="56"/>
      <c r="R2" s="30">
        <f>24/192*365.25</f>
        <v>45.65625</v>
      </c>
      <c r="S2" s="54" t="s">
        <v>9</v>
      </c>
      <c r="T2" s="55"/>
      <c r="U2" s="56"/>
      <c r="V2" s="30">
        <f>24/216*365.25</f>
        <v>40.583333333333329</v>
      </c>
    </row>
    <row r="3" spans="1:22" x14ac:dyDescent="0.25">
      <c r="A3" s="24" t="s">
        <v>12</v>
      </c>
      <c r="B3" s="27" t="s">
        <v>14</v>
      </c>
      <c r="C3" s="24" t="s">
        <v>8</v>
      </c>
      <c r="D3" s="25" t="s">
        <v>10</v>
      </c>
      <c r="E3" s="26" t="s">
        <v>17</v>
      </c>
      <c r="F3" s="36" t="s">
        <v>13</v>
      </c>
      <c r="G3" s="24" t="s">
        <v>8</v>
      </c>
      <c r="H3" s="25" t="s">
        <v>10</v>
      </c>
      <c r="I3" s="26" t="s">
        <v>17</v>
      </c>
      <c r="J3" s="29" t="s">
        <v>13</v>
      </c>
      <c r="K3" s="24" t="s">
        <v>8</v>
      </c>
      <c r="L3" s="25" t="s">
        <v>10</v>
      </c>
      <c r="M3" s="26" t="s">
        <v>17</v>
      </c>
      <c r="N3" s="29" t="s">
        <v>13</v>
      </c>
      <c r="O3" s="24" t="s">
        <v>8</v>
      </c>
      <c r="P3" s="25" t="s">
        <v>10</v>
      </c>
      <c r="Q3" s="26" t="s">
        <v>17</v>
      </c>
      <c r="R3" s="29" t="s">
        <v>13</v>
      </c>
      <c r="S3" s="24" t="s">
        <v>8</v>
      </c>
      <c r="T3" s="25" t="s">
        <v>10</v>
      </c>
      <c r="U3" s="26" t="s">
        <v>17</v>
      </c>
      <c r="V3" s="29" t="s">
        <v>13</v>
      </c>
    </row>
    <row r="4" spans="1:22" x14ac:dyDescent="0.25">
      <c r="A4" s="34">
        <v>17.5</v>
      </c>
      <c r="B4" s="12">
        <f>A4-2.5</f>
        <v>15</v>
      </c>
      <c r="C4" s="8">
        <f>1-GEVCUM(KVD!$D$23,KVD!$E$23,KVD!$F$23,$A4)</f>
        <v>0.99983111696158145</v>
      </c>
      <c r="D4" s="3">
        <f t="shared" ref="D4:D17" si="0">-LN(1-C4)</f>
        <v>8.6863041630029514</v>
      </c>
      <c r="E4" s="3">
        <f t="shared" ref="E4:E17" si="1">1/D4</f>
        <v>0.1151237604894426</v>
      </c>
      <c r="F4" s="31">
        <f>KLASSEFREQUENTIEUITHERHALINGSTIJD(F$2,E3,E4,E5)</f>
        <v>356.56369583699706</v>
      </c>
      <c r="G4" s="8">
        <f>1-GEVCUM(KVD!$D$24,KVD!$E$24,KVD!$F$24,$A4)</f>
        <v>0.99999935369643655</v>
      </c>
      <c r="H4" s="2">
        <f t="shared" ref="H4:H22" si="2">-LN(1-G4)</f>
        <v>14.251996531084229</v>
      </c>
      <c r="I4" s="2">
        <f t="shared" ref="I4:I22" si="3">1/H4</f>
        <v>7.0165607872479913E-2</v>
      </c>
      <c r="J4" s="12">
        <f>KLASSEFREQUENTIEUITHERHALINGSTIJD(J$2,I3,I4,I5)</f>
        <v>168.37300346891578</v>
      </c>
      <c r="K4" s="35"/>
      <c r="L4" s="2"/>
      <c r="M4" s="2"/>
      <c r="N4" s="12"/>
      <c r="O4" s="35"/>
      <c r="P4" s="2"/>
      <c r="Q4" s="2"/>
      <c r="R4" s="12"/>
      <c r="S4" s="35"/>
      <c r="T4" s="2"/>
      <c r="U4" s="37"/>
      <c r="V4" s="31"/>
    </row>
    <row r="5" spans="1:22" x14ac:dyDescent="0.25">
      <c r="A5" s="23">
        <f t="shared" ref="A5:A40" si="4">A4+5</f>
        <v>22.5</v>
      </c>
      <c r="B5" s="13">
        <f t="shared" ref="B5:B37" si="5">A5-2.5</f>
        <v>20</v>
      </c>
      <c r="C5" s="8">
        <f>1-GEVCUM(KVD!$D$23,KVD!$E$23,KVD!$F$23,$A5)</f>
        <v>0.99095483318763677</v>
      </c>
      <c r="D5" s="3">
        <f t="shared" si="0"/>
        <v>4.7055247178103867</v>
      </c>
      <c r="E5" s="3">
        <f t="shared" si="1"/>
        <v>0.21251615068878613</v>
      </c>
      <c r="F5" s="32">
        <f t="shared" ref="F5:F22" si="6">KLASSEFREQUENTIEUITHERHALINGSTIJD(F$2,E4,E5,E6)</f>
        <v>3.9807794451925647</v>
      </c>
      <c r="G5" s="8">
        <f>1-GEVCUM(KVD!$D$24,KVD!$E$24,KVD!$F$24,$A5)</f>
        <v>0.99980229628453732</v>
      </c>
      <c r="H5" s="3">
        <f t="shared" si="2"/>
        <v>8.5287410345263481</v>
      </c>
      <c r="I5" s="3">
        <f t="shared" si="3"/>
        <v>0.11725059958460046</v>
      </c>
      <c r="J5" s="13">
        <f t="shared" ref="J5:J23" si="7">KLASSEFREQUENTIEUITHERHALINGSTIJD(J$2,I4,I5,I6)</f>
        <v>5.723255496557881</v>
      </c>
      <c r="K5" s="8">
        <f>1-GEVCUM(KVD!$D$25,KVD!$E$25,KVD!$F$25,$A5)</f>
        <v>0.9999976072330623</v>
      </c>
      <c r="L5" s="3">
        <f t="shared" ref="L5:L25" si="8">-LN(1-K5)</f>
        <v>12.943060147137642</v>
      </c>
      <c r="M5" s="3">
        <f t="shared" ref="M5:M25" si="9">1/L5</f>
        <v>7.7261481336865306E-2</v>
      </c>
      <c r="N5" s="13">
        <f>KLASSEFREQUENTIEUITHERHALINGSTIJD(N$2,M4,M5,M6)</f>
        <v>78.369439852862357</v>
      </c>
      <c r="O5" s="8">
        <f>1-GEVCUM(KVD!$D$26,KVD!$E$26,KVD!$F$26,$A5)</f>
        <v>0.99999936974407266</v>
      </c>
      <c r="P5" s="3">
        <f t="shared" ref="P5:P31" si="10">-LN(1-O5)</f>
        <v>14.27713986618426</v>
      </c>
      <c r="Q5" s="3">
        <f t="shared" ref="Q5:Q31" si="11">1/P5</f>
        <v>7.0042039888431953E-2</v>
      </c>
      <c r="R5" s="13">
        <f>KLASSEFREQUENTIEUITHERHALINGSTIJD(R$2,Q4,Q5,Q6)</f>
        <v>31.37911013381574</v>
      </c>
      <c r="S5" s="8">
        <f>1-GEVCUM(KVD!$D$27,KVD!$E$27,KVD!$F$27,$A5)</f>
        <v>0.99999916132168776</v>
      </c>
      <c r="T5" s="3">
        <f t="shared" ref="T5" si="12">-LN(1-S5)</f>
        <v>13.991438622068602</v>
      </c>
      <c r="U5" s="9">
        <f t="shared" ref="U5" si="13">1/T5</f>
        <v>7.1472278656371097E-2</v>
      </c>
      <c r="V5" s="32">
        <f>KLASSEFREQUENTIEUITHERHALINGSTIJD(V$2,U4,U5,U6)</f>
        <v>26.591894711264729</v>
      </c>
    </row>
    <row r="6" spans="1:22" x14ac:dyDescent="0.25">
      <c r="A6" s="23">
        <f t="shared" si="4"/>
        <v>27.5</v>
      </c>
      <c r="B6" s="13">
        <f t="shared" si="5"/>
        <v>25</v>
      </c>
      <c r="C6" s="8">
        <f>1-GEVCUM(KVD!$D$23,KVD!$E$23,KVD!$F$23,$A6)</f>
        <v>0.92697065693216196</v>
      </c>
      <c r="D6" s="3">
        <f t="shared" si="0"/>
        <v>2.6168939587645599</v>
      </c>
      <c r="E6" s="3">
        <f t="shared" si="1"/>
        <v>0.38213241184297042</v>
      </c>
      <c r="F6" s="32">
        <f t="shared" si="6"/>
        <v>2.0886307590458268</v>
      </c>
      <c r="G6" s="8">
        <f>1-GEVCUM(KVD!$D$24,KVD!$E$24,KVD!$F$24,$A6)</f>
        <v>0.99435837692473472</v>
      </c>
      <c r="H6" s="3">
        <f t="shared" si="2"/>
        <v>5.1775834755703363</v>
      </c>
      <c r="I6" s="3">
        <f t="shared" si="3"/>
        <v>0.19314029502727526</v>
      </c>
      <c r="J6" s="13">
        <f t="shared" si="7"/>
        <v>3.3511575589560119</v>
      </c>
      <c r="K6" s="8">
        <f>1-GEVCUM(KVD!$D$25,KVD!$E$25,KVD!$F$25,$A6)</f>
        <v>0.9998634944120447</v>
      </c>
      <c r="L6" s="3">
        <f t="shared" si="8"/>
        <v>8.8991450067756741</v>
      </c>
      <c r="M6" s="3">
        <f t="shared" si="9"/>
        <v>0.11237034560495589</v>
      </c>
      <c r="N6" s="13">
        <f t="shared" ref="N6:N25" si="14">KLASSEFREQUENTIEUITHERHALINGSTIJD(N$2,M5,M6,M7)</f>
        <v>4.0439151403619675</v>
      </c>
      <c r="O6" s="8">
        <f>1-GEVCUM(KVD!$D$26,KVD!$E$26,KVD!$F$26,$A6)</f>
        <v>0.9999875221964446</v>
      </c>
      <c r="P6" s="3">
        <f t="shared" si="10"/>
        <v>11.291559207675803</v>
      </c>
      <c r="Q6" s="3">
        <f t="shared" si="11"/>
        <v>8.8561728421015368E-2</v>
      </c>
      <c r="R6" s="13">
        <f t="shared" ref="R6:R31" si="15">KLASSEFREQUENTIEUITHERHALINGSTIJD(R$2,Q5,Q6,Q7)</f>
        <v>2.9855806585084572</v>
      </c>
      <c r="S6" s="8">
        <f>1-GEVCUM(KVD!$D$27,KVD!$E$27,KVD!$F$27,$A6)</f>
        <v>0.9999878349521073</v>
      </c>
      <c r="T6" s="3">
        <f t="shared" ref="T6:T32" si="16">-LN(1-S6)</f>
        <v>11.316943644811078</v>
      </c>
      <c r="U6" s="9">
        <f t="shared" ref="U6:U32" si="17">1/T6</f>
        <v>8.8363080296729152E-2</v>
      </c>
      <c r="V6" s="32">
        <f t="shared" ref="V6:V32" si="18">KLASSEFREQUENTIEUITHERHALINGSTIJD(V$2,U5,U6,U7)</f>
        <v>2.6744949772575239</v>
      </c>
    </row>
    <row r="7" spans="1:22" x14ac:dyDescent="0.25">
      <c r="A7" s="23">
        <f t="shared" si="4"/>
        <v>32.5</v>
      </c>
      <c r="B7" s="13">
        <f t="shared" si="5"/>
        <v>30</v>
      </c>
      <c r="C7" s="8">
        <f>1-GEVCUM(KVD!$D$23,KVD!$E$23,KVD!$F$23,$A7)</f>
        <v>0.77481737409349871</v>
      </c>
      <c r="D7" s="3">
        <f t="shared" si="0"/>
        <v>1.4908435353086777</v>
      </c>
      <c r="E7" s="3">
        <f t="shared" si="1"/>
        <v>0.67076120083449997</v>
      </c>
      <c r="F7" s="32">
        <f t="shared" si="6"/>
        <v>1.1260504234558821</v>
      </c>
      <c r="G7" s="8">
        <f>1-GEVCUM(KVD!$D$24,KVD!$E$24,KVD!$F$24,$A7)</f>
        <v>0.95866841609460351</v>
      </c>
      <c r="H7" s="3">
        <f t="shared" si="2"/>
        <v>3.1861283278103723</v>
      </c>
      <c r="I7" s="3">
        <f t="shared" si="3"/>
        <v>0.31386055334664997</v>
      </c>
      <c r="J7" s="13">
        <f t="shared" si="7"/>
        <v>1.991455147759964</v>
      </c>
      <c r="K7" s="8">
        <f>1-GEVCUM(KVD!$D$25,KVD!$E$25,KVD!$F$25,$A7)</f>
        <v>0.99783961842307045</v>
      </c>
      <c r="L7" s="3">
        <f t="shared" si="8"/>
        <v>6.1374704169019925</v>
      </c>
      <c r="M7" s="3">
        <f t="shared" si="9"/>
        <v>0.16293357557310548</v>
      </c>
      <c r="N7" s="13">
        <f t="shared" si="14"/>
        <v>2.7616745898736816</v>
      </c>
      <c r="O7" s="8">
        <f>1-GEVCUM(KVD!$D$26,KVD!$E$26,KVD!$F$26,$A7)</f>
        <v>0.99986462803731191</v>
      </c>
      <c r="P7" s="3">
        <f t="shared" si="10"/>
        <v>8.9074842891785391</v>
      </c>
      <c r="Q7" s="3">
        <f t="shared" si="11"/>
        <v>0.11226514328123742</v>
      </c>
      <c r="R7" s="13">
        <f t="shared" si="15"/>
        <v>2.3840749184972641</v>
      </c>
      <c r="S7" s="8">
        <f>1-GEVCUM(KVD!$D$27,KVD!$E$27,KVD!$F$27,$A7)</f>
        <v>0.99989135408214813</v>
      </c>
      <c r="T7" s="3">
        <f t="shared" si="16"/>
        <v>9.1274164235105228</v>
      </c>
      <c r="U7" s="9">
        <f t="shared" si="17"/>
        <v>0.10956002811750612</v>
      </c>
      <c r="V7" s="32">
        <f t="shared" si="18"/>
        <v>2.1895272213005548</v>
      </c>
    </row>
    <row r="8" spans="1:22" x14ac:dyDescent="0.25">
      <c r="A8" s="23">
        <f t="shared" si="4"/>
        <v>37.5</v>
      </c>
      <c r="B8" s="13">
        <f t="shared" si="5"/>
        <v>35</v>
      </c>
      <c r="C8" s="8">
        <f>1-GEVCUM(KVD!$D$23,KVD!$E$23,KVD!$F$23,$A8)</f>
        <v>0.58037748612948148</v>
      </c>
      <c r="D8" s="3">
        <f t="shared" si="0"/>
        <v>0.86839974834525946</v>
      </c>
      <c r="E8" s="3">
        <f t="shared" si="1"/>
        <v>1.1515434014179593</v>
      </c>
      <c r="F8" s="32">
        <f t="shared" si="6"/>
        <v>0.62244378696341829</v>
      </c>
      <c r="G8" s="8">
        <f>1-GEVCUM(KVD!$D$24,KVD!$E$24,KVD!$F$24,$A8)</f>
        <v>0.86275800418682647</v>
      </c>
      <c r="H8" s="3">
        <f t="shared" si="2"/>
        <v>1.9860095185941788</v>
      </c>
      <c r="I8" s="3">
        <f t="shared" si="3"/>
        <v>0.50352225940380302</v>
      </c>
      <c r="J8" s="13">
        <f t="shared" si="7"/>
        <v>1.2001188092161936</v>
      </c>
      <c r="K8" s="8">
        <f>1-GEVCUM(KVD!$D$25,KVD!$E$25,KVD!$F$25,$A8)</f>
        <v>0.98567282544212931</v>
      </c>
      <c r="L8" s="3">
        <f t="shared" si="8"/>
        <v>4.2455972263054722</v>
      </c>
      <c r="M8" s="3">
        <f t="shared" si="9"/>
        <v>0.23553812260005694</v>
      </c>
      <c r="N8" s="13">
        <f t="shared" si="14"/>
        <v>1.8918731905965203</v>
      </c>
      <c r="O8" s="8">
        <f>1-GEVCUM(KVD!$D$26,KVD!$E$26,KVD!$F$26,$A8)</f>
        <v>0.99909576413142764</v>
      </c>
      <c r="P8" s="3">
        <f t="shared" si="10"/>
        <v>7.0084203150425637</v>
      </c>
      <c r="Q8" s="3">
        <f t="shared" si="11"/>
        <v>0.14268550615516654</v>
      </c>
      <c r="R8" s="13">
        <f t="shared" si="15"/>
        <v>1.8990639741359745</v>
      </c>
      <c r="S8" s="8">
        <f>1-GEVCUM(KVD!$D$27,KVD!$E$27,KVD!$F$27,$A8)</f>
        <v>0.99935081968042794</v>
      </c>
      <c r="T8" s="3">
        <f t="shared" si="16"/>
        <v>7.3398000376754222</v>
      </c>
      <c r="U8" s="9">
        <f t="shared" si="17"/>
        <v>0.13624349367380159</v>
      </c>
      <c r="V8" s="32">
        <f t="shared" si="18"/>
        <v>1.7876163858351015</v>
      </c>
    </row>
    <row r="9" spans="1:22" x14ac:dyDescent="0.25">
      <c r="A9" s="23">
        <f t="shared" si="4"/>
        <v>42.5</v>
      </c>
      <c r="B9" s="13">
        <f t="shared" si="5"/>
        <v>40</v>
      </c>
      <c r="C9" s="8">
        <f>1-GEVCUM(KVD!$D$23,KVD!$E$23,KVD!$F$23,$A9)</f>
        <v>0.40328613832630544</v>
      </c>
      <c r="D9" s="3">
        <f t="shared" si="0"/>
        <v>0.51631757416636859</v>
      </c>
      <c r="E9" s="3">
        <f t="shared" si="1"/>
        <v>1.9367924898054671</v>
      </c>
      <c r="F9" s="32">
        <f t="shared" si="6"/>
        <v>0.35208217417889087</v>
      </c>
      <c r="G9" s="8">
        <f>1-GEVCUM(KVD!$D$24,KVD!$E$24,KVD!$F$24,$A9)</f>
        <v>0.71438829380917834</v>
      </c>
      <c r="H9" s="3">
        <f t="shared" si="2"/>
        <v>1.2531220612935945</v>
      </c>
      <c r="I9" s="3">
        <f t="shared" si="3"/>
        <v>0.79800685893894707</v>
      </c>
      <c r="J9" s="13">
        <f t="shared" si="7"/>
        <v>0.73288745730058413</v>
      </c>
      <c r="K9" s="8">
        <f>1-GEVCUM(KVD!$D$25,KVD!$E$25,KVD!$F$25,$A9)</f>
        <v>0.94743006465691337</v>
      </c>
      <c r="L9" s="3">
        <f t="shared" si="8"/>
        <v>2.9456108940718977</v>
      </c>
      <c r="M9" s="3">
        <f t="shared" si="9"/>
        <v>0.33948815236001484</v>
      </c>
      <c r="N9" s="13">
        <f t="shared" si="14"/>
        <v>1.2999863322335745</v>
      </c>
      <c r="O9" s="8">
        <f>1-GEVCUM(KVD!$D$26,KVD!$E$26,KVD!$F$26,$A9)</f>
        <v>0.99591121534920357</v>
      </c>
      <c r="P9" s="3">
        <f t="shared" si="10"/>
        <v>5.4995075044801665</v>
      </c>
      <c r="Q9" s="3">
        <f t="shared" si="11"/>
        <v>0.18183446411980553</v>
      </c>
      <c r="R9" s="13">
        <f t="shared" si="15"/>
        <v>1.5089128105623981</v>
      </c>
      <c r="S9" s="8">
        <f>1-GEVCUM(KVD!$D$27,KVD!$E$27,KVD!$F$27,$A9)</f>
        <v>0.99721749781852143</v>
      </c>
      <c r="T9" s="3">
        <f t="shared" si="16"/>
        <v>5.8844046908153942</v>
      </c>
      <c r="U9" s="9">
        <f t="shared" si="17"/>
        <v>0.16994072511036479</v>
      </c>
      <c r="V9" s="32">
        <f t="shared" si="18"/>
        <v>1.4553953468600271</v>
      </c>
    </row>
    <row r="10" spans="1:22" x14ac:dyDescent="0.25">
      <c r="A10" s="23">
        <f t="shared" si="4"/>
        <v>47.5</v>
      </c>
      <c r="B10" s="13">
        <f t="shared" si="5"/>
        <v>45</v>
      </c>
      <c r="C10" s="8">
        <f>1-GEVCUM(KVD!$D$23,KVD!$E$23,KVD!$F$23,$A10)</f>
        <v>0.26865926266175666</v>
      </c>
      <c r="D10" s="3">
        <f t="shared" si="0"/>
        <v>0.31287580288512873</v>
      </c>
      <c r="E10" s="3">
        <f t="shared" si="1"/>
        <v>3.1961564006506009</v>
      </c>
      <c r="F10" s="32">
        <f t="shared" si="6"/>
        <v>0.20344177128123986</v>
      </c>
      <c r="G10" s="8">
        <f>1-GEVCUM(KVD!$D$24,KVD!$E$24,KVD!$F$24,$A10)</f>
        <v>0.55062404510817486</v>
      </c>
      <c r="H10" s="3">
        <f t="shared" si="2"/>
        <v>0.79989542557595394</v>
      </c>
      <c r="I10" s="3">
        <f t="shared" si="3"/>
        <v>1.2501634188993687</v>
      </c>
      <c r="J10" s="13">
        <f t="shared" si="7"/>
        <v>0.45322663571764066</v>
      </c>
      <c r="K10" s="8">
        <f>1-GEVCUM(KVD!$D$25,KVD!$E$25,KVD!$F$25,$A10)</f>
        <v>0.87121937774779634</v>
      </c>
      <c r="L10" s="3">
        <f t="shared" si="8"/>
        <v>2.0496449249828284</v>
      </c>
      <c r="M10" s="3">
        <f t="shared" si="9"/>
        <v>0.48788938406410948</v>
      </c>
      <c r="N10" s="13">
        <f t="shared" si="14"/>
        <v>0.89596596908906934</v>
      </c>
      <c r="O10" s="8">
        <f>1-GEVCUM(KVD!$D$26,KVD!$E$26,KVD!$F$26,$A10)</f>
        <v>0.98648126433339078</v>
      </c>
      <c r="P10" s="3">
        <f t="shared" si="10"/>
        <v>4.3036787285235345</v>
      </c>
      <c r="Q10" s="3">
        <f t="shared" si="11"/>
        <v>0.23235935186618137</v>
      </c>
      <c r="R10" s="13">
        <f t="shared" si="15"/>
        <v>1.195828775956632</v>
      </c>
      <c r="S10" s="8">
        <f>1-GEVCUM(KVD!$D$27,KVD!$E$27,KVD!$F$27,$A10)</f>
        <v>0.9909310424897988</v>
      </c>
      <c r="T10" s="3">
        <f t="shared" si="16"/>
        <v>4.7028979596968075</v>
      </c>
      <c r="U10" s="9">
        <f t="shared" si="17"/>
        <v>0.21263484952679459</v>
      </c>
      <c r="V10" s="32">
        <f t="shared" si="18"/>
        <v>1.1815067311185867</v>
      </c>
    </row>
    <row r="11" spans="1:22" x14ac:dyDescent="0.25">
      <c r="A11" s="23">
        <f t="shared" si="4"/>
        <v>52.5</v>
      </c>
      <c r="B11" s="13">
        <f t="shared" si="5"/>
        <v>50</v>
      </c>
      <c r="C11" s="8">
        <f>1-GEVCUM(KVD!$D$23,KVD!$E$23,KVD!$F$23,$A11)</f>
        <v>0.17549781649769913</v>
      </c>
      <c r="D11" s="3">
        <f t="shared" si="0"/>
        <v>0.1929754887115197</v>
      </c>
      <c r="E11" s="3">
        <f t="shared" si="1"/>
        <v>5.182005272674326</v>
      </c>
      <c r="F11" s="32">
        <f t="shared" si="6"/>
        <v>0.11990031417360902</v>
      </c>
      <c r="G11" s="8">
        <f>1-GEVCUM(KVD!$D$24,KVD!$E$24,KVD!$F$24,$A11)</f>
        <v>0.40324167086502283</v>
      </c>
      <c r="H11" s="3">
        <f t="shared" si="2"/>
        <v>0.51624305636587742</v>
      </c>
      <c r="I11" s="3">
        <f t="shared" si="3"/>
        <v>1.937072058730547</v>
      </c>
      <c r="J11" s="13">
        <f t="shared" si="7"/>
        <v>0.28365236921007642</v>
      </c>
      <c r="K11" s="8">
        <f>1-GEVCUM(KVD!$D$25,KVD!$E$25,KVD!$F$25,$A11)</f>
        <v>0.76076393350120086</v>
      </c>
      <c r="L11" s="3">
        <f t="shared" si="8"/>
        <v>1.4303044885945195</v>
      </c>
      <c r="M11" s="3">
        <f t="shared" si="9"/>
        <v>0.6991518295399074</v>
      </c>
      <c r="N11" s="13">
        <f t="shared" si="14"/>
        <v>0.61934043638830882</v>
      </c>
      <c r="O11" s="8">
        <f>1-GEVCUM(KVD!$D$26,KVD!$E$26,KVD!$F$26,$A11)</f>
        <v>0.96521147600046753</v>
      </c>
      <c r="P11" s="3">
        <f t="shared" si="10"/>
        <v>3.3584677167162114</v>
      </c>
      <c r="Q11" s="3">
        <f t="shared" si="11"/>
        <v>0.29775483474879549</v>
      </c>
      <c r="R11" s="13">
        <f t="shared" si="15"/>
        <v>0.94521101180732314</v>
      </c>
      <c r="S11" s="8">
        <f>1-GEVCUM(KVD!$D$27,KVD!$E$27,KVD!$F$27,$A11)</f>
        <v>0.97640157659243909</v>
      </c>
      <c r="T11" s="3">
        <f t="shared" si="16"/>
        <v>3.7465753739464787</v>
      </c>
      <c r="U11" s="9">
        <f t="shared" si="17"/>
        <v>0.26691041823259615</v>
      </c>
      <c r="V11" s="32">
        <f t="shared" si="18"/>
        <v>0.95632258575032836</v>
      </c>
    </row>
    <row r="12" spans="1:22" x14ac:dyDescent="0.25">
      <c r="A12" s="23">
        <f t="shared" si="4"/>
        <v>57.5</v>
      </c>
      <c r="B12" s="13">
        <f t="shared" si="5"/>
        <v>55</v>
      </c>
      <c r="C12" s="8">
        <f>1-GEVCUM(KVD!$D$23,KVD!$E$23,KVD!$F$23,$A12)</f>
        <v>0.11396576781597267</v>
      </c>
      <c r="D12" s="3">
        <f t="shared" si="0"/>
        <v>0.12099969234688258</v>
      </c>
      <c r="E12" s="3">
        <f t="shared" si="1"/>
        <v>8.2644838230926609</v>
      </c>
      <c r="F12" s="32">
        <f t="shared" si="6"/>
        <v>7.1975796364637121E-2</v>
      </c>
      <c r="G12" s="8">
        <f>1-GEVCUM(KVD!$D$24,KVD!$E$24,KVD!$F$24,$A12)</f>
        <v>0.28586831122775469</v>
      </c>
      <c r="H12" s="3">
        <f t="shared" si="2"/>
        <v>0.33668789559279394</v>
      </c>
      <c r="I12" s="3">
        <f t="shared" si="3"/>
        <v>2.970109745820642</v>
      </c>
      <c r="J12" s="13">
        <f t="shared" si="7"/>
        <v>0.17955516077308348</v>
      </c>
      <c r="K12" s="8">
        <f>1-GEVCUM(KVD!$D$25,KVD!$E$25,KVD!$F$25,$A12)</f>
        <v>0.63246396909572433</v>
      </c>
      <c r="L12" s="3">
        <f t="shared" si="8"/>
        <v>1.0009339218582332</v>
      </c>
      <c r="M12" s="3">
        <f t="shared" si="9"/>
        <v>0.99906694953798814</v>
      </c>
      <c r="N12" s="13">
        <f t="shared" si="14"/>
        <v>0.42937056673628637</v>
      </c>
      <c r="O12" s="8">
        <f>1-GEVCUM(KVD!$D$26,KVD!$E$26,KVD!$F$26,$A12)</f>
        <v>0.9267123510202826</v>
      </c>
      <c r="P12" s="3">
        <f t="shared" si="10"/>
        <v>2.613363183881761</v>
      </c>
      <c r="Q12" s="3">
        <f t="shared" si="11"/>
        <v>0.38264869045665872</v>
      </c>
      <c r="R12" s="13">
        <f t="shared" si="15"/>
        <v>0.74510453283445033</v>
      </c>
      <c r="S12" s="8">
        <f>1-GEVCUM(KVD!$D$27,KVD!$E$27,KVD!$F$27,$A12)</f>
        <v>0.94894620255993067</v>
      </c>
      <c r="T12" s="3">
        <f t="shared" si="16"/>
        <v>2.9748753504569305</v>
      </c>
      <c r="U12" s="9">
        <f t="shared" si="17"/>
        <v>0.33614853807115092</v>
      </c>
      <c r="V12" s="32">
        <f t="shared" si="18"/>
        <v>0.77170002348954858</v>
      </c>
    </row>
    <row r="13" spans="1:22" x14ac:dyDescent="0.25">
      <c r="A13" s="23">
        <f t="shared" si="4"/>
        <v>62.5</v>
      </c>
      <c r="B13" s="13">
        <f t="shared" si="5"/>
        <v>60</v>
      </c>
      <c r="C13" s="8">
        <f>1-GEVCUM(KVD!$D$23,KVD!$E$23,KVD!$F$23,$A13)</f>
        <v>7.4152211381503741E-2</v>
      </c>
      <c r="D13" s="3">
        <f t="shared" si="0"/>
        <v>7.7045432989044607E-2</v>
      </c>
      <c r="E13" s="3">
        <f t="shared" si="1"/>
        <v>12.979354663918807</v>
      </c>
      <c r="F13" s="32">
        <f t="shared" si="6"/>
        <v>4.3954259357837977E-2</v>
      </c>
      <c r="G13" s="8">
        <f>1-GEVCUM(KVD!$D$24,KVD!$E$24,KVD!$F$24,$A13)</f>
        <v>0.19891570722058505</v>
      </c>
      <c r="H13" s="3">
        <f t="shared" si="2"/>
        <v>0.22178910301930249</v>
      </c>
      <c r="I13" s="3">
        <f t="shared" si="3"/>
        <v>4.5087877915849148</v>
      </c>
      <c r="J13" s="13">
        <f t="shared" si="7"/>
        <v>0.11489879257349145</v>
      </c>
      <c r="K13" s="8">
        <f>1-GEVCUM(KVD!$D$25,KVD!$E$25,KVD!$F$25,$A13)</f>
        <v>0.50460965944553982</v>
      </c>
      <c r="L13" s="3">
        <f t="shared" si="8"/>
        <v>0.70240926039218332</v>
      </c>
      <c r="M13" s="3">
        <f t="shared" si="9"/>
        <v>1.4236714354273459</v>
      </c>
      <c r="N13" s="13">
        <f t="shared" si="14"/>
        <v>0.29852466146604983</v>
      </c>
      <c r="O13" s="8">
        <f>1-GEVCUM(KVD!$D$26,KVD!$E$26,KVD!$F$26,$A13)</f>
        <v>0.86835154878228193</v>
      </c>
      <c r="P13" s="3">
        <f t="shared" si="10"/>
        <v>2.0276201575015902</v>
      </c>
      <c r="Q13" s="3">
        <f t="shared" si="11"/>
        <v>0.49318902078394616</v>
      </c>
      <c r="R13" s="13">
        <f t="shared" si="15"/>
        <v>0.58574302638017084</v>
      </c>
      <c r="S13" s="8">
        <f>1-GEVCUM(KVD!$D$27,KVD!$E$27,KVD!$F$27,$A13)</f>
        <v>0.90502168834992502</v>
      </c>
      <c r="T13" s="3">
        <f t="shared" si="16"/>
        <v>2.3541067118659109</v>
      </c>
      <c r="U13" s="9">
        <f t="shared" si="17"/>
        <v>0.42478957940159834</v>
      </c>
      <c r="V13" s="32">
        <f t="shared" si="18"/>
        <v>0.62076863859101961</v>
      </c>
    </row>
    <row r="14" spans="1:22" x14ac:dyDescent="0.25">
      <c r="A14" s="23">
        <f t="shared" si="4"/>
        <v>67.5</v>
      </c>
      <c r="B14" s="13">
        <f t="shared" si="5"/>
        <v>65</v>
      </c>
      <c r="C14" s="8">
        <f>1-GEVCUM(KVD!$D$23,KVD!$E$23,KVD!$F$23,$A14)</f>
        <v>4.8551343718426843E-2</v>
      </c>
      <c r="D14" s="3">
        <f t="shared" si="0"/>
        <v>4.9769554519975126E-2</v>
      </c>
      <c r="E14" s="3">
        <f t="shared" si="1"/>
        <v>20.092605000083889</v>
      </c>
      <c r="F14" s="32">
        <f t="shared" si="6"/>
        <v>2.7275878469069481E-2</v>
      </c>
      <c r="G14" s="8">
        <f>1-GEVCUM(KVD!$D$24,KVD!$E$24,KVD!$F$24,$A14)</f>
        <v>0.13713816139948176</v>
      </c>
      <c r="H14" s="3">
        <f t="shared" si="2"/>
        <v>0.14750069503670452</v>
      </c>
      <c r="I14" s="3">
        <f t="shared" si="3"/>
        <v>6.7796290705691726</v>
      </c>
      <c r="J14" s="13">
        <f t="shared" si="7"/>
        <v>7.4288407982597976E-2</v>
      </c>
      <c r="K14" s="8">
        <f>1-GEVCUM(KVD!$D$25,KVD!$E$25,KVD!$F$25,$A14)</f>
        <v>0.38998396705793748</v>
      </c>
      <c r="L14" s="3">
        <f t="shared" si="8"/>
        <v>0.49427003864860763</v>
      </c>
      <c r="M14" s="3">
        <f t="shared" si="9"/>
        <v>2.023185550016581</v>
      </c>
      <c r="N14" s="13">
        <f t="shared" si="14"/>
        <v>0.20813922174357569</v>
      </c>
      <c r="O14" s="8">
        <f>1-GEVCUM(KVD!$D$26,KVD!$E$26,KVD!$F$26,$A14)</f>
        <v>0.7916328126766653</v>
      </c>
      <c r="P14" s="3">
        <f t="shared" si="10"/>
        <v>1.5684534319633958</v>
      </c>
      <c r="Q14" s="3">
        <f t="shared" si="11"/>
        <v>0.63757073026273803</v>
      </c>
      <c r="R14" s="13">
        <f t="shared" si="15"/>
        <v>0.45916672553819438</v>
      </c>
      <c r="S14" s="8">
        <f>1-GEVCUM(KVD!$D$27,KVD!$E$27,KVD!$F$27,$A14)</f>
        <v>0.84375981077055329</v>
      </c>
      <c r="T14" s="3">
        <f t="shared" si="16"/>
        <v>1.8563607812684746</v>
      </c>
      <c r="U14" s="9">
        <f t="shared" si="17"/>
        <v>0.53868838971952826</v>
      </c>
      <c r="V14" s="32">
        <f t="shared" si="18"/>
        <v>0.49774593059743633</v>
      </c>
    </row>
    <row r="15" spans="1:22" x14ac:dyDescent="0.25">
      <c r="A15" s="23">
        <f t="shared" si="4"/>
        <v>72.5</v>
      </c>
      <c r="B15" s="13">
        <f t="shared" si="5"/>
        <v>70</v>
      </c>
      <c r="C15" s="8">
        <f>1-GEVCUM(KVD!$D$23,KVD!$E$23,KVD!$F$23,$A15)</f>
        <v>3.2062032668028428E-2</v>
      </c>
      <c r="D15" s="3">
        <f t="shared" si="0"/>
        <v>3.2587277093724769E-2</v>
      </c>
      <c r="E15" s="3">
        <f t="shared" si="1"/>
        <v>30.68682287028415</v>
      </c>
      <c r="F15" s="32">
        <f t="shared" si="6"/>
        <v>1.7182277426250357E-2</v>
      </c>
      <c r="G15" s="8">
        <f>1-GEVCUM(KVD!$D$24,KVD!$E$24,KVD!$F$24,$A15)</f>
        <v>9.4250874930082218E-2</v>
      </c>
      <c r="H15" s="3">
        <f t="shared" si="2"/>
        <v>9.8992915180458357E-2</v>
      </c>
      <c r="I15" s="3">
        <f t="shared" si="3"/>
        <v>10.101733019752553</v>
      </c>
      <c r="J15" s="13">
        <f t="shared" si="7"/>
        <v>4.8507779856246144E-2</v>
      </c>
      <c r="K15" s="8">
        <f>1-GEVCUM(KVD!$D$25,KVD!$E$25,KVD!$F$25,$A15)</f>
        <v>0.29442773097418951</v>
      </c>
      <c r="L15" s="3">
        <f t="shared" si="8"/>
        <v>0.34874607632914595</v>
      </c>
      <c r="M15" s="3">
        <f t="shared" si="9"/>
        <v>2.8674157728908805</v>
      </c>
      <c r="N15" s="13">
        <f t="shared" si="14"/>
        <v>0.14552396231946169</v>
      </c>
      <c r="O15" s="8">
        <f>1-GEVCUM(KVD!$D$26,KVD!$E$26,KVD!$F$26,$A15)</f>
        <v>0.70166842528549234</v>
      </c>
      <c r="P15" s="3">
        <f t="shared" si="10"/>
        <v>1.209549744204472</v>
      </c>
      <c r="Q15" s="3">
        <f t="shared" si="11"/>
        <v>0.82675392623699484</v>
      </c>
      <c r="R15" s="13">
        <f t="shared" si="15"/>
        <v>0.35890368775892378</v>
      </c>
      <c r="S15" s="8">
        <f>1-GEVCUM(KVD!$D$27,KVD!$E$27,KVD!$F$27,$A15)</f>
        <v>0.76743450793156032</v>
      </c>
      <c r="T15" s="3">
        <f t="shared" si="16"/>
        <v>1.4585834073049979</v>
      </c>
      <c r="U15" s="9">
        <f t="shared" si="17"/>
        <v>0.68559672007217232</v>
      </c>
      <c r="V15" s="32">
        <f t="shared" si="18"/>
        <v>0.39777737396347668</v>
      </c>
    </row>
    <row r="16" spans="1:22" x14ac:dyDescent="0.25">
      <c r="A16" s="23">
        <f t="shared" si="4"/>
        <v>77.5</v>
      </c>
      <c r="B16" s="13">
        <f t="shared" si="5"/>
        <v>75</v>
      </c>
      <c r="C16" s="8">
        <f>1-GEVCUM(KVD!$D$23,KVD!$E$23,KVD!$F$23,$A16)</f>
        <v>2.1377842908650302E-2</v>
      </c>
      <c r="D16" s="3">
        <f t="shared" si="0"/>
        <v>2.16096587613697E-2</v>
      </c>
      <c r="E16" s="3">
        <f t="shared" si="1"/>
        <v>46.275603471704997</v>
      </c>
      <c r="F16" s="32">
        <f t="shared" si="6"/>
        <v>1.0977618332355069E-2</v>
      </c>
      <c r="G16" s="8">
        <f>1-GEVCUM(KVD!$D$24,KVD!$E$24,KVD!$F$24,$A16)</f>
        <v>6.482250214793206E-2</v>
      </c>
      <c r="H16" s="3">
        <f t="shared" si="2"/>
        <v>6.7018930435326418E-2</v>
      </c>
      <c r="I16" s="3">
        <f t="shared" si="3"/>
        <v>14.921157253695725</v>
      </c>
      <c r="J16" s="13">
        <f t="shared" si="7"/>
        <v>3.1973984745131953E-2</v>
      </c>
      <c r="K16" s="8">
        <f>1-GEVCUM(KVD!$D$25,KVD!$E$25,KVD!$F$25,$A16)</f>
        <v>0.21864196565480742</v>
      </c>
      <c r="L16" s="3">
        <f t="shared" si="8"/>
        <v>0.24672180353002501</v>
      </c>
      <c r="M16" s="3">
        <f t="shared" si="9"/>
        <v>4.0531480626855263</v>
      </c>
      <c r="N16" s="13">
        <f t="shared" si="14"/>
        <v>0.10202427279912091</v>
      </c>
      <c r="O16" s="8">
        <f>1-GEVCUM(KVD!$D$26,KVD!$E$26,KVD!$F$26,$A16)</f>
        <v>0.60538521772074749</v>
      </c>
      <c r="P16" s="3">
        <f t="shared" si="10"/>
        <v>0.92984522466788266</v>
      </c>
      <c r="Q16" s="3">
        <f t="shared" si="11"/>
        <v>1.0754477986991597</v>
      </c>
      <c r="R16" s="13">
        <f t="shared" si="15"/>
        <v>0.27970451953658937</v>
      </c>
      <c r="S16" s="8">
        <f>1-GEVCUM(KVD!$D$27,KVD!$E$27,KVD!$F$27,$A16)</f>
        <v>0.68075143298124274</v>
      </c>
      <c r="T16" s="3">
        <f t="shared" si="16"/>
        <v>1.1417852726660702</v>
      </c>
      <c r="U16" s="9">
        <f t="shared" si="17"/>
        <v>0.87582142101465243</v>
      </c>
      <c r="V16" s="32">
        <f t="shared" si="18"/>
        <v>0.3167981346389277</v>
      </c>
    </row>
    <row r="17" spans="1:22" x14ac:dyDescent="0.25">
      <c r="A17" s="23">
        <f t="shared" si="4"/>
        <v>82.5</v>
      </c>
      <c r="B17" s="13">
        <f t="shared" si="5"/>
        <v>80</v>
      </c>
      <c r="C17" s="8">
        <f>1-GEVCUM(KVD!$D$23,KVD!$E$23,KVD!$F$23,$A17)</f>
        <v>1.4397818336448487E-2</v>
      </c>
      <c r="D17" s="3">
        <f t="shared" si="0"/>
        <v>1.4502472666825594E-2</v>
      </c>
      <c r="E17" s="3">
        <f t="shared" si="1"/>
        <v>68.953758643345012</v>
      </c>
      <c r="F17" s="32">
        <f t="shared" si="6"/>
        <v>7.1071860945441066E-3</v>
      </c>
      <c r="G17" s="8">
        <f>1-GEVCUM(KVD!$D$24,KVD!$E$24,KVD!$F$24,$A17)</f>
        <v>4.4721394897849653E-2</v>
      </c>
      <c r="H17" s="3">
        <f t="shared" si="2"/>
        <v>4.5752247955973685E-2</v>
      </c>
      <c r="I17" s="3">
        <f t="shared" si="3"/>
        <v>21.856849546764927</v>
      </c>
      <c r="J17" s="13">
        <f t="shared" si="7"/>
        <v>2.1266682479352733E-2</v>
      </c>
      <c r="K17" s="8">
        <f>1-GEVCUM(KVD!$D$25,KVD!$E$25,KVD!$F$25,$A17)</f>
        <v>0.1605441334480866</v>
      </c>
      <c r="L17" s="3">
        <f t="shared" si="8"/>
        <v>0.17500137495792983</v>
      </c>
      <c r="M17" s="3">
        <f t="shared" si="9"/>
        <v>5.7142408180529953</v>
      </c>
      <c r="N17" s="13">
        <f t="shared" si="14"/>
        <v>7.1720428572095207E-2</v>
      </c>
      <c r="O17" s="8">
        <f>1-GEVCUM(KVD!$D$26,KVD!$E$26,KVD!$F$26,$A17)</f>
        <v>0.50959473712698833</v>
      </c>
      <c r="P17" s="3">
        <f t="shared" si="10"/>
        <v>0.7125231626212043</v>
      </c>
      <c r="Q17" s="3">
        <f t="shared" si="11"/>
        <v>1.4034631468277274</v>
      </c>
      <c r="R17" s="13">
        <f t="shared" si="15"/>
        <v>0.21732206204667837</v>
      </c>
      <c r="S17" s="8">
        <f>1-GEVCUM(KVD!$D$27,KVD!$E$27,KVD!$F$27,$A17)</f>
        <v>0.58949678145920825</v>
      </c>
      <c r="T17" s="3">
        <f t="shared" si="16"/>
        <v>0.89037150958253042</v>
      </c>
      <c r="U17" s="9">
        <f t="shared" si="17"/>
        <v>1.1231266827808442</v>
      </c>
      <c r="V17" s="32">
        <f t="shared" si="18"/>
        <v>0.2514137630835398</v>
      </c>
    </row>
    <row r="18" spans="1:22" x14ac:dyDescent="0.25">
      <c r="A18" s="23">
        <f t="shared" si="4"/>
        <v>87.5</v>
      </c>
      <c r="B18" s="13">
        <f t="shared" si="5"/>
        <v>85</v>
      </c>
      <c r="C18" s="8">
        <f>1-GEVCUM(KVD!$D$23,KVD!$E$23,KVD!$F$23,$A18)</f>
        <v>9.7949202408253999E-3</v>
      </c>
      <c r="D18" s="3">
        <f t="shared" ref="D18:D22" si="19">-LN(1-C18)</f>
        <v>9.8432060344700225E-3</v>
      </c>
      <c r="E18" s="3">
        <f t="shared" ref="E18:E22" si="20">1/D18</f>
        <v>101.59291561083755</v>
      </c>
      <c r="F18" s="32">
        <f t="shared" si="6"/>
        <v>4.6592666323555711E-3</v>
      </c>
      <c r="G18" s="8">
        <f>1-GEVCUM(KVD!$D$24,KVD!$E$24,KVD!$F$24,$A18)</f>
        <v>3.0994061934271344E-2</v>
      </c>
      <c r="H18" s="3">
        <f t="shared" si="2"/>
        <v>3.1484539075339456E-2</v>
      </c>
      <c r="I18" s="3">
        <f t="shared" si="3"/>
        <v>31.761621080337139</v>
      </c>
      <c r="J18" s="13">
        <f t="shared" si="7"/>
        <v>1.4267708880634229E-2</v>
      </c>
      <c r="K18" s="8">
        <f>1-GEVCUM(KVD!$D$25,KVD!$E$25,KVD!$F$25,$A18)</f>
        <v>0.11701738400627348</v>
      </c>
      <c r="L18" s="3">
        <f t="shared" si="8"/>
        <v>0.12444976600830047</v>
      </c>
      <c r="M18" s="3">
        <f t="shared" si="9"/>
        <v>8.0353706726399352</v>
      </c>
      <c r="N18" s="13">
        <f t="shared" si="14"/>
        <v>5.0551608949629345E-2</v>
      </c>
      <c r="O18" s="8">
        <f>1-GEVCUM(KVD!$D$26,KVD!$E$26,KVD!$F$26,$A18)</f>
        <v>0.41969087329986465</v>
      </c>
      <c r="P18" s="3">
        <f t="shared" si="10"/>
        <v>0.54419434035430481</v>
      </c>
      <c r="Q18" s="3">
        <f t="shared" si="11"/>
        <v>1.8375788313949333</v>
      </c>
      <c r="R18" s="13">
        <f t="shared" si="15"/>
        <v>0.16832882226689949</v>
      </c>
      <c r="S18" s="8">
        <f>1-GEVCUM(KVD!$D$27,KVD!$E$27,KVD!$F$27,$A18)</f>
        <v>0.49921280061967899</v>
      </c>
      <c r="T18" s="3">
        <f t="shared" si="16"/>
        <v>0.69157401986572886</v>
      </c>
      <c r="U18" s="9">
        <f t="shared" si="17"/>
        <v>1.4459768170501155</v>
      </c>
      <c r="V18" s="32">
        <f t="shared" si="18"/>
        <v>0.19879748971680156</v>
      </c>
    </row>
    <row r="19" spans="1:22" x14ac:dyDescent="0.25">
      <c r="A19" s="23">
        <f t="shared" si="4"/>
        <v>92.5</v>
      </c>
      <c r="B19" s="13">
        <f t="shared" si="5"/>
        <v>90</v>
      </c>
      <c r="C19" s="8">
        <f>1-GEVCUM(KVD!$D$23,KVD!$E$23,KVD!$F$23,$A19)</f>
        <v>6.7297099182942466E-3</v>
      </c>
      <c r="D19" s="3">
        <f t="shared" si="19"/>
        <v>6.7524565255702032E-3</v>
      </c>
      <c r="E19" s="3">
        <f t="shared" si="20"/>
        <v>148.09425224926659</v>
      </c>
      <c r="F19" s="32">
        <f t="shared" si="6"/>
        <v>3.0907495088998184E-3</v>
      </c>
      <c r="G19" s="8">
        <f>1-GEVCUM(KVD!$D$24,KVD!$E$24,KVD!$F$24,$A19)</f>
        <v>2.1596213166823697E-2</v>
      </c>
      <c r="H19" s="3">
        <f t="shared" si="2"/>
        <v>2.1832824182101702E-2</v>
      </c>
      <c r="I19" s="3">
        <f t="shared" si="3"/>
        <v>45.802594829659668</v>
      </c>
      <c r="J19" s="13">
        <f t="shared" si="7"/>
        <v>9.6517148932377533E-3</v>
      </c>
      <c r="K19" s="8">
        <f>1-GEVCUM(KVD!$D$25,KVD!$E$25,KVD!$F$25,$A19)</f>
        <v>8.4903321309892199E-2</v>
      </c>
      <c r="L19" s="3">
        <f t="shared" si="8"/>
        <v>8.8725559517606523E-2</v>
      </c>
      <c r="M19" s="3">
        <f t="shared" si="9"/>
        <v>11.270709426200485</v>
      </c>
      <c r="N19" s="13">
        <f t="shared" si="14"/>
        <v>3.5724206490693966E-2</v>
      </c>
      <c r="O19" s="8">
        <f>1-GEVCUM(KVD!$D$26,KVD!$E$26,KVD!$F$26,$A19)</f>
        <v>0.3391499477487887</v>
      </c>
      <c r="P19" s="3">
        <f t="shared" si="10"/>
        <v>0.41422831471165078</v>
      </c>
      <c r="Q19" s="3">
        <f t="shared" si="11"/>
        <v>2.4141275825051016</v>
      </c>
      <c r="R19" s="13">
        <f t="shared" si="15"/>
        <v>0.12996602564265397</v>
      </c>
      <c r="S19" s="8">
        <f>1-GEVCUM(KVD!$D$27,KVD!$E$27,KVD!$F$27,$A19)</f>
        <v>0.41431431304898381</v>
      </c>
      <c r="T19" s="3">
        <f t="shared" si="16"/>
        <v>0.53497200369393727</v>
      </c>
      <c r="U19" s="9">
        <f t="shared" si="17"/>
        <v>1.8692566958552654</v>
      </c>
      <c r="V19" s="32">
        <f t="shared" si="18"/>
        <v>0.15660201617179159</v>
      </c>
    </row>
    <row r="20" spans="1:22" x14ac:dyDescent="0.25">
      <c r="A20" s="23">
        <f t="shared" si="4"/>
        <v>97.5</v>
      </c>
      <c r="B20" s="13">
        <f t="shared" si="5"/>
        <v>95</v>
      </c>
      <c r="C20" s="8">
        <f>1-GEVCUM(KVD!$D$23,KVD!$E$23,KVD!$F$23,$A20)</f>
        <v>4.6682492622062144E-3</v>
      </c>
      <c r="D20" s="3">
        <f t="shared" si="19"/>
        <v>4.6791795679875306E-3</v>
      </c>
      <c r="E20" s="3">
        <f t="shared" si="20"/>
        <v>213.71267878699732</v>
      </c>
      <c r="F20" s="32">
        <f t="shared" si="6"/>
        <v>2.0732769575826735E-3</v>
      </c>
      <c r="G20" s="8">
        <f>1-GEVCUM(KVD!$D$24,KVD!$E$24,KVD!$F$24,$A20)</f>
        <v>1.5135919934356035E-2</v>
      </c>
      <c r="H20" s="3">
        <f t="shared" si="2"/>
        <v>1.5251637112586047E-2</v>
      </c>
      <c r="I20" s="3">
        <f t="shared" si="3"/>
        <v>65.566731795288661</v>
      </c>
      <c r="J20" s="13">
        <f t="shared" si="7"/>
        <v>6.5811870695156576E-3</v>
      </c>
      <c r="K20" s="8">
        <f>1-GEVCUM(KVD!$D$25,KVD!$E$25,KVD!$F$25,$A20)</f>
        <v>6.1445718567789576E-2</v>
      </c>
      <c r="L20" s="3">
        <f t="shared" si="8"/>
        <v>6.3414586128197253E-2</v>
      </c>
      <c r="M20" s="3">
        <f t="shared" si="9"/>
        <v>15.769242709846381</v>
      </c>
      <c r="N20" s="13">
        <f t="shared" si="14"/>
        <v>2.5310973389409269E-2</v>
      </c>
      <c r="O20" s="8">
        <f>1-GEVCUM(KVD!$D$26,KVD!$E$26,KVD!$F$26,$A20)</f>
        <v>0.26963378896084444</v>
      </c>
      <c r="P20" s="3">
        <f t="shared" si="10"/>
        <v>0.3142092116707409</v>
      </c>
      <c r="Q20" s="3">
        <f t="shared" si="11"/>
        <v>3.1825928803382686</v>
      </c>
      <c r="R20" s="13">
        <f t="shared" si="15"/>
        <v>0.10001910304090994</v>
      </c>
      <c r="S20" s="8">
        <f>1-GEVCUM(KVD!$D$27,KVD!$E$27,KVD!$F$27,$A20)</f>
        <v>0.33773405047759486</v>
      </c>
      <c r="T20" s="3">
        <f t="shared" si="16"/>
        <v>0.41208806728092762</v>
      </c>
      <c r="U20" s="9">
        <f t="shared" si="17"/>
        <v>2.4266657527801758</v>
      </c>
      <c r="V20" s="32">
        <f t="shared" si="18"/>
        <v>0.12288393641300965</v>
      </c>
    </row>
    <row r="21" spans="1:22" x14ac:dyDescent="0.25">
      <c r="A21" s="23">
        <f t="shared" si="4"/>
        <v>102.5</v>
      </c>
      <c r="B21" s="13">
        <f t="shared" si="5"/>
        <v>100</v>
      </c>
      <c r="C21" s="8">
        <f>1-GEVCUM(KVD!$D$23,KVD!$E$23,KVD!$F$23,$A21)</f>
        <v>3.2682935028655047E-3</v>
      </c>
      <c r="D21" s="3">
        <f t="shared" si="19"/>
        <v>3.2736460396987502E-3</v>
      </c>
      <c r="E21" s="3">
        <f t="shared" si="20"/>
        <v>305.46979968916332</v>
      </c>
      <c r="F21" s="32">
        <f t="shared" si="6"/>
        <v>1.4055335282887804E-3</v>
      </c>
      <c r="G21" s="8">
        <f>1-GEVCUM(KVD!$D$24,KVD!$E$24,KVD!$F$24,$A21)</f>
        <v>1.0672429880070222E-2</v>
      </c>
      <c r="H21" s="3">
        <f t="shared" si="2"/>
        <v>1.0729788730418388E-2</v>
      </c>
      <c r="I21" s="3">
        <f t="shared" si="3"/>
        <v>93.198479963081894</v>
      </c>
      <c r="J21" s="13">
        <f t="shared" si="7"/>
        <v>4.5218483821676571E-3</v>
      </c>
      <c r="K21" s="8">
        <f>1-GEVCUM(KVD!$D$25,KVD!$E$25,KVD!$F$25,$A21)</f>
        <v>4.4419173551177193E-2</v>
      </c>
      <c r="L21" s="3">
        <f t="shared" si="8"/>
        <v>4.5435928142802354E-2</v>
      </c>
      <c r="M21" s="3">
        <f t="shared" si="9"/>
        <v>22.009014471038448</v>
      </c>
      <c r="N21" s="13">
        <f t="shared" si="14"/>
        <v>1.79786579853949E-2</v>
      </c>
      <c r="O21" s="8">
        <f>1-GEVCUM(KVD!$D$26,KVD!$E$26,KVD!$F$26,$A21)</f>
        <v>0.21139836529523715</v>
      </c>
      <c r="P21" s="3">
        <f t="shared" si="10"/>
        <v>0.23749398462069427</v>
      </c>
      <c r="Q21" s="3">
        <f t="shared" si="11"/>
        <v>4.2106329623342553</v>
      </c>
      <c r="R21" s="13">
        <f t="shared" si="15"/>
        <v>7.671522705004663E-2</v>
      </c>
      <c r="S21" s="8">
        <f>1-GEVCUM(KVD!$D$27,KVD!$E$27,KVD!$F$27,$A21)</f>
        <v>0.2709762212412874</v>
      </c>
      <c r="T21" s="3">
        <f t="shared" si="16"/>
        <v>0.31604892918073624</v>
      </c>
      <c r="U21" s="9">
        <f t="shared" si="17"/>
        <v>3.1640670404807429</v>
      </c>
      <c r="V21" s="32">
        <f t="shared" si="18"/>
        <v>9.6039138100191379E-2</v>
      </c>
    </row>
    <row r="22" spans="1:22" x14ac:dyDescent="0.25">
      <c r="A22" s="23">
        <f t="shared" si="4"/>
        <v>107.5</v>
      </c>
      <c r="B22" s="13">
        <f t="shared" si="5"/>
        <v>105</v>
      </c>
      <c r="C22" s="8">
        <f>1-GEVCUM(KVD!$D$23,KVD!$E$23,KVD!$F$23,$A22)</f>
        <v>2.308526573182812E-3</v>
      </c>
      <c r="D22" s="3">
        <f t="shared" si="19"/>
        <v>2.3111953287055032E-3</v>
      </c>
      <c r="E22" s="3">
        <f t="shared" si="20"/>
        <v>432.67654082707861</v>
      </c>
      <c r="F22" s="32">
        <f t="shared" si="6"/>
        <v>3.2736460396987502E-3</v>
      </c>
      <c r="G22" s="8">
        <f>1-GEVCUM(KVD!$D$24,KVD!$E$24,KVD!$F$24,$A22)</f>
        <v>7.5712265466992834E-3</v>
      </c>
      <c r="H22" s="3">
        <f t="shared" si="2"/>
        <v>7.600033778575337E-3</v>
      </c>
      <c r="I22" s="3">
        <f t="shared" si="3"/>
        <v>131.57836256189046</v>
      </c>
      <c r="J22" s="13">
        <f t="shared" si="7"/>
        <v>3.1297549518430508E-3</v>
      </c>
      <c r="K22" s="8">
        <f>1-GEVCUM(KVD!$D$25,KVD!$E$25,KVD!$F$25,$A22)</f>
        <v>3.2106789789587697E-2</v>
      </c>
      <c r="L22" s="3">
        <f t="shared" si="8"/>
        <v>3.2633517821827995E-2</v>
      </c>
      <c r="M22" s="3">
        <f t="shared" si="9"/>
        <v>30.643340551263442</v>
      </c>
      <c r="N22" s="13">
        <f t="shared" si="14"/>
        <v>1.2802410320974358E-2</v>
      </c>
      <c r="O22" s="8">
        <f>1-GEVCUM(KVD!$D$26,KVD!$E$26,KVD!$F$26,$A22)</f>
        <v>0.16377267752522462</v>
      </c>
      <c r="P22" s="3">
        <f t="shared" si="10"/>
        <v>0.17885478602426216</v>
      </c>
      <c r="Q22" s="3">
        <f t="shared" si="11"/>
        <v>5.5911279884025422</v>
      </c>
      <c r="R22" s="13">
        <f t="shared" si="15"/>
        <v>5.8639198596432102E-2</v>
      </c>
      <c r="S22" s="8">
        <f>1-GEVCUM(KVD!$D$27,KVD!$E$27,KVD!$F$27,$A22)</f>
        <v>0.21439503386386849</v>
      </c>
      <c r="T22" s="3">
        <f t="shared" si="16"/>
        <v>0.24130120050548204</v>
      </c>
      <c r="U22" s="9">
        <f t="shared" si="17"/>
        <v>4.1441981967150694</v>
      </c>
      <c r="V22" s="32">
        <f t="shared" si="18"/>
        <v>7.4747728675254199E-2</v>
      </c>
    </row>
    <row r="23" spans="1:22" x14ac:dyDescent="0.25">
      <c r="A23" s="23">
        <f t="shared" si="4"/>
        <v>112.5</v>
      </c>
      <c r="B23" s="13">
        <f t="shared" si="5"/>
        <v>110</v>
      </c>
      <c r="C23" s="8"/>
      <c r="D23" s="3"/>
      <c r="E23" s="3"/>
      <c r="F23" s="32"/>
      <c r="G23" s="8">
        <f>1-GEVCUM(KVD!$D$24,KVD!$E$24,KVD!$F$24,$A23)</f>
        <v>5.4038297921363831E-3</v>
      </c>
      <c r="H23" s="3">
        <f t="shared" ref="H23" si="21">-LN(1-G23)</f>
        <v>5.4184832942093912E-3</v>
      </c>
      <c r="I23" s="3">
        <f t="shared" ref="I23" si="22">1/H23</f>
        <v>184.55348954728291</v>
      </c>
      <c r="J23" s="13">
        <f t="shared" si="7"/>
        <v>7.600033778575337E-3</v>
      </c>
      <c r="K23" s="8">
        <f>1-GEVCUM(KVD!$D$25,KVD!$E$25,KVD!$F$25,$A23)</f>
        <v>2.3220715345974585E-2</v>
      </c>
      <c r="L23" s="3">
        <f t="shared" si="8"/>
        <v>2.3494563767170133E-2</v>
      </c>
      <c r="M23" s="3">
        <f t="shared" si="9"/>
        <v>42.563037556685302</v>
      </c>
      <c r="N23" s="13">
        <f t="shared" si="14"/>
        <v>9.1389540546578628E-3</v>
      </c>
      <c r="O23" s="8">
        <f>1-GEVCUM(KVD!$D$26,KVD!$E$26,KVD!$F$26,$A23)</f>
        <v>0.12557628052735748</v>
      </c>
      <c r="P23" s="3">
        <f t="shared" si="10"/>
        <v>0.13419021591791624</v>
      </c>
      <c r="Q23" s="3">
        <f t="shared" si="11"/>
        <v>7.4521081373898159</v>
      </c>
      <c r="R23" s="13">
        <f t="shared" si="15"/>
        <v>4.4664570106345919E-2</v>
      </c>
      <c r="S23" s="8">
        <f>1-GEVCUM(KVD!$D$27,KVD!$E$27,KVD!$F$27,$A23)</f>
        <v>0.16754323799397264</v>
      </c>
      <c r="T23" s="3">
        <f t="shared" si="16"/>
        <v>0.18337399600663584</v>
      </c>
      <c r="U23" s="9">
        <f t="shared" si="17"/>
        <v>5.4533359242703776</v>
      </c>
      <c r="V23" s="32">
        <f t="shared" si="18"/>
        <v>5.7927204498846196E-2</v>
      </c>
    </row>
    <row r="24" spans="1:22" x14ac:dyDescent="0.25">
      <c r="A24" s="23">
        <f t="shared" si="4"/>
        <v>117.5</v>
      </c>
      <c r="B24" s="13">
        <f t="shared" si="5"/>
        <v>115</v>
      </c>
      <c r="C24" s="8"/>
      <c r="D24" s="3"/>
      <c r="E24" s="3"/>
      <c r="F24" s="32"/>
      <c r="G24" s="8"/>
      <c r="H24" s="3"/>
      <c r="I24" s="3"/>
      <c r="J24" s="13"/>
      <c r="K24" s="8">
        <f>1-GEVCUM(KVD!$D$25,KVD!$E$25,KVD!$F$25,$A24)</f>
        <v>1.6811964538664959E-2</v>
      </c>
      <c r="L24" s="3">
        <f t="shared" si="8"/>
        <v>1.6954889781841329E-2</v>
      </c>
      <c r="M24" s="3">
        <f t="shared" si="9"/>
        <v>58.980035427360846</v>
      </c>
      <c r="N24" s="13">
        <f t="shared" si="14"/>
        <v>6.539673985328804E-3</v>
      </c>
      <c r="O24" s="8">
        <f>1-GEVCUM(KVD!$D$26,KVD!$E$26,KVD!$F$26,$A24)</f>
        <v>9.5427503186384932E-2</v>
      </c>
      <c r="P24" s="3">
        <f t="shared" si="10"/>
        <v>0.10029282609989407</v>
      </c>
      <c r="Q24" s="3">
        <f t="shared" si="11"/>
        <v>9.9708028867785217</v>
      </c>
      <c r="R24" s="13">
        <f t="shared" si="15"/>
        <v>3.3897389818022178E-2</v>
      </c>
      <c r="S24" s="8">
        <f>1-GEVCUM(KVD!$D$27,KVD!$E$27,KVD!$F$27,$A24)</f>
        <v>0.12949455015950495</v>
      </c>
      <c r="T24" s="3">
        <f t="shared" si="16"/>
        <v>0.13868125920705182</v>
      </c>
      <c r="U24" s="9">
        <f t="shared" si="17"/>
        <v>7.2107796375499804</v>
      </c>
      <c r="V24" s="32">
        <f t="shared" si="18"/>
        <v>4.4692736799584021E-2</v>
      </c>
    </row>
    <row r="25" spans="1:22" x14ac:dyDescent="0.25">
      <c r="A25" s="23">
        <f t="shared" si="4"/>
        <v>122.5</v>
      </c>
      <c r="B25" s="13">
        <f t="shared" si="5"/>
        <v>120</v>
      </c>
      <c r="C25" s="8"/>
      <c r="D25" s="3"/>
      <c r="E25" s="3"/>
      <c r="F25" s="32"/>
      <c r="G25" s="8"/>
      <c r="H25" s="3"/>
      <c r="I25" s="3"/>
      <c r="J25" s="13"/>
      <c r="K25" s="8">
        <f>1-GEVCUM(KVD!$D$25,KVD!$E$25,KVD!$F$25,$A25)</f>
        <v>1.2189101172759287E-2</v>
      </c>
      <c r="L25" s="3">
        <f t="shared" si="8"/>
        <v>1.2263997501330949E-2</v>
      </c>
      <c r="M25" s="3">
        <f t="shared" si="9"/>
        <v>81.539481713974183</v>
      </c>
      <c r="N25" s="13">
        <f t="shared" si="14"/>
        <v>1.6954889781841329E-2</v>
      </c>
      <c r="O25" s="8">
        <f>1-GEVCUM(KVD!$D$26,KVD!$E$26,KVD!$F$26,$A25)</f>
        <v>7.1943301674314286E-2</v>
      </c>
      <c r="P25" s="3">
        <f t="shared" si="10"/>
        <v>7.4662450728589499E-2</v>
      </c>
      <c r="Q25" s="3">
        <f t="shared" si="11"/>
        <v>13.393613392562846</v>
      </c>
      <c r="R25" s="13">
        <f t="shared" si="15"/>
        <v>2.5630375371304567E-2</v>
      </c>
      <c r="S25" s="8">
        <f>1-GEVCUM(KVD!$D$27,KVD!$E$27,KVD!$F$27,$A25)</f>
        <v>9.9096988255777063E-2</v>
      </c>
      <c r="T25" s="3">
        <f t="shared" si="16"/>
        <v>0.10435767229090022</v>
      </c>
      <c r="U25" s="9">
        <f t="shared" si="17"/>
        <v>9.5824291405472248</v>
      </c>
      <c r="V25" s="32">
        <f t="shared" si="18"/>
        <v>3.4323586916151588E-2</v>
      </c>
    </row>
    <row r="26" spans="1:22" x14ac:dyDescent="0.25">
      <c r="A26" s="23">
        <f t="shared" si="4"/>
        <v>127.5</v>
      </c>
      <c r="B26" s="13">
        <f t="shared" si="5"/>
        <v>125</v>
      </c>
      <c r="C26" s="8"/>
      <c r="D26" s="3"/>
      <c r="E26" s="3"/>
      <c r="F26" s="32"/>
      <c r="G26" s="8"/>
      <c r="H26" s="3"/>
      <c r="I26" s="3"/>
      <c r="J26" s="13"/>
      <c r="K26" s="8"/>
      <c r="L26" s="3"/>
      <c r="M26" s="3"/>
      <c r="N26" s="13"/>
      <c r="O26" s="8">
        <f>1-GEVCUM(KVD!$D$26,KVD!$E$26,KVD!$F$26,$A26)</f>
        <v>5.3852466267533705E-2</v>
      </c>
      <c r="P26" s="3">
        <f t="shared" si="10"/>
        <v>5.5356766770293601E-2</v>
      </c>
      <c r="Q26" s="3">
        <f t="shared" si="11"/>
        <v>18.064638857062643</v>
      </c>
      <c r="R26" s="13">
        <f t="shared" si="15"/>
        <v>1.9305683958295891E-2</v>
      </c>
      <c r="S26" s="8">
        <f>1-GEVCUM(KVD!$D$27,KVD!$E$27,KVD!$F$27,$A26)</f>
        <v>7.5149231114310489E-2</v>
      </c>
      <c r="T26" s="3">
        <f t="shared" si="16"/>
        <v>7.8122885419336624E-2</v>
      </c>
      <c r="U26" s="9">
        <f t="shared" si="17"/>
        <v>12.800346462273454</v>
      </c>
      <c r="V26" s="32">
        <f t="shared" si="18"/>
        <v>2.6234786871563609E-2</v>
      </c>
    </row>
    <row r="27" spans="1:22" x14ac:dyDescent="0.25">
      <c r="A27" s="23">
        <f t="shared" si="4"/>
        <v>132.5</v>
      </c>
      <c r="B27" s="13">
        <f t="shared" si="5"/>
        <v>130</v>
      </c>
      <c r="C27" s="8"/>
      <c r="D27" s="3"/>
      <c r="E27" s="3"/>
      <c r="F27" s="32"/>
      <c r="G27" s="8"/>
      <c r="H27" s="3"/>
      <c r="I27" s="3"/>
      <c r="J27" s="13"/>
      <c r="K27" s="8"/>
      <c r="L27" s="3"/>
      <c r="M27" s="3"/>
      <c r="N27" s="13"/>
      <c r="O27" s="8">
        <f>1-GEVCUM(KVD!$D$26,KVD!$E$26,KVD!$F$26,$A27)</f>
        <v>4.0048019935017165E-2</v>
      </c>
      <c r="P27" s="3">
        <f t="shared" si="10"/>
        <v>4.087201653697823E-2</v>
      </c>
      <c r="Q27" s="3">
        <f t="shared" si="11"/>
        <v>24.46661762076916</v>
      </c>
      <c r="R27" s="13">
        <f t="shared" si="15"/>
        <v>1.4484750233315379E-2</v>
      </c>
      <c r="S27" s="8">
        <f>1-GEVCUM(KVD!$D$27,KVD!$E$27,KVD!$F$27,$A27)</f>
        <v>5.6510038868545331E-2</v>
      </c>
      <c r="T27" s="3">
        <f t="shared" si="16"/>
        <v>5.8169554260392393E-2</v>
      </c>
      <c r="U27" s="9">
        <f t="shared" si="17"/>
        <v>17.191123650760019</v>
      </c>
      <c r="V27" s="32">
        <f t="shared" si="18"/>
        <v>1.9953331158944224E-2</v>
      </c>
    </row>
    <row r="28" spans="1:22" x14ac:dyDescent="0.25">
      <c r="A28" s="23">
        <f t="shared" si="4"/>
        <v>137.5</v>
      </c>
      <c r="B28" s="13">
        <f t="shared" si="5"/>
        <v>135</v>
      </c>
      <c r="C28" s="8"/>
      <c r="D28" s="3"/>
      <c r="E28" s="3"/>
      <c r="F28" s="32"/>
      <c r="G28" s="8"/>
      <c r="H28" s="3"/>
      <c r="I28" s="3"/>
      <c r="J28" s="13"/>
      <c r="K28" s="8"/>
      <c r="L28" s="3"/>
      <c r="M28" s="3"/>
      <c r="N28" s="13"/>
      <c r="O28" s="8">
        <f>1-GEVCUM(KVD!$D$26,KVD!$E$26,KVD!$F$26,$A28)</f>
        <v>2.9601140610234111E-2</v>
      </c>
      <c r="P28" s="3">
        <f t="shared" si="10"/>
        <v>3.0048096755124841E-2</v>
      </c>
      <c r="Q28" s="3">
        <f t="shared" si="11"/>
        <v>33.279978034863234</v>
      </c>
      <c r="R28" s="13">
        <f t="shared" si="15"/>
        <v>1.0823919781853385E-2</v>
      </c>
      <c r="S28" s="8">
        <f>1-GEVCUM(KVD!$D$27,KVD!$E$27,KVD!$F$27,$A28)</f>
        <v>4.2156936462865446E-2</v>
      </c>
      <c r="T28" s="3">
        <f t="shared" si="16"/>
        <v>4.30713311977916E-2</v>
      </c>
      <c r="U28" s="9">
        <f t="shared" si="17"/>
        <v>23.21729958630285</v>
      </c>
      <c r="V28" s="32">
        <f t="shared" si="18"/>
        <v>1.50982230626008E-2</v>
      </c>
    </row>
    <row r="29" spans="1:22" x14ac:dyDescent="0.25">
      <c r="A29" s="23">
        <f t="shared" si="4"/>
        <v>142.5</v>
      </c>
      <c r="B29" s="13">
        <f t="shared" si="5"/>
        <v>140</v>
      </c>
      <c r="C29" s="8"/>
      <c r="D29" s="3"/>
      <c r="E29" s="3"/>
      <c r="F29" s="32"/>
      <c r="G29" s="8"/>
      <c r="H29" s="3"/>
      <c r="I29" s="3"/>
      <c r="J29" s="13"/>
      <c r="K29" s="8"/>
      <c r="L29" s="3"/>
      <c r="M29" s="3"/>
      <c r="N29" s="13"/>
      <c r="O29" s="8">
        <f>1-GEVCUM(KVD!$D$26,KVD!$E$26,KVD!$F$26,$A29)</f>
        <v>2.1753185914273776E-2</v>
      </c>
      <c r="P29" s="3">
        <f t="shared" si="10"/>
        <v>2.1993274645473269E-2</v>
      </c>
      <c r="Q29" s="3">
        <f t="shared" si="11"/>
        <v>45.468445064219821</v>
      </c>
      <c r="R29" s="13">
        <f t="shared" si="15"/>
        <v>8.0548221096515757E-3</v>
      </c>
      <c r="S29" s="8">
        <f>1-GEVCUM(KVD!$D$27,KVD!$E$27,KVD!$F$27,$A29)</f>
        <v>3.1210113591242261E-2</v>
      </c>
      <c r="T29" s="3">
        <f t="shared" si="16"/>
        <v>3.1707526095062999E-2</v>
      </c>
      <c r="U29" s="9">
        <f t="shared" si="17"/>
        <v>31.538253631074181</v>
      </c>
      <c r="V29" s="32">
        <f t="shared" si="18"/>
        <v>1.1363805102728601E-2</v>
      </c>
    </row>
    <row r="30" spans="1:22" x14ac:dyDescent="0.25">
      <c r="A30" s="23">
        <f t="shared" si="4"/>
        <v>147.5</v>
      </c>
      <c r="B30" s="13">
        <f t="shared" si="5"/>
        <v>145</v>
      </c>
      <c r="C30" s="8"/>
      <c r="D30" s="3"/>
      <c r="E30" s="3"/>
      <c r="F30" s="32"/>
      <c r="G30" s="8"/>
      <c r="H30" s="3"/>
      <c r="I30" s="3"/>
      <c r="J30" s="13"/>
      <c r="K30" s="8"/>
      <c r="L30" s="3"/>
      <c r="M30" s="3"/>
      <c r="N30" s="13"/>
      <c r="O30" s="8">
        <f>1-GEVCUM(KVD!$D$26,KVD!$E$26,KVD!$F$26,$A30)</f>
        <v>1.5896953994704588E-2</v>
      </c>
      <c r="P30" s="3">
        <f t="shared" si="10"/>
        <v>1.6024665862705408E-2</v>
      </c>
      <c r="Q30" s="3">
        <f t="shared" si="11"/>
        <v>62.403797281497404</v>
      </c>
      <c r="R30" s="13">
        <f t="shared" si="15"/>
        <v>5.9686087827678612E-3</v>
      </c>
      <c r="S30" s="8">
        <f>1-GEVCUM(KVD!$D$27,KVD!$E$27,KVD!$F$27,$A30)</f>
        <v>2.2934558117582937E-2</v>
      </c>
      <c r="T30" s="3">
        <f t="shared" si="16"/>
        <v>2.3201646703136136E-2</v>
      </c>
      <c r="U30" s="9">
        <f t="shared" si="17"/>
        <v>43.100389071299468</v>
      </c>
      <c r="V30" s="32">
        <f t="shared" si="18"/>
        <v>8.5058793919268634E-3</v>
      </c>
    </row>
    <row r="31" spans="1:22" x14ac:dyDescent="0.25">
      <c r="A31" s="23">
        <f t="shared" si="4"/>
        <v>152.5</v>
      </c>
      <c r="B31" s="13">
        <f t="shared" si="5"/>
        <v>150</v>
      </c>
      <c r="C31" s="8"/>
      <c r="D31" s="3"/>
      <c r="E31" s="3"/>
      <c r="F31" s="32"/>
      <c r="G31" s="8"/>
      <c r="H31" s="3"/>
      <c r="I31" s="3"/>
      <c r="J31" s="13"/>
      <c r="K31" s="8"/>
      <c r="L31" s="3"/>
      <c r="M31" s="3"/>
      <c r="N31" s="13"/>
      <c r="O31" s="8">
        <f>1-GEVCUM(KVD!$D$26,KVD!$E$26,KVD!$F$26,$A31)</f>
        <v>1.1554064357121585E-2</v>
      </c>
      <c r="P31" s="3">
        <f t="shared" si="10"/>
        <v>1.1621331197621617E-2</v>
      </c>
      <c r="Q31" s="3">
        <f t="shared" si="11"/>
        <v>86.048661981568571</v>
      </c>
      <c r="R31" s="13">
        <f t="shared" si="15"/>
        <v>1.6024665862705408E-2</v>
      </c>
      <c r="S31" s="8">
        <f>1-GEVCUM(KVD!$D$27,KVD!$E$27,KVD!$F$27,$A31)</f>
        <v>1.6729929878030569E-2</v>
      </c>
      <c r="T31" s="3">
        <f t="shared" si="16"/>
        <v>1.6871455855179927E-2</v>
      </c>
      <c r="U31" s="9">
        <f t="shared" si="17"/>
        <v>59.271707704642267</v>
      </c>
      <c r="V31" s="32">
        <f t="shared" si="18"/>
        <v>6.3301908479562081E-3</v>
      </c>
    </row>
    <row r="32" spans="1:22" x14ac:dyDescent="0.25">
      <c r="A32" s="23">
        <f t="shared" si="4"/>
        <v>157.5</v>
      </c>
      <c r="B32" s="13">
        <f t="shared" si="5"/>
        <v>155</v>
      </c>
      <c r="C32" s="8"/>
      <c r="D32" s="3"/>
      <c r="E32" s="3"/>
      <c r="F32" s="32"/>
      <c r="G32" s="8"/>
      <c r="H32" s="3"/>
      <c r="I32" s="3"/>
      <c r="J32" s="13"/>
      <c r="K32" s="8"/>
      <c r="L32" s="3"/>
      <c r="M32" s="3"/>
      <c r="N32" s="13"/>
      <c r="O32" s="8"/>
      <c r="P32" s="3"/>
      <c r="Q32" s="3"/>
      <c r="R32" s="13"/>
      <c r="S32" s="8">
        <f>1-GEVCUM(KVD!$D$27,KVD!$E$27,KVD!$F$27,$A32)</f>
        <v>1.2114571091454751E-2</v>
      </c>
      <c r="T32" s="3">
        <f t="shared" si="16"/>
        <v>1.2188550601629209E-2</v>
      </c>
      <c r="U32" s="9">
        <f t="shared" si="17"/>
        <v>82.044209577005233</v>
      </c>
      <c r="V32" s="32">
        <f t="shared" si="18"/>
        <v>1.6871455855179927E-2</v>
      </c>
    </row>
    <row r="33" spans="1:22" x14ac:dyDescent="0.25">
      <c r="A33" s="23">
        <f t="shared" si="4"/>
        <v>162.5</v>
      </c>
      <c r="B33" s="13">
        <f t="shared" si="5"/>
        <v>160</v>
      </c>
      <c r="C33" s="8"/>
      <c r="D33" s="3"/>
      <c r="E33" s="3"/>
      <c r="F33" s="32"/>
      <c r="G33" s="8"/>
      <c r="H33" s="3"/>
      <c r="I33" s="3"/>
      <c r="J33" s="13"/>
      <c r="K33" s="8"/>
      <c r="L33" s="3"/>
      <c r="M33" s="3"/>
      <c r="N33" s="13"/>
      <c r="O33" s="8"/>
      <c r="P33" s="3"/>
      <c r="Q33" s="3"/>
      <c r="R33" s="13"/>
      <c r="S33" s="8"/>
      <c r="T33" s="3"/>
      <c r="U33" s="9"/>
      <c r="V33" s="32"/>
    </row>
    <row r="34" spans="1:22" x14ac:dyDescent="0.25">
      <c r="A34" s="23">
        <f t="shared" si="4"/>
        <v>167.5</v>
      </c>
      <c r="B34" s="13">
        <f t="shared" si="5"/>
        <v>165</v>
      </c>
      <c r="C34" s="8"/>
      <c r="D34" s="3"/>
      <c r="E34" s="3"/>
      <c r="F34" s="32"/>
      <c r="G34" s="8"/>
      <c r="H34" s="3"/>
      <c r="I34" s="3"/>
      <c r="J34" s="13"/>
      <c r="K34" s="8"/>
      <c r="L34" s="3"/>
      <c r="M34" s="3"/>
      <c r="N34" s="13"/>
      <c r="O34" s="8"/>
      <c r="P34" s="3"/>
      <c r="Q34" s="3"/>
      <c r="R34" s="13"/>
      <c r="S34" s="8"/>
      <c r="T34" s="3"/>
      <c r="U34" s="9"/>
      <c r="V34" s="32"/>
    </row>
    <row r="35" spans="1:22" x14ac:dyDescent="0.25">
      <c r="A35" s="23">
        <f t="shared" si="4"/>
        <v>172.5</v>
      </c>
      <c r="B35" s="13">
        <f t="shared" si="5"/>
        <v>170</v>
      </c>
      <c r="C35" s="8"/>
      <c r="D35" s="3"/>
      <c r="E35" s="3"/>
      <c r="F35" s="32"/>
      <c r="G35" s="8"/>
      <c r="H35" s="3"/>
      <c r="I35" s="3"/>
      <c r="J35" s="13"/>
      <c r="K35" s="8"/>
      <c r="L35" s="3"/>
      <c r="M35" s="3"/>
      <c r="N35" s="13"/>
      <c r="O35" s="8"/>
      <c r="P35" s="3"/>
      <c r="Q35" s="3"/>
      <c r="R35" s="13"/>
      <c r="S35" s="8"/>
      <c r="T35" s="3"/>
      <c r="U35" s="9"/>
      <c r="V35" s="32"/>
    </row>
    <row r="36" spans="1:22" x14ac:dyDescent="0.25">
      <c r="A36" s="23">
        <f t="shared" si="4"/>
        <v>177.5</v>
      </c>
      <c r="B36" s="13">
        <f t="shared" si="5"/>
        <v>175</v>
      </c>
      <c r="C36" s="8"/>
      <c r="D36" s="3"/>
      <c r="E36" s="3"/>
      <c r="F36" s="32"/>
      <c r="G36" s="8"/>
      <c r="H36" s="3"/>
      <c r="I36" s="3"/>
      <c r="J36" s="13"/>
      <c r="K36" s="8"/>
      <c r="L36" s="3"/>
      <c r="M36" s="3"/>
      <c r="N36" s="13"/>
      <c r="O36" s="8"/>
      <c r="P36" s="3"/>
      <c r="Q36" s="3"/>
      <c r="R36" s="13"/>
      <c r="S36" s="8"/>
      <c r="T36" s="3"/>
      <c r="U36" s="9"/>
      <c r="V36" s="32"/>
    </row>
    <row r="37" spans="1:22" x14ac:dyDescent="0.25">
      <c r="A37" s="14">
        <f t="shared" si="4"/>
        <v>182.5</v>
      </c>
      <c r="B37" s="15">
        <f t="shared" si="5"/>
        <v>180</v>
      </c>
      <c r="C37" s="10"/>
      <c r="D37" s="4"/>
      <c r="E37" s="4"/>
      <c r="F37" s="33"/>
      <c r="G37" s="10"/>
      <c r="H37" s="4"/>
      <c r="I37" s="4"/>
      <c r="J37" s="15"/>
      <c r="K37" s="10"/>
      <c r="L37" s="4"/>
      <c r="M37" s="4"/>
      <c r="N37" s="15"/>
      <c r="O37" s="8"/>
      <c r="P37" s="3"/>
      <c r="Q37" s="3"/>
      <c r="R37" s="13"/>
      <c r="S37" s="8"/>
      <c r="T37" s="3"/>
      <c r="U37" s="9"/>
      <c r="V37" s="32"/>
    </row>
    <row r="38" spans="1:22" x14ac:dyDescent="0.25">
      <c r="A38" s="14">
        <f t="shared" si="4"/>
        <v>187.5</v>
      </c>
      <c r="B38" s="15">
        <f t="shared" ref="B38:B39" si="23">A38-2.5</f>
        <v>185</v>
      </c>
      <c r="O38" s="8"/>
      <c r="P38" s="3"/>
      <c r="Q38" s="3"/>
      <c r="R38" s="13"/>
      <c r="S38" s="8"/>
      <c r="T38" s="3"/>
      <c r="U38" s="9"/>
      <c r="V38" s="32"/>
    </row>
    <row r="39" spans="1:22" x14ac:dyDescent="0.25">
      <c r="A39" s="14">
        <f t="shared" si="4"/>
        <v>192.5</v>
      </c>
      <c r="B39" s="15">
        <f t="shared" si="23"/>
        <v>190</v>
      </c>
      <c r="O39" s="8"/>
      <c r="P39" s="3"/>
      <c r="Q39" s="3"/>
      <c r="R39" s="13"/>
      <c r="S39" s="8"/>
      <c r="T39" s="3"/>
      <c r="U39" s="9"/>
      <c r="V39" s="32"/>
    </row>
    <row r="40" spans="1:22" x14ac:dyDescent="0.25">
      <c r="A40" s="14">
        <f t="shared" si="4"/>
        <v>197.5</v>
      </c>
      <c r="B40" s="15">
        <f t="shared" ref="B40" si="24">A40-2.5</f>
        <v>195</v>
      </c>
      <c r="S40" s="8"/>
      <c r="T40" s="3"/>
      <c r="U40" s="9"/>
      <c r="V40" s="32"/>
    </row>
  </sheetData>
  <mergeCells count="11">
    <mergeCell ref="S2:U2"/>
    <mergeCell ref="A1:B2"/>
    <mergeCell ref="C1:F1"/>
    <mergeCell ref="G1:J1"/>
    <mergeCell ref="K1:N1"/>
    <mergeCell ref="O1:R1"/>
    <mergeCell ref="S1:V1"/>
    <mergeCell ref="C2:E2"/>
    <mergeCell ref="G2:I2"/>
    <mergeCell ref="K2:M2"/>
    <mergeCell ref="O2:Q2"/>
  </mergeCells>
  <pageMargins left="0.7" right="0.7" top="0.75" bottom="0.75" header="0.3" footer="0.3"/>
  <pageSetup paperSize="0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4">
    <tabColor theme="6"/>
  </sheetPr>
  <dimension ref="A1:V41"/>
  <sheetViews>
    <sheetView tabSelected="1" workbookViewId="0">
      <selection activeCell="C17" sqref="C17"/>
    </sheetView>
  </sheetViews>
  <sheetFormatPr defaultColWidth="9.140625" defaultRowHeight="15" x14ac:dyDescent="0.25"/>
  <cols>
    <col min="1" max="1" width="11.42578125" bestFit="1" customWidth="1"/>
    <col min="2" max="2" width="13.28515625" bestFit="1" customWidth="1"/>
    <col min="3" max="3" width="9.5703125" bestFit="1" customWidth="1"/>
    <col min="4" max="4" width="12.28515625" style="19" bestFit="1" customWidth="1"/>
    <col min="5" max="5" width="12" style="19" bestFit="1" customWidth="1"/>
    <col min="6" max="6" width="13.7109375" style="28" bestFit="1" customWidth="1"/>
    <col min="8" max="8" width="12.28515625" bestFit="1" customWidth="1"/>
    <col min="9" max="9" width="12" bestFit="1" customWidth="1"/>
    <col min="10" max="10" width="13.7109375" bestFit="1" customWidth="1"/>
    <col min="12" max="12" width="12.28515625" bestFit="1" customWidth="1"/>
    <col min="13" max="13" width="18.85546875" bestFit="1" customWidth="1"/>
    <col min="14" max="14" width="12" bestFit="1" customWidth="1"/>
    <col min="15" max="15" width="7.7109375" bestFit="1" customWidth="1"/>
    <col min="16" max="16" width="12.28515625" bestFit="1" customWidth="1"/>
    <col min="17" max="17" width="16.42578125" bestFit="1" customWidth="1"/>
    <col min="18" max="18" width="12" bestFit="1" customWidth="1"/>
    <col min="19" max="19" width="7.7109375" bestFit="1" customWidth="1"/>
    <col min="20" max="20" width="12.28515625" bestFit="1" customWidth="1"/>
    <col min="21" max="21" width="11.42578125" bestFit="1" customWidth="1"/>
    <col min="22" max="22" width="13.7109375" customWidth="1"/>
    <col min="23" max="23" width="22.5703125" bestFit="1" customWidth="1"/>
    <col min="24" max="24" width="22.42578125" bestFit="1" customWidth="1"/>
    <col min="26" max="26" width="18.85546875" bestFit="1" customWidth="1"/>
  </cols>
  <sheetData>
    <row r="1" spans="1:22" x14ac:dyDescent="0.25">
      <c r="A1" s="50" t="s">
        <v>15</v>
      </c>
      <c r="B1" s="51"/>
      <c r="C1" s="63">
        <v>24</v>
      </c>
      <c r="D1" s="64"/>
      <c r="E1" s="64"/>
      <c r="F1" s="65"/>
      <c r="G1" s="66">
        <v>48</v>
      </c>
      <c r="H1" s="67"/>
      <c r="I1" s="67"/>
      <c r="J1" s="68"/>
      <c r="K1" s="66">
        <v>96</v>
      </c>
      <c r="L1" s="67"/>
      <c r="M1" s="67"/>
      <c r="N1" s="68"/>
      <c r="O1" s="66">
        <v>192</v>
      </c>
      <c r="P1" s="67"/>
      <c r="Q1" s="67"/>
      <c r="R1" s="68"/>
      <c r="S1" s="60">
        <v>216</v>
      </c>
      <c r="T1" s="61"/>
      <c r="U1" s="61"/>
      <c r="V1" s="62"/>
    </row>
    <row r="2" spans="1:22" x14ac:dyDescent="0.25">
      <c r="A2" s="52"/>
      <c r="B2" s="53"/>
      <c r="C2" s="57" t="s">
        <v>9</v>
      </c>
      <c r="D2" s="58"/>
      <c r="E2" s="59"/>
      <c r="F2" s="30">
        <f>24/24*365.25</f>
        <v>365.25</v>
      </c>
      <c r="G2" s="54" t="s">
        <v>9</v>
      </c>
      <c r="H2" s="55"/>
      <c r="I2" s="56"/>
      <c r="J2" s="30">
        <f>24/48*365.25</f>
        <v>182.625</v>
      </c>
      <c r="K2" s="54" t="s">
        <v>9</v>
      </c>
      <c r="L2" s="55"/>
      <c r="M2" s="56"/>
      <c r="N2" s="30">
        <f>24/96*365.25</f>
        <v>91.3125</v>
      </c>
      <c r="O2" s="54" t="s">
        <v>9</v>
      </c>
      <c r="P2" s="55"/>
      <c r="Q2" s="56"/>
      <c r="R2" s="30">
        <f>24/192*365.25</f>
        <v>45.65625</v>
      </c>
      <c r="S2" s="54" t="s">
        <v>9</v>
      </c>
      <c r="T2" s="55"/>
      <c r="U2" s="56"/>
      <c r="V2" s="30">
        <f>24/216*365.25</f>
        <v>40.583333333333329</v>
      </c>
    </row>
    <row r="3" spans="1:22" x14ac:dyDescent="0.25">
      <c r="A3" s="34" t="s">
        <v>12</v>
      </c>
      <c r="B3" s="31" t="s">
        <v>14</v>
      </c>
      <c r="C3" s="34" t="s">
        <v>8</v>
      </c>
      <c r="D3" s="38" t="s">
        <v>10</v>
      </c>
      <c r="E3" s="39" t="s">
        <v>17</v>
      </c>
      <c r="F3" s="36" t="s">
        <v>13</v>
      </c>
      <c r="G3" s="34" t="s">
        <v>8</v>
      </c>
      <c r="H3" s="38" t="s">
        <v>10</v>
      </c>
      <c r="I3" s="39" t="s">
        <v>17</v>
      </c>
      <c r="J3" s="29" t="s">
        <v>13</v>
      </c>
      <c r="K3" s="34" t="s">
        <v>8</v>
      </c>
      <c r="L3" s="38" t="s">
        <v>10</v>
      </c>
      <c r="M3" s="39" t="s">
        <v>17</v>
      </c>
      <c r="N3" s="29" t="s">
        <v>13</v>
      </c>
      <c r="O3" s="34" t="s">
        <v>8</v>
      </c>
      <c r="P3" s="38" t="s">
        <v>10</v>
      </c>
      <c r="Q3" s="39" t="s">
        <v>17</v>
      </c>
      <c r="R3" s="29" t="s">
        <v>13</v>
      </c>
      <c r="S3" s="34" t="s">
        <v>8</v>
      </c>
      <c r="T3" s="38" t="s">
        <v>10</v>
      </c>
      <c r="U3" s="39" t="s">
        <v>17</v>
      </c>
      <c r="V3" s="29" t="s">
        <v>13</v>
      </c>
    </row>
    <row r="4" spans="1:22" x14ac:dyDescent="0.25">
      <c r="A4" s="34">
        <v>17.5</v>
      </c>
      <c r="B4" s="12">
        <f>A4-2.5</f>
        <v>15</v>
      </c>
      <c r="C4" s="5">
        <f>1-GEVCUM(KVD!$G$3,KVD!$H$3,KVD!$I$3,$A4)</f>
        <v>0.99996544739166426</v>
      </c>
      <c r="D4" s="2">
        <f t="shared" ref="D4" si="0">-LN(1-C4)</f>
        <v>10.273027516078132</v>
      </c>
      <c r="E4" s="2">
        <f t="shared" ref="E4" si="1">1/D4</f>
        <v>9.7342287698044011E-2</v>
      </c>
      <c r="F4" s="34">
        <f>KLASSEFREQUENTIEUITHERHALINGSTIJD(F$2,E3,E4,E5)</f>
        <v>354.97697248392188</v>
      </c>
      <c r="G4" s="35">
        <f>1-GEVCUM(KVD!$G$4,KVD!$H$4,KVD!$I$4,$A4)</f>
        <v>0.99999999558827801</v>
      </c>
      <c r="H4" s="2">
        <f t="shared" ref="H4" si="2">-LN(1-G4)</f>
        <v>19.239000750294547</v>
      </c>
      <c r="I4" s="37">
        <f t="shared" ref="I4" si="3">1/H4</f>
        <v>5.1977751494431963E-2</v>
      </c>
      <c r="J4" s="34">
        <f>KLASSEFREQUENTIEUITHERHALINGSTIJD(J$2,I3,I4,I5)</f>
        <v>163.38599924970546</v>
      </c>
      <c r="K4" s="35"/>
      <c r="L4" s="2"/>
      <c r="M4" s="37"/>
      <c r="N4" s="34"/>
      <c r="O4" s="35"/>
      <c r="P4" s="2"/>
      <c r="Q4" s="37"/>
      <c r="R4" s="34"/>
      <c r="S4" s="35"/>
      <c r="T4" s="2"/>
      <c r="U4" s="37"/>
      <c r="V4" s="31"/>
    </row>
    <row r="5" spans="1:22" x14ac:dyDescent="0.25">
      <c r="A5" s="23">
        <f t="shared" ref="A5:A41" si="4">A4+5</f>
        <v>22.5</v>
      </c>
      <c r="B5" s="13">
        <f>A5-2.5</f>
        <v>20</v>
      </c>
      <c r="C5" s="6">
        <f>1-GEVCUM(KVD!$G$3,KVD!$H$3,KVD!$I$3,$A5)</f>
        <v>0.99451213490322243</v>
      </c>
      <c r="D5" s="3">
        <f t="shared" ref="D5:D21" si="5">-LN(1-C5)</f>
        <v>5.2052159703516505</v>
      </c>
      <c r="E5" s="3">
        <f t="shared" ref="E5:E21" si="6">1/D5</f>
        <v>0.19211498729272566</v>
      </c>
      <c r="F5" s="23">
        <f t="shared" ref="F5:F23" si="7">KLASSEFREQUENTIEUITHERHALINGSTIJD(F$2,E4,E5,E6)</f>
        <v>5.0678115457264816</v>
      </c>
      <c r="G5" s="8">
        <f>1-GEVCUM(KVD!$G$4,KVD!$H$4,KVD!$I$4,$A5)</f>
        <v>0.99997755315843928</v>
      </c>
      <c r="H5" s="3">
        <f t="shared" ref="H5:H23" si="8">-LN(1-G5)</f>
        <v>10.704360641391974</v>
      </c>
      <c r="I5" s="9">
        <f t="shared" ref="I5:I23" si="9">1/H5</f>
        <v>9.3419871910253763E-2</v>
      </c>
      <c r="J5" s="23">
        <f t="shared" ref="J5:J23" si="10">KLASSEFREQUENTIEUITHERHALINGSTIJD(J$2,I4,I5,I6)</f>
        <v>8.5346401089025736</v>
      </c>
      <c r="K5" s="8">
        <f>1-GEVCUM(KVD!$G$5,KVD!$H$5,KVD!$I$5,$A5)</f>
        <v>0.99999999898122538</v>
      </c>
      <c r="L5" s="3">
        <f t="shared" ref="L5" si="11">-LN(1-K5)</f>
        <v>20.704665284577793</v>
      </c>
      <c r="M5" s="9">
        <f t="shared" ref="M5" si="12">1/L5</f>
        <v>4.8298293464558745E-2</v>
      </c>
      <c r="N5" s="23">
        <f>KLASSEFREQUENTIEUITHERHALINGSTIJD(N$2,M4,M5,M6)</f>
        <v>70.6078347154222</v>
      </c>
      <c r="O5" s="8">
        <f>1-GEVCUM(KVD!$G$6,KVD!$H$6,KVD!$I$6,$A5)</f>
        <v>0.99999999999999856</v>
      </c>
      <c r="P5" s="3">
        <f t="shared" ref="P5" si="13">-LN(1-O5)</f>
        <v>34.171851212215564</v>
      </c>
      <c r="Q5" s="9">
        <f t="shared" ref="Q5" si="14">1/P5</f>
        <v>2.9263852104170627E-2</v>
      </c>
      <c r="R5" s="23">
        <f>KLASSEFREQUENTIEUITHERHALINGSTIJD(R$2,Q4,Q5,Q6)</f>
        <v>11.484398787784436</v>
      </c>
      <c r="S5" s="8">
        <f>1-GEVCUM(KVD!$G$7,KVD!$H$7,KVD!$I$7,$A5)</f>
        <v>0.99999999999999989</v>
      </c>
      <c r="T5" s="3">
        <f t="shared" ref="T5" si="15">-LN(1-S5)</f>
        <v>36.736800569677101</v>
      </c>
      <c r="U5" s="9">
        <f t="shared" ref="U5" si="16">1/T5</f>
        <v>2.7220661148848368E-2</v>
      </c>
      <c r="V5" s="32">
        <f>KLASSEFREQUENTIEUITHERHALINGSTIJD(V$2,U4,U5,U6)</f>
        <v>3.8465327636562279</v>
      </c>
    </row>
    <row r="6" spans="1:22" x14ac:dyDescent="0.25">
      <c r="A6" s="23">
        <f t="shared" si="4"/>
        <v>27.5</v>
      </c>
      <c r="B6" s="13">
        <f t="shared" ref="B6:B37" si="17">A6-2.5</f>
        <v>25</v>
      </c>
      <c r="C6" s="6">
        <f>1-GEVCUM(KVD!$G$3,KVD!$H$3,KVD!$I$3,$A6)</f>
        <v>0.93891134907832408</v>
      </c>
      <c r="D6" s="3">
        <f t="shared" si="5"/>
        <v>2.7954291760202561</v>
      </c>
      <c r="E6" s="3">
        <f t="shared" si="6"/>
        <v>0.35772682369426406</v>
      </c>
      <c r="F6" s="23">
        <f t="shared" si="7"/>
        <v>2.4097867943313944</v>
      </c>
      <c r="G6" s="8">
        <f>1-GEVCUM(KVD!$G$4,KVD!$H$4,KVD!$I$4,$A6)</f>
        <v>0.99787526410740435</v>
      </c>
      <c r="H6" s="3">
        <f t="shared" si="8"/>
        <v>6.1541077701672213</v>
      </c>
      <c r="I6" s="9">
        <f t="shared" si="9"/>
        <v>0.16249309198769973</v>
      </c>
      <c r="J6" s="23">
        <f t="shared" si="10"/>
        <v>4.5502528712247523</v>
      </c>
      <c r="K6" s="8">
        <f>1-GEVCUM(KVD!$G$5,KVD!$H$5,KVD!$I$5,$A6)</f>
        <v>0.9999983478142932</v>
      </c>
      <c r="L6" s="3">
        <f t="shared" ref="L6" si="18">-LN(1-K6)</f>
        <v>13.313411475865037</v>
      </c>
      <c r="M6" s="9">
        <f t="shared" ref="M6" si="19">1/L6</f>
        <v>7.5112228132723974E-2</v>
      </c>
      <c r="N6" s="23">
        <f t="shared" ref="N6:N25" si="20">KLASSEFREQUENTIEUITHERHALINGSTIJD(N$2,M5,M6,M7)</f>
        <v>7.3912538087127562</v>
      </c>
      <c r="O6" s="8">
        <f>1-GEVCUM(KVD!$G$6,KVD!$H$6,KVD!$I$6,$A6)</f>
        <v>0.99999999998753997</v>
      </c>
      <c r="P6" s="3">
        <f t="shared" ref="P6" si="21">-LN(1-O6)</f>
        <v>25.108494953666799</v>
      </c>
      <c r="Q6" s="9">
        <f t="shared" ref="Q6" si="22">1/P6</f>
        <v>3.9827158172774581E-2</v>
      </c>
      <c r="R6" s="23">
        <f t="shared" ref="R6:R31" si="23">KLASSEFREQUENTIEUITHERHALINGSTIJD(R$2,Q5,Q6,Q7)</f>
        <v>9.0633562585487653</v>
      </c>
      <c r="S6" s="8">
        <f>1-GEVCUM(KVD!$G$7,KVD!$H$7,KVD!$I$7,$A6)</f>
        <v>0.9999999999987359</v>
      </c>
      <c r="T6" s="3">
        <f t="shared" ref="T6" si="24">-LN(1-S6)</f>
        <v>27.396660760166075</v>
      </c>
      <c r="U6" s="9">
        <f t="shared" ref="U6" si="25">1/T6</f>
        <v>3.6500798719746534E-2</v>
      </c>
      <c r="V6" s="32">
        <f t="shared" ref="V6:V32" si="26">KLASSEFREQUENTIEUITHERHALINGSTIJD(V$2,U5,U6,U7)</f>
        <v>9.340139809511026</v>
      </c>
    </row>
    <row r="7" spans="1:22" x14ac:dyDescent="0.25">
      <c r="A7" s="23">
        <f t="shared" si="4"/>
        <v>32.5</v>
      </c>
      <c r="B7" s="13">
        <f t="shared" si="17"/>
        <v>30</v>
      </c>
      <c r="C7" s="6">
        <f>1-GEVCUM(KVD!$G$3,KVD!$H$3,KVD!$I$3,$A7)</f>
        <v>0.79333823057211716</v>
      </c>
      <c r="D7" s="3">
        <f t="shared" si="5"/>
        <v>1.5766717862085675</v>
      </c>
      <c r="E7" s="3">
        <f t="shared" si="6"/>
        <v>0.63424741201509427</v>
      </c>
      <c r="F7" s="23">
        <f t="shared" si="7"/>
        <v>1.2187573898116886</v>
      </c>
      <c r="G7" s="8">
        <f>1-GEVCUM(KVD!$G$4,KVD!$H$4,KVD!$I$4,$A7)</f>
        <v>0.97383299627097897</v>
      </c>
      <c r="H7" s="3">
        <f t="shared" si="8"/>
        <v>3.643256061580987</v>
      </c>
      <c r="I7" s="9">
        <f t="shared" si="9"/>
        <v>0.27447974644034517</v>
      </c>
      <c r="J7" s="23">
        <f t="shared" si="10"/>
        <v>2.5108517085862339</v>
      </c>
      <c r="K7" s="8">
        <f>1-GEVCUM(KVD!$G$5,KVD!$H$5,KVD!$I$5,$A7)</f>
        <v>0.99982463129746502</v>
      </c>
      <c r="L7" s="3">
        <f t="shared" ref="L7:L25" si="27">-LN(1-K7)</f>
        <v>8.6486199287538259</v>
      </c>
      <c r="M7" s="9">
        <f t="shared" ref="M7:M25" si="28">1/L7</f>
        <v>0.11562538396158765</v>
      </c>
      <c r="N7" s="23">
        <f t="shared" si="20"/>
        <v>4.6647915471112107</v>
      </c>
      <c r="O7" s="8">
        <f>1-GEVCUM(KVD!$G$6,KVD!$H$6,KVD!$I$6,$A7)</f>
        <v>0.99999999022117581</v>
      </c>
      <c r="P7" s="3">
        <f t="shared" ref="P7:P31" si="29">-LN(1-O7)</f>
        <v>18.443046585603899</v>
      </c>
      <c r="Q7" s="9">
        <f t="shared" ref="Q7:Q31" si="30">1/P7</f>
        <v>5.4220976743645524E-2</v>
      </c>
      <c r="R7" s="23">
        <f t="shared" si="23"/>
        <v>6.6654483680629006</v>
      </c>
      <c r="S7" s="8">
        <f>1-GEVCUM(KVD!$G$7,KVD!$H$7,KVD!$I$7,$A7)</f>
        <v>0.9999999988201933</v>
      </c>
      <c r="T7" s="3">
        <f t="shared" ref="T7" si="31">-LN(1-S7)</f>
        <v>20.557915228173997</v>
      </c>
      <c r="U7" s="9">
        <f t="shared" ref="U7" si="32">1/T7</f>
        <v>4.8643064673675199E-2</v>
      </c>
      <c r="V7" s="32">
        <f t="shared" si="26"/>
        <v>6.8387455319920782</v>
      </c>
    </row>
    <row r="8" spans="1:22" x14ac:dyDescent="0.25">
      <c r="A8" s="23">
        <f t="shared" si="4"/>
        <v>37.5</v>
      </c>
      <c r="B8" s="13">
        <f t="shared" si="17"/>
        <v>35</v>
      </c>
      <c r="C8" s="6">
        <f>1-GEVCUM(KVD!$G$3,KVD!$H$3,KVD!$I$3,$A8)</f>
        <v>0.60436709852816217</v>
      </c>
      <c r="D8" s="3">
        <f t="shared" si="5"/>
        <v>0.92726851415842804</v>
      </c>
      <c r="E8" s="3">
        <f t="shared" si="6"/>
        <v>1.0784362724831456</v>
      </c>
      <c r="F8" s="23">
        <f t="shared" si="7"/>
        <v>0.64940327205013948</v>
      </c>
      <c r="G8" s="8">
        <f>1-GEVCUM(KVD!$G$4,KVD!$H$4,KVD!$I$4,$A8)</f>
        <v>0.89078079972286028</v>
      </c>
      <c r="H8" s="3">
        <f t="shared" si="8"/>
        <v>2.2143984044133038</v>
      </c>
      <c r="I8" s="9">
        <f t="shared" si="9"/>
        <v>0.45158992076899823</v>
      </c>
      <c r="J8" s="23">
        <f t="shared" si="10"/>
        <v>1.4288576571676836</v>
      </c>
      <c r="K8" s="8">
        <f>1-GEVCUM(KVD!$G$5,KVD!$H$5,KVD!$I$5,$A8)</f>
        <v>0.99656368343284774</v>
      </c>
      <c r="L8" s="3">
        <f t="shared" si="27"/>
        <v>5.6733551466383281</v>
      </c>
      <c r="M8" s="9">
        <f t="shared" si="28"/>
        <v>0.17626254203256372</v>
      </c>
      <c r="N8" s="23">
        <f t="shared" si="20"/>
        <v>2.9752647821154978</v>
      </c>
      <c r="O8" s="8">
        <f>1-GEVCUM(KVD!$G$6,KVD!$H$6,KVD!$I$6,$A8)</f>
        <v>0.99999868479274212</v>
      </c>
      <c r="P8" s="3">
        <f t="shared" si="29"/>
        <v>13.541516294199216</v>
      </c>
      <c r="Q8" s="9">
        <f t="shared" si="30"/>
        <v>7.3846973874585248E-2</v>
      </c>
      <c r="R8" s="23">
        <f t="shared" si="23"/>
        <v>4.901530291404681</v>
      </c>
      <c r="S8" s="8">
        <f>1-GEVCUM(KVD!$G$7,KVD!$H$7,KVD!$I$7,$A8)</f>
        <v>0.99999979635185898</v>
      </c>
      <c r="T8" s="3">
        <f t="shared" ref="T8:T32" si="33">-LN(1-S8)</f>
        <v>15.406872131215508</v>
      </c>
      <c r="U8" s="9">
        <f t="shared" ref="U8:U32" si="34">1/T8</f>
        <v>6.4906101088093221E-2</v>
      </c>
      <c r="V8" s="32">
        <f t="shared" si="26"/>
        <v>5.1510430969584888</v>
      </c>
    </row>
    <row r="9" spans="1:22" x14ac:dyDescent="0.25">
      <c r="A9" s="23">
        <f t="shared" si="4"/>
        <v>42.5</v>
      </c>
      <c r="B9" s="13">
        <f t="shared" si="17"/>
        <v>40</v>
      </c>
      <c r="C9" s="6">
        <f>1-GEVCUM(KVD!$G$3,KVD!$H$3,KVD!$I$3,$A9)</f>
        <v>0.43187443765686495</v>
      </c>
      <c r="D9" s="3">
        <f t="shared" si="5"/>
        <v>0.56541282422798367</v>
      </c>
      <c r="E9" s="3">
        <f t="shared" si="6"/>
        <v>1.7686192409332118</v>
      </c>
      <c r="F9" s="23">
        <f t="shared" si="7"/>
        <v>0.36185568993044437</v>
      </c>
      <c r="G9" s="8">
        <f>1-GEVCUM(KVD!$G$4,KVD!$H$4,KVD!$I$4,$A9)</f>
        <v>0.74801291555750882</v>
      </c>
      <c r="H9" s="3">
        <f t="shared" si="8"/>
        <v>1.3783774449964898</v>
      </c>
      <c r="I9" s="9">
        <f t="shared" si="9"/>
        <v>0.72549068735127664</v>
      </c>
      <c r="J9" s="23">
        <f t="shared" si="10"/>
        <v>0.83602095941681398</v>
      </c>
      <c r="K9" s="8">
        <f>1-GEVCUM(KVD!$G$5,KVD!$H$5,KVD!$I$5,$A9)</f>
        <v>0.97663424618225902</v>
      </c>
      <c r="L9" s="3">
        <f t="shared" si="27"/>
        <v>3.7564838406606422</v>
      </c>
      <c r="M9" s="9">
        <f t="shared" si="28"/>
        <v>0.26620638938357122</v>
      </c>
      <c r="N9" s="23">
        <f t="shared" si="20"/>
        <v>1.9168713059776858</v>
      </c>
      <c r="O9" s="8">
        <f>1-GEVCUM(KVD!$G$6,KVD!$H$6,KVD!$I$6,$A9)</f>
        <v>0.99995172397383525</v>
      </c>
      <c r="P9" s="3">
        <f t="shared" si="29"/>
        <v>9.9385754732261944</v>
      </c>
      <c r="Q9" s="9">
        <f t="shared" si="30"/>
        <v>0.10061804155876543</v>
      </c>
      <c r="R9" s="23">
        <f t="shared" si="23"/>
        <v>3.6029408209730232</v>
      </c>
      <c r="S9" s="8">
        <f>1-GEVCUM(KVD!$G$7,KVD!$H$7,KVD!$I$7,$A9)</f>
        <v>0.99999018747994584</v>
      </c>
      <c r="T9" s="3">
        <f t="shared" si="33"/>
        <v>11.531851431121343</v>
      </c>
      <c r="U9" s="9">
        <f t="shared" si="34"/>
        <v>8.671634437652144E-2</v>
      </c>
      <c r="V9" s="32">
        <f t="shared" si="26"/>
        <v>3.875020700094165</v>
      </c>
    </row>
    <row r="10" spans="1:22" x14ac:dyDescent="0.25">
      <c r="A10" s="23">
        <f t="shared" si="4"/>
        <v>47.5</v>
      </c>
      <c r="B10" s="13">
        <f t="shared" si="17"/>
        <v>45</v>
      </c>
      <c r="C10" s="6">
        <f>1-GEVCUM(KVD!$G$3,KVD!$H$3,KVD!$I$3,$A10)</f>
        <v>0.29939533039346899</v>
      </c>
      <c r="D10" s="3">
        <f t="shared" si="5"/>
        <v>0.3558115030874785</v>
      </c>
      <c r="E10" s="3">
        <f t="shared" si="6"/>
        <v>2.8104768713847448</v>
      </c>
      <c r="F10" s="23">
        <f t="shared" si="7"/>
        <v>0.20960132114050517</v>
      </c>
      <c r="G10" s="8">
        <f>1-GEVCUM(KVD!$G$4,KVD!$H$4,KVD!$I$4,$A10)</f>
        <v>0.5838719439261546</v>
      </c>
      <c r="H10" s="3">
        <f t="shared" si="8"/>
        <v>0.87676223898932504</v>
      </c>
      <c r="I10" s="9">
        <f t="shared" si="9"/>
        <v>1.1405600692300977</v>
      </c>
      <c r="J10" s="23">
        <f t="shared" si="10"/>
        <v>0.5016152060071648</v>
      </c>
      <c r="K10" s="8">
        <f>1-GEVCUM(KVD!$G$5,KVD!$H$5,KVD!$I$5,$A10)</f>
        <v>0.91869540322817511</v>
      </c>
      <c r="L10" s="3">
        <f t="shared" si="27"/>
        <v>2.5095527231678916</v>
      </c>
      <c r="M10" s="9">
        <f t="shared" si="28"/>
        <v>0.39847738235109359</v>
      </c>
      <c r="N10" s="23">
        <f t="shared" si="20"/>
        <v>1.2469311174927507</v>
      </c>
      <c r="O10" s="8">
        <f>1-GEVCUM(KVD!$G$6,KVD!$H$6,KVD!$I$6,$A10)</f>
        <v>0.99931853270380078</v>
      </c>
      <c r="P10" s="3">
        <f t="shared" si="29"/>
        <v>7.2912622959480045</v>
      </c>
      <c r="Q10" s="9">
        <f t="shared" si="30"/>
        <v>0.13715046303515005</v>
      </c>
      <c r="R10" s="23">
        <f t="shared" si="23"/>
        <v>2.6473131772781908</v>
      </c>
      <c r="S10" s="8">
        <f>1-GEVCUM(KVD!$G$7,KVD!$H$7,KVD!$I$7,$A10)</f>
        <v>0.99981961358759097</v>
      </c>
      <c r="T10" s="3">
        <f t="shared" si="33"/>
        <v>8.6204092724128074</v>
      </c>
      <c r="U10" s="9">
        <f t="shared" si="34"/>
        <v>0.11600377295312631</v>
      </c>
      <c r="V10" s="32">
        <f t="shared" si="26"/>
        <v>2.9114421587085353</v>
      </c>
    </row>
    <row r="11" spans="1:22" x14ac:dyDescent="0.25">
      <c r="A11" s="23">
        <f t="shared" si="4"/>
        <v>52.5</v>
      </c>
      <c r="B11" s="13">
        <f t="shared" si="17"/>
        <v>50</v>
      </c>
      <c r="C11" s="6">
        <f>1-GEVCUM(KVD!$G$3,KVD!$H$3,KVD!$I$3,$A11)</f>
        <v>0.20563435390152973</v>
      </c>
      <c r="D11" s="3">
        <f t="shared" si="5"/>
        <v>0.23021141227883027</v>
      </c>
      <c r="E11" s="3">
        <f t="shared" si="6"/>
        <v>4.3438333056608327</v>
      </c>
      <c r="F11" s="23">
        <f t="shared" si="7"/>
        <v>0.12560009080864826</v>
      </c>
      <c r="G11" s="8">
        <f>1-GEVCUM(KVD!$G$4,KVD!$H$4,KVD!$I$4,$A11)</f>
        <v>0.4338073920346146</v>
      </c>
      <c r="H11" s="3">
        <f t="shared" si="8"/>
        <v>0.56882096190813236</v>
      </c>
      <c r="I11" s="9">
        <f t="shared" si="9"/>
        <v>1.7580224129670969</v>
      </c>
      <c r="J11" s="23">
        <f t="shared" si="10"/>
        <v>0.30794127708119268</v>
      </c>
      <c r="K11" s="8">
        <f>1-GEVCUM(KVD!$G$5,KVD!$H$5,KVD!$I$5,$A11)</f>
        <v>0.8156482062072905</v>
      </c>
      <c r="L11" s="3">
        <f t="shared" si="27"/>
        <v>1.6909094239847478</v>
      </c>
      <c r="M11" s="9">
        <f t="shared" si="28"/>
        <v>0.59139773296870579</v>
      </c>
      <c r="N11" s="23">
        <f t="shared" si="20"/>
        <v>0.81864329918314382</v>
      </c>
      <c r="O11" s="8">
        <f>1-GEVCUM(KVD!$G$6,KVD!$H$6,KVD!$I$6,$A11)</f>
        <v>0.99523713658659074</v>
      </c>
      <c r="P11" s="3">
        <f t="shared" si="29"/>
        <v>5.3469062341630353</v>
      </c>
      <c r="Q11" s="9">
        <f t="shared" si="30"/>
        <v>0.18702403898738509</v>
      </c>
      <c r="R11" s="23">
        <f t="shared" si="23"/>
        <v>1.9443560617849682</v>
      </c>
      <c r="S11" s="8">
        <f>1-GEVCUM(KVD!$G$7,KVD!$H$7,KVD!$I$7,$A11)</f>
        <v>0.99839672103340249</v>
      </c>
      <c r="T11" s="3">
        <f t="shared" si="33"/>
        <v>6.435704392674527</v>
      </c>
      <c r="U11" s="9">
        <f t="shared" si="34"/>
        <v>0.15538314673654915</v>
      </c>
      <c r="V11" s="32">
        <f t="shared" si="26"/>
        <v>2.1847048797382804</v>
      </c>
    </row>
    <row r="12" spans="1:22" x14ac:dyDescent="0.25">
      <c r="A12" s="23">
        <f t="shared" si="4"/>
        <v>57.5</v>
      </c>
      <c r="B12" s="13">
        <f t="shared" si="17"/>
        <v>55</v>
      </c>
      <c r="C12" s="6">
        <f>1-GEVCUM(KVD!$G$3,KVD!$H$3,KVD!$I$3,$A12)</f>
        <v>0.14157783648041022</v>
      </c>
      <c r="D12" s="3">
        <f t="shared" si="5"/>
        <v>0.15265926842815017</v>
      </c>
      <c r="E12" s="3">
        <f t="shared" si="6"/>
        <v>6.5505357800837025</v>
      </c>
      <c r="F12" s="23">
        <f t="shared" si="7"/>
        <v>7.7552143850680072E-2</v>
      </c>
      <c r="G12" s="8">
        <f>1-GEVCUM(KVD!$G$4,KVD!$H$4,KVD!$I$4,$A12)</f>
        <v>0.31324521226912361</v>
      </c>
      <c r="H12" s="3">
        <f t="shared" si="8"/>
        <v>0.37577798245351396</v>
      </c>
      <c r="I12" s="9">
        <f t="shared" si="9"/>
        <v>2.6611458006955107</v>
      </c>
      <c r="J12" s="23">
        <f t="shared" si="10"/>
        <v>0.1930429794546184</v>
      </c>
      <c r="K12" s="8">
        <f>1-GEVCUM(KVD!$G$5,KVD!$H$5,KVD!$I$5,$A12)</f>
        <v>0.6829455863023971</v>
      </c>
      <c r="L12" s="3">
        <f t="shared" si="27"/>
        <v>1.1486818677924713</v>
      </c>
      <c r="M12" s="9">
        <f t="shared" si="28"/>
        <v>0.87056305844001258</v>
      </c>
      <c r="N12" s="23">
        <f t="shared" si="20"/>
        <v>0.54222755619227647</v>
      </c>
      <c r="O12" s="8">
        <f>1-GEVCUM(KVD!$G$6,KVD!$H$6,KVD!$I$6,$A12)</f>
        <v>0.98014764475608196</v>
      </c>
      <c r="P12" s="3">
        <f t="shared" si="29"/>
        <v>3.9194326268009885</v>
      </c>
      <c r="Q12" s="9">
        <f t="shared" si="30"/>
        <v>0.25513896913599776</v>
      </c>
      <c r="R12" s="23">
        <f t="shared" si="23"/>
        <v>1.4274736073620469</v>
      </c>
      <c r="S12" s="8">
        <f>1-GEVCUM(KVD!$G$7,KVD!$H$7,KVD!$I$7,$A12)</f>
        <v>0.99175727521043511</v>
      </c>
      <c r="T12" s="3">
        <f t="shared" si="33"/>
        <v>4.7984243113775369</v>
      </c>
      <c r="U12" s="9">
        <f t="shared" si="34"/>
        <v>0.20840174505387143</v>
      </c>
      <c r="V12" s="32">
        <f t="shared" si="26"/>
        <v>1.6372800812969901</v>
      </c>
    </row>
    <row r="13" spans="1:22" x14ac:dyDescent="0.25">
      <c r="A13" s="23">
        <f t="shared" si="4"/>
        <v>62.5</v>
      </c>
      <c r="B13" s="13">
        <f t="shared" si="17"/>
        <v>60</v>
      </c>
      <c r="C13" s="6">
        <f>1-GEVCUM(KVD!$G$3,KVD!$H$3,KVD!$I$3,$A13)</f>
        <v>9.8307745096459898E-2</v>
      </c>
      <c r="D13" s="3">
        <f t="shared" si="5"/>
        <v>0.10348199795140424</v>
      </c>
      <c r="E13" s="3">
        <f t="shared" si="6"/>
        <v>9.6635165516383434</v>
      </c>
      <c r="F13" s="23">
        <f t="shared" si="7"/>
        <v>4.917727047674593E-2</v>
      </c>
      <c r="G13" s="8">
        <f>1-GEVCUM(KVD!$G$4,KVD!$H$4,KVD!$I$4,$A13)</f>
        <v>0.2230788070772679</v>
      </c>
      <c r="H13" s="3">
        <f t="shared" si="8"/>
        <v>0.25241635856820205</v>
      </c>
      <c r="I13" s="9">
        <f t="shared" si="9"/>
        <v>3.96170836815952</v>
      </c>
      <c r="J13" s="23">
        <f t="shared" si="10"/>
        <v>0.12336162388531191</v>
      </c>
      <c r="K13" s="8">
        <f>1-GEVCUM(KVD!$G$5,KVD!$H$5,KVD!$I$5,$A13)</f>
        <v>0.5445568835093928</v>
      </c>
      <c r="L13" s="3">
        <f t="shared" si="27"/>
        <v>0.7864844515500421</v>
      </c>
      <c r="M13" s="9">
        <f t="shared" si="28"/>
        <v>1.2714809530298419</v>
      </c>
      <c r="N13" s="23">
        <f t="shared" si="20"/>
        <v>0.36219741624242918</v>
      </c>
      <c r="O13" s="8">
        <f>1-GEVCUM(KVD!$G$6,KVD!$H$6,KVD!$I$6,$A13)</f>
        <v>0.94340676686083846</v>
      </c>
      <c r="P13" s="3">
        <f t="shared" si="29"/>
        <v>2.8718658567655719</v>
      </c>
      <c r="Q13" s="9">
        <f t="shared" si="30"/>
        <v>0.34820567877297942</v>
      </c>
      <c r="R13" s="23">
        <f t="shared" si="23"/>
        <v>1.0475667700354165</v>
      </c>
      <c r="S13" s="8">
        <f>1-GEVCUM(KVD!$G$7,KVD!$H$7,KVD!$I$7,$A13)</f>
        <v>0.97192790729345802</v>
      </c>
      <c r="T13" s="3">
        <f t="shared" si="33"/>
        <v>3.5729793382507777</v>
      </c>
      <c r="U13" s="9">
        <f t="shared" si="34"/>
        <v>0.27987847265010207</v>
      </c>
      <c r="V13" s="32">
        <f t="shared" si="26"/>
        <v>1.2254449731267596</v>
      </c>
    </row>
    <row r="14" spans="1:22" x14ac:dyDescent="0.25">
      <c r="A14" s="23">
        <f t="shared" si="4"/>
        <v>67.5</v>
      </c>
      <c r="B14" s="13">
        <f t="shared" si="17"/>
        <v>65</v>
      </c>
      <c r="C14" s="6">
        <f>1-GEVCUM(KVD!$G$3,KVD!$H$3,KVD!$I$3,$A14)</f>
        <v>6.904602883332589E-2</v>
      </c>
      <c r="D14" s="3">
        <f t="shared" si="5"/>
        <v>7.1545443134931344E-2</v>
      </c>
      <c r="E14" s="3">
        <f t="shared" si="6"/>
        <v>13.977130564612578</v>
      </c>
      <c r="F14" s="23">
        <f t="shared" si="7"/>
        <v>3.1936554816472895E-2</v>
      </c>
      <c r="G14" s="8">
        <f>1-GEVCUM(KVD!$G$4,KVD!$H$4,KVD!$I$4,$A14)</f>
        <v>0.15817003501311799</v>
      </c>
      <c r="H14" s="3">
        <f t="shared" si="8"/>
        <v>0.17217722695361054</v>
      </c>
      <c r="I14" s="9">
        <f t="shared" si="9"/>
        <v>5.807969019441976</v>
      </c>
      <c r="J14" s="23">
        <f t="shared" si="10"/>
        <v>8.0239131614591508E-2</v>
      </c>
      <c r="K14" s="8">
        <f>1-GEVCUM(KVD!$G$5,KVD!$H$5,KVD!$I$5,$A14)</f>
        <v>0.41874739764748814</v>
      </c>
      <c r="L14" s="3">
        <f t="shared" si="27"/>
        <v>0.54256984492498161</v>
      </c>
      <c r="M14" s="9">
        <f t="shared" si="28"/>
        <v>1.8430806823373402</v>
      </c>
      <c r="N14" s="23">
        <f t="shared" si="20"/>
        <v>0.24391460662506048</v>
      </c>
      <c r="O14" s="8">
        <f>1-GEVCUM(KVD!$G$6,KVD!$H$6,KVD!$I$6,$A14)</f>
        <v>0.87796102515803098</v>
      </c>
      <c r="P14" s="3">
        <f t="shared" si="29"/>
        <v>2.1034148193494726</v>
      </c>
      <c r="Q14" s="9">
        <f t="shared" si="30"/>
        <v>0.47541739784322334</v>
      </c>
      <c r="R14" s="23">
        <f t="shared" si="23"/>
        <v>0.76845103741609933</v>
      </c>
      <c r="S14" s="8">
        <f>1-GEVCUM(KVD!$G$7,KVD!$H$7,KVD!$I$7,$A14)</f>
        <v>0.92983945908785093</v>
      </c>
      <c r="T14" s="3">
        <f t="shared" si="33"/>
        <v>2.656969221253672</v>
      </c>
      <c r="U14" s="9">
        <f t="shared" si="34"/>
        <v>0.37636868052545869</v>
      </c>
      <c r="V14" s="32">
        <f t="shared" si="26"/>
        <v>0.91601011699710533</v>
      </c>
    </row>
    <row r="15" spans="1:22" x14ac:dyDescent="0.25">
      <c r="A15" s="23">
        <f t="shared" si="4"/>
        <v>72.5</v>
      </c>
      <c r="B15" s="13">
        <f t="shared" si="17"/>
        <v>70</v>
      </c>
      <c r="C15" s="6">
        <f>1-GEVCUM(KVD!$G$3,KVD!$H$3,KVD!$I$3,$A15)</f>
        <v>4.9108533400059273E-2</v>
      </c>
      <c r="D15" s="3">
        <f t="shared" si="5"/>
        <v>5.0355348501675896E-2</v>
      </c>
      <c r="E15" s="3">
        <f t="shared" si="6"/>
        <v>19.858863651131688</v>
      </c>
      <c r="F15" s="23">
        <f t="shared" si="7"/>
        <v>2.1190094633255448E-2</v>
      </c>
      <c r="G15" s="8">
        <f>1-GEVCUM(KVD!$G$4,KVD!$H$4,KVD!$I$4,$A15)</f>
        <v>0.11230486144694585</v>
      </c>
      <c r="H15" s="3">
        <f t="shared" si="8"/>
        <v>0.11912690737542861</v>
      </c>
      <c r="I15" s="9">
        <f t="shared" si="9"/>
        <v>8.3944091392257718</v>
      </c>
      <c r="J15" s="23">
        <f t="shared" si="10"/>
        <v>5.3050319578181918E-2</v>
      </c>
      <c r="K15" s="8">
        <f>1-GEVCUM(KVD!$G$5,KVD!$H$5,KVD!$I$5,$A15)</f>
        <v>0.31410005390251983</v>
      </c>
      <c r="L15" s="3">
        <f t="shared" si="27"/>
        <v>0.37702351306342202</v>
      </c>
      <c r="M15" s="9">
        <f t="shared" si="28"/>
        <v>2.6523544695520949</v>
      </c>
      <c r="N15" s="23">
        <f t="shared" si="20"/>
        <v>0.16554633186155959</v>
      </c>
      <c r="O15" s="8">
        <f>1-GEVCUM(KVD!$G$6,KVD!$H$6,KVD!$I$6,$A15)</f>
        <v>0.78560699254629618</v>
      </c>
      <c r="P15" s="3">
        <f t="shared" si="29"/>
        <v>1.5399444648056759</v>
      </c>
      <c r="Q15" s="9">
        <f t="shared" si="30"/>
        <v>0.64937406695779054</v>
      </c>
      <c r="R15" s="23">
        <f t="shared" si="23"/>
        <v>0.56347035454379646</v>
      </c>
      <c r="S15" s="8">
        <f>1-GEVCUM(KVD!$G$7,KVD!$H$7,KVD!$I$7,$A15)</f>
        <v>0.86098262687646443</v>
      </c>
      <c r="T15" s="3">
        <f t="shared" si="33"/>
        <v>1.9731563671613512</v>
      </c>
      <c r="U15" s="9">
        <f t="shared" si="34"/>
        <v>0.50680220617215122</v>
      </c>
      <c r="V15" s="32">
        <f t="shared" si="26"/>
        <v>0.68381285409232073</v>
      </c>
    </row>
    <row r="16" spans="1:22" x14ac:dyDescent="0.25">
      <c r="A16" s="23">
        <f t="shared" si="4"/>
        <v>77.5</v>
      </c>
      <c r="B16" s="13">
        <f t="shared" si="17"/>
        <v>75</v>
      </c>
      <c r="C16" s="6">
        <f>1-GEVCUM(KVD!$G$3,KVD!$H$3,KVD!$I$3,$A16)</f>
        <v>3.5378807365221032E-2</v>
      </c>
      <c r="D16" s="3">
        <f t="shared" si="5"/>
        <v>3.6019801202151321E-2</v>
      </c>
      <c r="E16" s="3">
        <f t="shared" si="6"/>
        <v>27.762507471592428</v>
      </c>
      <c r="F16" s="23">
        <f t="shared" si="7"/>
        <v>1.4335547299524576E-2</v>
      </c>
      <c r="G16" s="8">
        <f>1-GEVCUM(KVD!$G$4,KVD!$H$4,KVD!$I$4,$A16)</f>
        <v>8.0124965608098009E-2</v>
      </c>
      <c r="H16" s="3">
        <f t="shared" si="8"/>
        <v>8.3517450347792691E-2</v>
      </c>
      <c r="I16" s="9">
        <f t="shared" si="9"/>
        <v>11.973545598383193</v>
      </c>
      <c r="J16" s="23">
        <f t="shared" si="10"/>
        <v>3.5609457027635932E-2</v>
      </c>
      <c r="K16" s="8">
        <f>1-GEVCUM(KVD!$G$5,KVD!$H$5,KVD!$I$5,$A16)</f>
        <v>0.23188833148592869</v>
      </c>
      <c r="L16" s="3">
        <f t="shared" si="27"/>
        <v>0.26382015469323877</v>
      </c>
      <c r="M16" s="9">
        <f t="shared" si="28"/>
        <v>3.7904609720313691</v>
      </c>
      <c r="N16" s="23">
        <f t="shared" si="20"/>
        <v>0.11320335837018325</v>
      </c>
      <c r="O16" s="8">
        <f>1-GEVCUM(KVD!$G$6,KVD!$H$6,KVD!$I$6,$A16)</f>
        <v>0.67597949075408981</v>
      </c>
      <c r="P16" s="3">
        <f t="shared" si="29"/>
        <v>1.1269484650514789</v>
      </c>
      <c r="Q16" s="9">
        <f t="shared" si="30"/>
        <v>0.88735202275138647</v>
      </c>
      <c r="R16" s="23">
        <f t="shared" si="23"/>
        <v>0.41299599975419721</v>
      </c>
      <c r="S16" s="8">
        <f>1-GEVCUM(KVD!$G$7,KVD!$H$7,KVD!$I$7,$A16)</f>
        <v>0.76854194339533477</v>
      </c>
      <c r="T16" s="3">
        <f t="shared" si="33"/>
        <v>1.463356602844472</v>
      </c>
      <c r="U16" s="9">
        <f t="shared" si="34"/>
        <v>0.6833604318019274</v>
      </c>
      <c r="V16" s="32">
        <f t="shared" si="26"/>
        <v>0.50979976431687923</v>
      </c>
    </row>
    <row r="17" spans="1:22" x14ac:dyDescent="0.25">
      <c r="A17" s="23">
        <f t="shared" si="4"/>
        <v>82.5</v>
      </c>
      <c r="B17" s="13">
        <f t="shared" si="17"/>
        <v>80</v>
      </c>
      <c r="C17" s="6">
        <f>1-GEVCUM(KVD!$G$3,KVD!$H$3,KVD!$I$3,$A17)</f>
        <v>2.5809730089251248E-2</v>
      </c>
      <c r="D17" s="3">
        <f t="shared" si="5"/>
        <v>2.6148645433388604E-2</v>
      </c>
      <c r="E17" s="3">
        <f t="shared" si="6"/>
        <v>38.242898759226854</v>
      </c>
      <c r="F17" s="23">
        <f t="shared" si="7"/>
        <v>9.8711557687627162E-3</v>
      </c>
      <c r="G17" s="8">
        <f>1-GEVCUM(KVD!$G$4,KVD!$H$4,KVD!$I$4,$A17)</f>
        <v>5.7553654977783308E-2</v>
      </c>
      <c r="H17" s="3">
        <f t="shared" si="8"/>
        <v>5.9276289638842496E-2</v>
      </c>
      <c r="I17" s="9">
        <f t="shared" si="9"/>
        <v>16.870151726647904</v>
      </c>
      <c r="J17" s="23">
        <f t="shared" si="10"/>
        <v>2.4241160708950195E-2</v>
      </c>
      <c r="K17" s="8">
        <f>1-GEVCUM(KVD!$G$5,KVD!$H$5,KVD!$I$5,$A17)</f>
        <v>0.16960113147521638</v>
      </c>
      <c r="L17" s="3">
        <f t="shared" si="27"/>
        <v>0.18584912913793486</v>
      </c>
      <c r="M17" s="9">
        <f t="shared" si="28"/>
        <v>5.3807085598868358</v>
      </c>
      <c r="N17" s="23">
        <f t="shared" si="20"/>
        <v>7.7971025555303913E-2</v>
      </c>
      <c r="O17" s="8">
        <f>1-GEVCUM(KVD!$G$6,KVD!$H$6,KVD!$I$6,$A17)</f>
        <v>0.56148821417433536</v>
      </c>
      <c r="P17" s="3">
        <f t="shared" si="29"/>
        <v>0.82436858993550899</v>
      </c>
      <c r="Q17" s="9">
        <f t="shared" si="30"/>
        <v>1.213049614224422</v>
      </c>
      <c r="R17" s="23">
        <f t="shared" si="23"/>
        <v>0.30257987511596995</v>
      </c>
      <c r="S17" s="8">
        <f>1-GEVCUM(KVD!$G$7,KVD!$H$7,KVD!$I$7,$A17)</f>
        <v>0.66169083126040684</v>
      </c>
      <c r="T17" s="3">
        <f t="shared" si="33"/>
        <v>1.0837951011696154</v>
      </c>
      <c r="U17" s="9">
        <f t="shared" si="34"/>
        <v>0.92268363173150991</v>
      </c>
      <c r="V17" s="32">
        <f t="shared" si="26"/>
        <v>0.37956150167485658</v>
      </c>
    </row>
    <row r="18" spans="1:22" x14ac:dyDescent="0.25">
      <c r="A18" s="23">
        <f t="shared" si="4"/>
        <v>87.5</v>
      </c>
      <c r="B18" s="13">
        <f t="shared" si="17"/>
        <v>85</v>
      </c>
      <c r="C18" s="6">
        <f>1-GEVCUM(KVD!$G$3,KVD!$H$3,KVD!$I$3,$A18)</f>
        <v>1.9057084011827152E-2</v>
      </c>
      <c r="D18" s="3">
        <f t="shared" si="5"/>
        <v>1.9241010724357972E-2</v>
      </c>
      <c r="E18" s="3">
        <f t="shared" si="6"/>
        <v>51.972321741604752</v>
      </c>
      <c r="F18" s="23">
        <f t="shared" si="7"/>
        <v>6.9076347090306321E-3</v>
      </c>
      <c r="G18" s="8">
        <f>1-GEVCUM(KVD!$G$4,KVD!$H$4,KVD!$I$4,$A18)</f>
        <v>4.1663527424962044E-2</v>
      </c>
      <c r="H18" s="3">
        <f t="shared" si="8"/>
        <v>4.2556338693686732E-2</v>
      </c>
      <c r="I18" s="9">
        <f t="shared" si="9"/>
        <v>23.498262084946486</v>
      </c>
      <c r="J18" s="23">
        <f t="shared" si="10"/>
        <v>1.6719950945155763E-2</v>
      </c>
      <c r="K18" s="8">
        <f>1-GEVCUM(KVD!$G$5,KVD!$H$5,KVD!$I$5,$A18)</f>
        <v>0.12345799083676379</v>
      </c>
      <c r="L18" s="3">
        <f t="shared" si="27"/>
        <v>0.13177064745991884</v>
      </c>
      <c r="M18" s="9">
        <f t="shared" si="28"/>
        <v>7.5889435111425225</v>
      </c>
      <c r="N18" s="23">
        <f t="shared" si="20"/>
        <v>5.4078481678016016E-2</v>
      </c>
      <c r="O18" s="8">
        <f>1-GEVCUM(KVD!$G$6,KVD!$H$6,KVD!$I$6,$A18)</f>
        <v>0.45271032849120996</v>
      </c>
      <c r="P18" s="3">
        <f t="shared" si="29"/>
        <v>0.60277705272824367</v>
      </c>
      <c r="Q18" s="9">
        <f t="shared" si="30"/>
        <v>1.6589881706244058</v>
      </c>
      <c r="R18" s="23">
        <f t="shared" si="23"/>
        <v>0.22159153720726532</v>
      </c>
      <c r="S18" s="8">
        <f>1-GEVCUM(KVD!$G$7,KVD!$H$7,KVD!$I$7,$A18)</f>
        <v>0.55138062123238107</v>
      </c>
      <c r="T18" s="3">
        <f t="shared" si="33"/>
        <v>0.80158045950622558</v>
      </c>
      <c r="U18" s="9">
        <f t="shared" si="34"/>
        <v>1.2475354010201309</v>
      </c>
      <c r="V18" s="32">
        <f t="shared" si="26"/>
        <v>0.28221464166338983</v>
      </c>
    </row>
    <row r="19" spans="1:22" x14ac:dyDescent="0.25">
      <c r="A19" s="23">
        <f t="shared" si="4"/>
        <v>92.5</v>
      </c>
      <c r="B19" s="13">
        <f t="shared" si="17"/>
        <v>90</v>
      </c>
      <c r="C19" s="6">
        <f>1-GEVCUM(KVD!$G$3,KVD!$H$3,KVD!$I$3,$A19)</f>
        <v>1.4232876061994193E-2</v>
      </c>
      <c r="D19" s="3">
        <f t="shared" si="5"/>
        <v>1.4335134893664057E-2</v>
      </c>
      <c r="E19" s="3">
        <f t="shared" si="6"/>
        <v>69.758673874913242</v>
      </c>
      <c r="F19" s="23">
        <f t="shared" si="7"/>
        <v>4.9058758306939169E-3</v>
      </c>
      <c r="G19" s="8">
        <f>1-GEVCUM(KVD!$G$4,KVD!$H$4,KVD!$I$4,$A19)</f>
        <v>3.0409969853945396E-2</v>
      </c>
      <c r="H19" s="3">
        <f t="shared" si="8"/>
        <v>3.0881946160076897E-2</v>
      </c>
      <c r="I19" s="9">
        <f t="shared" si="9"/>
        <v>32.381378907161142</v>
      </c>
      <c r="J19" s="23">
        <f t="shared" si="10"/>
        <v>1.1674392533609836E-2</v>
      </c>
      <c r="K19" s="8">
        <f>1-GEVCUM(KVD!$G$5,KVD!$H$5,KVD!$I$5,$A19)</f>
        <v>8.9727673986324752E-2</v>
      </c>
      <c r="L19" s="3">
        <f t="shared" si="27"/>
        <v>9.4011464884703716E-2</v>
      </c>
      <c r="M19" s="9">
        <f t="shared" si="28"/>
        <v>10.637000510803727</v>
      </c>
      <c r="N19" s="23">
        <f t="shared" si="20"/>
        <v>3.7759182575215128E-2</v>
      </c>
      <c r="O19" s="8">
        <f>1-GEVCUM(KVD!$G$6,KVD!$H$6,KVD!$I$6,$A19)</f>
        <v>0.35632696437964906</v>
      </c>
      <c r="P19" s="3">
        <f t="shared" si="29"/>
        <v>0.44056439046951884</v>
      </c>
      <c r="Q19" s="9">
        <f t="shared" si="30"/>
        <v>2.2698157673031147</v>
      </c>
      <c r="R19" s="23">
        <f t="shared" si="23"/>
        <v>0.16221266225872483</v>
      </c>
      <c r="S19" s="8">
        <f>1-GEVCUM(KVD!$G$7,KVD!$H$7,KVD!$I$7,$A19)</f>
        <v>0.44679744529652909</v>
      </c>
      <c r="T19" s="3">
        <f t="shared" si="33"/>
        <v>0.59203106115543114</v>
      </c>
      <c r="U19" s="9">
        <f t="shared" si="34"/>
        <v>1.6891005651770374</v>
      </c>
      <c r="V19" s="32">
        <f t="shared" si="26"/>
        <v>0.20954939835079445</v>
      </c>
    </row>
    <row r="20" spans="1:22" x14ac:dyDescent="0.25">
      <c r="A20" s="23">
        <f t="shared" si="4"/>
        <v>97.5</v>
      </c>
      <c r="B20" s="13">
        <f t="shared" si="17"/>
        <v>95</v>
      </c>
      <c r="C20" s="6">
        <f>1-GEVCUM(KVD!$G$3,KVD!$H$3,KVD!$I$3,$A20)</f>
        <v>1.0745016864348145E-2</v>
      </c>
      <c r="D20" s="3">
        <f t="shared" si="5"/>
        <v>1.0803161442808934E-2</v>
      </c>
      <c r="E20" s="3">
        <f t="shared" si="6"/>
        <v>92.565496247919597</v>
      </c>
      <c r="F20" s="23">
        <f t="shared" si="7"/>
        <v>3.5319734508551213E-3</v>
      </c>
      <c r="G20" s="8">
        <f>1-GEVCUM(KVD!$G$4,KVD!$H$4,KVD!$I$4,$A20)</f>
        <v>2.2382265639343757E-2</v>
      </c>
      <c r="H20" s="3">
        <f t="shared" si="8"/>
        <v>2.2636550016728006E-2</v>
      </c>
      <c r="I20" s="9">
        <f t="shared" si="9"/>
        <v>44.176343093846803</v>
      </c>
      <c r="J20" s="23">
        <f t="shared" si="10"/>
        <v>8.2453961433488904E-3</v>
      </c>
      <c r="K20" s="8">
        <f>1-GEVCUM(KVD!$G$5,KVD!$H$5,KVD!$I$5,$A20)</f>
        <v>6.5250055164040033E-2</v>
      </c>
      <c r="L20" s="3">
        <f t="shared" si="27"/>
        <v>6.7476224139668334E-2</v>
      </c>
      <c r="M20" s="9">
        <f t="shared" si="28"/>
        <v>14.820034949349129</v>
      </c>
      <c r="N20" s="23">
        <f t="shared" si="20"/>
        <v>2.6535240745035382E-2</v>
      </c>
      <c r="O20" s="8">
        <f>1-GEVCUM(KVD!$G$6,KVD!$H$6,KVD!$I$6,$A20)</f>
        <v>0.27520678016545297</v>
      </c>
      <c r="P20" s="3">
        <f t="shared" si="29"/>
        <v>0.32186887883003112</v>
      </c>
      <c r="Q20" s="9">
        <f t="shared" si="30"/>
        <v>3.106855200275727</v>
      </c>
      <c r="R20" s="23">
        <f t="shared" si="23"/>
        <v>0.11869551163948772</v>
      </c>
      <c r="S20" s="8">
        <f>1-GEVCUM(KVD!$G$7,KVD!$H$7,KVD!$I$7,$A20)</f>
        <v>0.35380261022948234</v>
      </c>
      <c r="T20" s="3">
        <f t="shared" si="33"/>
        <v>0.43665026495223774</v>
      </c>
      <c r="U20" s="9">
        <f t="shared" si="34"/>
        <v>2.2901623570739922</v>
      </c>
      <c r="V20" s="32">
        <f t="shared" si="26"/>
        <v>0.15538079620319339</v>
      </c>
    </row>
    <row r="21" spans="1:22" x14ac:dyDescent="0.25">
      <c r="A21" s="23">
        <f t="shared" si="4"/>
        <v>102.5</v>
      </c>
      <c r="B21" s="13">
        <f t="shared" si="17"/>
        <v>100</v>
      </c>
      <c r="C21" s="6">
        <f>1-GEVCUM(KVD!$G$3,KVD!$H$3,KVD!$I$3,$A21)</f>
        <v>8.1943935077207763E-3</v>
      </c>
      <c r="D21" s="3">
        <f t="shared" si="5"/>
        <v>8.2281520974675764E-3</v>
      </c>
      <c r="E21" s="3">
        <f t="shared" si="6"/>
        <v>121.533971194793</v>
      </c>
      <c r="F21" s="23">
        <f t="shared" si="7"/>
        <v>2.5750093453413576E-3</v>
      </c>
      <c r="G21" s="8">
        <f>1-GEVCUM(KVD!$G$4,KVD!$H$4,KVD!$I$4,$A21)</f>
        <v>1.6610529567286925E-2</v>
      </c>
      <c r="H21" s="3">
        <f t="shared" si="8"/>
        <v>1.6750031370231535E-2</v>
      </c>
      <c r="I21" s="9">
        <f t="shared" si="9"/>
        <v>59.701380725603805</v>
      </c>
      <c r="J21" s="23">
        <f t="shared" si="10"/>
        <v>5.8865186464964712E-3</v>
      </c>
      <c r="K21" s="8">
        <f>1-GEVCUM(KVD!$G$5,KVD!$H$5,KVD!$I$5,$A21)</f>
        <v>4.7544756398322674E-2</v>
      </c>
      <c r="L21" s="3">
        <f t="shared" si="27"/>
        <v>4.8712161429963596E-2</v>
      </c>
      <c r="M21" s="9">
        <f t="shared" si="28"/>
        <v>20.528754435127254</v>
      </c>
      <c r="N21" s="23">
        <f t="shared" si="20"/>
        <v>1.8764062709704737E-2</v>
      </c>
      <c r="O21" s="8">
        <f>1-GEVCUM(KVD!$G$6,KVD!$H$6,KVD!$I$6,$A21)</f>
        <v>0.20947070995558659</v>
      </c>
      <c r="P21" s="3">
        <f t="shared" si="29"/>
        <v>0.23505257046443662</v>
      </c>
      <c r="Q21" s="9">
        <f t="shared" si="30"/>
        <v>4.2543674294823326</v>
      </c>
      <c r="R21" s="23">
        <f t="shared" si="23"/>
        <v>8.6816308365594536E-2</v>
      </c>
      <c r="S21" s="8">
        <f>1-GEVCUM(KVD!$G$7,KVD!$H$7,KVD!$I$7,$A21)</f>
        <v>0.27500819001593957</v>
      </c>
      <c r="T21" s="3">
        <f t="shared" si="33"/>
        <v>0.32159492076497881</v>
      </c>
      <c r="U21" s="9">
        <f t="shared" si="34"/>
        <v>3.109501846674994</v>
      </c>
      <c r="V21" s="32">
        <f t="shared" si="26"/>
        <v>0.11505534418725893</v>
      </c>
    </row>
    <row r="22" spans="1:22" x14ac:dyDescent="0.25">
      <c r="A22" s="23">
        <f t="shared" si="4"/>
        <v>107.5</v>
      </c>
      <c r="B22" s="13">
        <f t="shared" si="17"/>
        <v>105</v>
      </c>
      <c r="C22" s="6">
        <f>1-GEVCUM(KVD!$G$3,KVD!$H$3,KVD!$I$3,$A22)</f>
        <v>6.3088490143951015E-3</v>
      </c>
      <c r="D22" s="3">
        <f t="shared" ref="D22" si="35">-LN(1-C22)</f>
        <v>6.3288339011000313E-3</v>
      </c>
      <c r="E22" s="3">
        <f t="shared" ref="E22" si="36">1/D22</f>
        <v>158.00699080223725</v>
      </c>
      <c r="F22" s="23">
        <f t="shared" si="7"/>
        <v>8.2281520974675764E-3</v>
      </c>
      <c r="G22" s="8">
        <f>1-GEVCUM(KVD!$G$4,KVD!$H$4,KVD!$I$4,$A22)</f>
        <v>1.2427002330127612E-2</v>
      </c>
      <c r="H22" s="3">
        <f t="shared" si="8"/>
        <v>1.2504863247923667E-2</v>
      </c>
      <c r="I22" s="9">
        <f t="shared" si="9"/>
        <v>79.96888731798343</v>
      </c>
      <c r="J22" s="23">
        <f t="shared" si="10"/>
        <v>4.2451681223078675E-3</v>
      </c>
      <c r="K22" s="8">
        <f>1-GEVCUM(KVD!$G$5,KVD!$H$5,KVD!$I$5,$A22)</f>
        <v>3.4745440643134895E-2</v>
      </c>
      <c r="L22" s="3">
        <f t="shared" si="27"/>
        <v>3.5363420350511252E-2</v>
      </c>
      <c r="M22" s="9">
        <f t="shared" si="28"/>
        <v>28.277807691911875</v>
      </c>
      <c r="N22" s="23">
        <f t="shared" si="20"/>
        <v>1.3348741079452345E-2</v>
      </c>
      <c r="O22" s="8">
        <f>1-GEVCUM(KVD!$G$6,KVD!$H$6,KVD!$I$6,$A22)</f>
        <v>0.15766721642532389</v>
      </c>
      <c r="P22" s="3">
        <f t="shared" si="29"/>
        <v>0.17158011292390843</v>
      </c>
      <c r="Q22" s="9">
        <f t="shared" si="30"/>
        <v>5.8281812673912592</v>
      </c>
      <c r="R22" s="23">
        <f t="shared" si="23"/>
        <v>6.347245754052816E-2</v>
      </c>
      <c r="S22" s="8">
        <f>1-GEVCUM(KVD!$G$7,KVD!$H$7,KVD!$I$7,$A22)</f>
        <v>0.2106287254827941</v>
      </c>
      <c r="T22" s="3">
        <f t="shared" si="33"/>
        <v>0.23651850542333291</v>
      </c>
      <c r="U22" s="9">
        <f t="shared" si="34"/>
        <v>4.2279989813488328</v>
      </c>
      <c r="V22" s="32">
        <f t="shared" si="26"/>
        <v>8.5076415341645895E-2</v>
      </c>
    </row>
    <row r="23" spans="1:22" x14ac:dyDescent="0.25">
      <c r="A23" s="23">
        <f t="shared" si="4"/>
        <v>112.5</v>
      </c>
      <c r="B23" s="13">
        <f t="shared" si="17"/>
        <v>110</v>
      </c>
      <c r="C23" s="6"/>
      <c r="D23" s="3"/>
      <c r="E23" s="3"/>
      <c r="F23" s="23"/>
      <c r="G23" s="8">
        <f>1-GEVCUM(KVD!$G$4,KVD!$H$4,KVD!$I$4,$A23)</f>
        <v>9.3699328222882627E-3</v>
      </c>
      <c r="H23" s="3">
        <f t="shared" si="8"/>
        <v>9.4141067974989213E-3</v>
      </c>
      <c r="I23" s="9">
        <f t="shared" si="9"/>
        <v>106.22356655924845</v>
      </c>
      <c r="J23" s="23">
        <f t="shared" si="10"/>
        <v>1.2504863247923667E-2</v>
      </c>
      <c r="K23" s="8">
        <f>1-GEVCUM(KVD!$G$5,KVD!$H$5,KVD!$I$5,$A23)</f>
        <v>2.5481581627886274E-2</v>
      </c>
      <c r="L23" s="3">
        <f t="shared" si="27"/>
        <v>2.5811859882587985E-2</v>
      </c>
      <c r="M23" s="9">
        <f t="shared" si="28"/>
        <v>38.741880846586113</v>
      </c>
      <c r="N23" s="23">
        <f t="shared" si="20"/>
        <v>9.5515604679232667E-3</v>
      </c>
      <c r="O23" s="8">
        <f>1-GEVCUM(KVD!$G$6,KVD!$H$6,KVD!$I$6,$A23)</f>
        <v>0.11767449071559155</v>
      </c>
      <c r="P23" s="3">
        <f t="shared" si="29"/>
        <v>0.12519423291496426</v>
      </c>
      <c r="Q23" s="9">
        <f t="shared" si="30"/>
        <v>7.9875883794042695</v>
      </c>
      <c r="R23" s="23">
        <f t="shared" si="23"/>
        <v>4.6385880008944169E-2</v>
      </c>
      <c r="S23" s="8">
        <f>1-GEVCUM(KVD!$G$7,KVD!$H$7,KVD!$I$7,$A23)</f>
        <v>0.15944961013944714</v>
      </c>
      <c r="T23" s="3">
        <f t="shared" si="33"/>
        <v>0.17369837568716023</v>
      </c>
      <c r="U23" s="9">
        <f t="shared" si="34"/>
        <v>5.7571062253400216</v>
      </c>
      <c r="V23" s="32">
        <f t="shared" si="26"/>
        <v>6.2820129736172681E-2</v>
      </c>
    </row>
    <row r="24" spans="1:22" x14ac:dyDescent="0.25">
      <c r="A24" s="23">
        <f t="shared" si="4"/>
        <v>117.5</v>
      </c>
      <c r="B24" s="13">
        <f t="shared" si="17"/>
        <v>115</v>
      </c>
      <c r="C24" s="6"/>
      <c r="D24" s="28"/>
      <c r="E24" s="3"/>
      <c r="F24" s="23"/>
      <c r="G24" s="8"/>
      <c r="H24" s="3"/>
      <c r="I24" s="9"/>
      <c r="J24" s="23"/>
      <c r="K24" s="8">
        <f>1-GEVCUM(KVD!$G$5,KVD!$H$5,KVD!$I$5,$A24)</f>
        <v>1.8760676506350826E-2</v>
      </c>
      <c r="L24" s="3">
        <f t="shared" si="27"/>
        <v>1.8938890460738426E-2</v>
      </c>
      <c r="M24" s="9">
        <f t="shared" si="28"/>
        <v>52.801403655249295</v>
      </c>
      <c r="N24" s="23">
        <f t="shared" si="20"/>
        <v>6.8729694218495584E-3</v>
      </c>
      <c r="O24" s="8">
        <f>1-GEVCUM(KVD!$G$6,KVD!$H$6,KVD!$I$6,$A24)</f>
        <v>8.7264951727760498E-2</v>
      </c>
      <c r="P24" s="3">
        <f t="shared" si="29"/>
        <v>9.1309639547704102E-2</v>
      </c>
      <c r="Q24" s="9">
        <f t="shared" si="30"/>
        <v>10.951746222561274</v>
      </c>
      <c r="R24" s="23">
        <f t="shared" si="23"/>
        <v>3.3884593367260157E-2</v>
      </c>
      <c r="S24" s="8">
        <f>1-GEVCUM(KVD!$G$7,KVD!$H$7,KVD!$I$7,$A24)</f>
        <v>0.11959937832656775</v>
      </c>
      <c r="T24" s="3">
        <f t="shared" si="33"/>
        <v>0.12737822320396408</v>
      </c>
      <c r="U24" s="9">
        <f t="shared" si="34"/>
        <v>7.8506354920554386</v>
      </c>
      <c r="V24" s="32">
        <f t="shared" si="26"/>
        <v>4.6320152483196153E-2</v>
      </c>
    </row>
    <row r="25" spans="1:22" x14ac:dyDescent="0.25">
      <c r="A25" s="23">
        <f t="shared" si="4"/>
        <v>122.5</v>
      </c>
      <c r="B25" s="13">
        <f t="shared" si="17"/>
        <v>120</v>
      </c>
      <c r="C25" s="6"/>
      <c r="D25" s="43"/>
      <c r="E25" s="3"/>
      <c r="F25" s="23"/>
      <c r="G25" s="8"/>
      <c r="H25" s="3"/>
      <c r="I25" s="9"/>
      <c r="J25" s="23"/>
      <c r="K25" s="8">
        <f>1-GEVCUM(KVD!$G$5,KVD!$H$5,KVD!$I$5,$A25)</f>
        <v>1.3869364567113407E-2</v>
      </c>
      <c r="L25" s="3">
        <f t="shared" si="27"/>
        <v>1.3966442858520662E-2</v>
      </c>
      <c r="M25" s="9">
        <f t="shared" si="28"/>
        <v>71.60019269974093</v>
      </c>
      <c r="N25" s="23">
        <f t="shared" si="20"/>
        <v>1.8938890460738426E-2</v>
      </c>
      <c r="O25" s="8">
        <f>1-GEVCUM(KVD!$G$6,KVD!$H$6,KVD!$I$6,$A25)</f>
        <v>6.4400399273788489E-2</v>
      </c>
      <c r="P25" s="3">
        <f t="shared" si="29"/>
        <v>6.6567671029139269E-2</v>
      </c>
      <c r="Q25" s="9">
        <f t="shared" si="30"/>
        <v>15.022307143091441</v>
      </c>
      <c r="R25" s="23">
        <f t="shared" si="23"/>
        <v>2.4741968518564833E-2</v>
      </c>
      <c r="S25" s="8">
        <f>1-GEVCUM(KVD!$G$7,KVD!$H$7,KVD!$I$7,$A25)</f>
        <v>8.9055514485710252E-2</v>
      </c>
      <c r="T25" s="3">
        <f t="shared" si="33"/>
        <v>9.3273321543527632E-2</v>
      </c>
      <c r="U25" s="9">
        <f t="shared" si="34"/>
        <v>10.721179255242159</v>
      </c>
      <c r="V25" s="32">
        <f t="shared" si="26"/>
        <v>3.4104901660436449E-2</v>
      </c>
    </row>
    <row r="26" spans="1:22" x14ac:dyDescent="0.25">
      <c r="A26" s="23">
        <f t="shared" si="4"/>
        <v>127.5</v>
      </c>
      <c r="B26" s="13">
        <f t="shared" si="17"/>
        <v>125</v>
      </c>
      <c r="C26" s="6"/>
      <c r="D26" s="3"/>
      <c r="E26" s="3"/>
      <c r="F26" s="23"/>
      <c r="G26" s="8"/>
      <c r="H26" s="3"/>
      <c r="I26" s="9"/>
      <c r="J26" s="23"/>
      <c r="K26" s="8"/>
      <c r="L26" s="3"/>
      <c r="M26" s="9"/>
      <c r="N26" s="23"/>
      <c r="O26" s="8">
        <f>1-GEVCUM(KVD!$G$6,KVD!$H$6,KVD!$I$6,$A26)</f>
        <v>4.7351415644480865E-2</v>
      </c>
      <c r="P26" s="3">
        <f t="shared" si="29"/>
        <v>4.8509190073055576E-2</v>
      </c>
      <c r="Q26" s="9">
        <f t="shared" si="30"/>
        <v>20.614650512490208</v>
      </c>
      <c r="R26" s="23">
        <f t="shared" si="23"/>
        <v>1.8058480956083693E-2</v>
      </c>
      <c r="S26" s="8">
        <f>1-GEVCUM(KVD!$G$7,KVD!$H$7,KVD!$I$7,$A26)</f>
        <v>6.5925200151052854E-2</v>
      </c>
      <c r="T26" s="3">
        <f t="shared" si="33"/>
        <v>6.8198758468588097E-2</v>
      </c>
      <c r="U26" s="9">
        <f t="shared" si="34"/>
        <v>14.663023527922338</v>
      </c>
      <c r="V26" s="32">
        <f t="shared" si="26"/>
        <v>2.5074563074939535E-2</v>
      </c>
    </row>
    <row r="27" spans="1:22" x14ac:dyDescent="0.25">
      <c r="A27" s="23">
        <f t="shared" si="4"/>
        <v>132.5</v>
      </c>
      <c r="B27" s="13">
        <f t="shared" si="17"/>
        <v>130</v>
      </c>
      <c r="C27" s="6"/>
      <c r="D27" s="3"/>
      <c r="E27" s="3"/>
      <c r="F27" s="23"/>
      <c r="G27" s="8"/>
      <c r="H27" s="3"/>
      <c r="I27" s="9"/>
      <c r="J27" s="23"/>
      <c r="K27" s="8"/>
      <c r="L27" s="3"/>
      <c r="M27" s="9"/>
      <c r="N27" s="23"/>
      <c r="O27" s="8">
        <f>1-GEVCUM(KVD!$G$6,KVD!$H$6,KVD!$I$6,$A27)</f>
        <v>3.4717458399499135E-2</v>
      </c>
      <c r="P27" s="3">
        <f t="shared" si="29"/>
        <v>3.5334431274234142E-2</v>
      </c>
      <c r="Q27" s="9">
        <f t="shared" si="30"/>
        <v>28.301007372635986</v>
      </c>
      <c r="R27" s="23">
        <f t="shared" si="23"/>
        <v>1.3174758798821434E-2</v>
      </c>
      <c r="S27" s="8">
        <f>1-GEVCUM(KVD!$G$7,KVD!$H$7,KVD!$I$7,$A27)</f>
        <v>4.8571232073977844E-2</v>
      </c>
      <c r="T27" s="3">
        <f t="shared" si="33"/>
        <v>4.979045797418475E-2</v>
      </c>
      <c r="U27" s="9">
        <f t="shared" si="34"/>
        <v>20.084169551492735</v>
      </c>
      <c r="V27" s="32">
        <f t="shared" si="26"/>
        <v>1.8408300494403347E-2</v>
      </c>
    </row>
    <row r="28" spans="1:22" x14ac:dyDescent="0.25">
      <c r="A28" s="23">
        <f t="shared" si="4"/>
        <v>137.5</v>
      </c>
      <c r="B28" s="13">
        <f t="shared" si="17"/>
        <v>135</v>
      </c>
      <c r="C28" s="6"/>
      <c r="D28" s="3"/>
      <c r="E28" s="3"/>
      <c r="F28" s="23"/>
      <c r="G28" s="8"/>
      <c r="H28" s="3"/>
      <c r="I28" s="9"/>
      <c r="J28" s="23"/>
      <c r="K28" s="8"/>
      <c r="L28" s="3"/>
      <c r="M28" s="9"/>
      <c r="N28" s="23"/>
      <c r="O28" s="8">
        <f>1-GEVCUM(KVD!$G$6,KVD!$H$6,KVD!$I$6,$A28)</f>
        <v>2.5398647060839274E-2</v>
      </c>
      <c r="P28" s="3">
        <f t="shared" si="29"/>
        <v>2.5726760374268642E-2</v>
      </c>
      <c r="Q28" s="9">
        <f t="shared" si="30"/>
        <v>38.870032038708565</v>
      </c>
      <c r="R28" s="23">
        <f t="shared" si="23"/>
        <v>9.6076708999655001E-3</v>
      </c>
      <c r="S28" s="8">
        <f>1-GEVCUM(KVD!$G$7,KVD!$H$7,KVD!$I$7,$A28)</f>
        <v>3.5645310752998927E-2</v>
      </c>
      <c r="T28" s="3">
        <f t="shared" si="33"/>
        <v>3.6296117139511357E-2</v>
      </c>
      <c r="U28" s="9">
        <f t="shared" si="34"/>
        <v>27.551156399355357</v>
      </c>
      <c r="V28" s="32">
        <f t="shared" si="26"/>
        <v>1.3494340834673393E-2</v>
      </c>
    </row>
    <row r="29" spans="1:22" x14ac:dyDescent="0.25">
      <c r="A29" s="23">
        <f t="shared" si="4"/>
        <v>142.5</v>
      </c>
      <c r="B29" s="13">
        <f t="shared" si="17"/>
        <v>140</v>
      </c>
      <c r="C29" s="6"/>
      <c r="D29" s="3"/>
      <c r="E29" s="3"/>
      <c r="F29" s="23"/>
      <c r="G29" s="8"/>
      <c r="H29" s="3"/>
      <c r="I29" s="9"/>
      <c r="J29" s="23"/>
      <c r="K29" s="8"/>
      <c r="L29" s="3"/>
      <c r="M29" s="9"/>
      <c r="N29" s="23"/>
      <c r="O29" s="8">
        <f>1-GEVCUM(KVD!$G$6,KVD!$H$6,KVD!$I$6,$A29)</f>
        <v>1.8549196968651982E-2</v>
      </c>
      <c r="P29" s="3">
        <f t="shared" si="29"/>
        <v>1.872339078948701E-2</v>
      </c>
      <c r="Q29" s="9">
        <f t="shared" si="30"/>
        <v>53.409129320822039</v>
      </c>
      <c r="R29" s="23">
        <f t="shared" si="23"/>
        <v>7.0033695847816317E-3</v>
      </c>
      <c r="S29" s="8">
        <f>1-GEVCUM(KVD!$G$7,KVD!$H$7,KVD!$I$7,$A29)</f>
        <v>2.6072829106831397E-2</v>
      </c>
      <c r="T29" s="3">
        <f t="shared" si="33"/>
        <v>2.6418751345556976E-2</v>
      </c>
      <c r="U29" s="9">
        <f t="shared" si="34"/>
        <v>37.851902496072242</v>
      </c>
      <c r="V29" s="32">
        <f t="shared" si="26"/>
        <v>9.8773657939543805E-3</v>
      </c>
    </row>
    <row r="30" spans="1:22" x14ac:dyDescent="0.25">
      <c r="A30" s="23">
        <f t="shared" si="4"/>
        <v>147.5</v>
      </c>
      <c r="B30" s="13">
        <f t="shared" si="17"/>
        <v>145</v>
      </c>
      <c r="C30" s="6"/>
      <c r="D30" s="3"/>
      <c r="E30" s="3"/>
      <c r="F30" s="23"/>
      <c r="G30" s="8"/>
      <c r="H30" s="3"/>
      <c r="I30" s="9"/>
      <c r="J30" s="23"/>
      <c r="K30" s="8"/>
      <c r="L30" s="3"/>
      <c r="M30" s="9"/>
      <c r="N30" s="23"/>
      <c r="O30" s="8">
        <f>1-GEVCUM(KVD!$G$6,KVD!$H$6,KVD!$I$6,$A30)</f>
        <v>1.3528245625195168E-2</v>
      </c>
      <c r="P30" s="3">
        <f t="shared" si="29"/>
        <v>1.3620586088721458E-2</v>
      </c>
      <c r="Q30" s="9">
        <f t="shared" si="30"/>
        <v>73.418279763163142</v>
      </c>
      <c r="R30" s="23">
        <f t="shared" si="23"/>
        <v>5.1028047007655522E-3</v>
      </c>
      <c r="S30" s="8">
        <f>1-GEVCUM(KVD!$G$7,KVD!$H$7,KVD!$I$7,$A30)</f>
        <v>1.901663007644383E-2</v>
      </c>
      <c r="T30" s="3">
        <f t="shared" si="33"/>
        <v>1.9199771728092362E-2</v>
      </c>
      <c r="U30" s="9">
        <f t="shared" si="34"/>
        <v>52.083952567875521</v>
      </c>
      <c r="V30" s="32">
        <f t="shared" si="26"/>
        <v>7.2189796174646145E-3</v>
      </c>
    </row>
    <row r="31" spans="1:22" x14ac:dyDescent="0.25">
      <c r="A31" s="23">
        <f t="shared" si="4"/>
        <v>152.5</v>
      </c>
      <c r="B31" s="13">
        <f t="shared" si="17"/>
        <v>150</v>
      </c>
      <c r="C31" s="6"/>
      <c r="D31" s="3"/>
      <c r="E31" s="3"/>
      <c r="F31" s="23"/>
      <c r="G31" s="8"/>
      <c r="H31" s="3"/>
      <c r="I31" s="9"/>
      <c r="J31" s="23"/>
      <c r="K31" s="8"/>
      <c r="L31" s="3"/>
      <c r="M31" s="9"/>
      <c r="N31" s="23"/>
      <c r="O31" s="8">
        <f>1-GEVCUM(KVD!$G$6,KVD!$H$6,KVD!$I$6,$A31)</f>
        <v>9.855293868794246E-3</v>
      </c>
      <c r="P31" s="3">
        <f t="shared" si="29"/>
        <v>9.9041787256760917E-3</v>
      </c>
      <c r="Q31" s="9">
        <f t="shared" si="30"/>
        <v>100.96748329142623</v>
      </c>
      <c r="R31" s="23">
        <f t="shared" si="23"/>
        <v>1.3620586088721458E-2</v>
      </c>
      <c r="S31" s="8">
        <f>1-GEVCUM(KVD!$G$7,KVD!$H$7,KVD!$I$7,$A31)</f>
        <v>1.3835130821728714E-2</v>
      </c>
      <c r="T31" s="3">
        <f t="shared" si="33"/>
        <v>1.3931728237604989E-2</v>
      </c>
      <c r="U31" s="9">
        <f t="shared" si="34"/>
        <v>71.778603698338472</v>
      </c>
      <c r="V31" s="32">
        <f t="shared" si="26"/>
        <v>5.268043490487373E-3</v>
      </c>
    </row>
    <row r="32" spans="1:22" x14ac:dyDescent="0.25">
      <c r="A32" s="23">
        <f t="shared" si="4"/>
        <v>157.5</v>
      </c>
      <c r="B32" s="13">
        <f t="shared" si="17"/>
        <v>155</v>
      </c>
      <c r="C32" s="6"/>
      <c r="D32" s="3"/>
      <c r="E32" s="3"/>
      <c r="F32" s="23"/>
      <c r="G32" s="8"/>
      <c r="H32" s="3"/>
      <c r="I32" s="9"/>
      <c r="J32" s="23"/>
      <c r="K32" s="8"/>
      <c r="L32" s="3"/>
      <c r="M32" s="9"/>
      <c r="N32" s="23"/>
      <c r="O32" s="8"/>
      <c r="P32" s="3"/>
      <c r="Q32" s="9"/>
      <c r="R32" s="23"/>
      <c r="S32" s="8">
        <f>1-GEVCUM(KVD!$G$7,KVD!$H$7,KVD!$I$7,$A32)</f>
        <v>1.0042517235743675E-2</v>
      </c>
      <c r="T32" s="3">
        <f t="shared" si="33"/>
        <v>1.0093283478508875E-2</v>
      </c>
      <c r="U32" s="9">
        <f t="shared" si="34"/>
        <v>99.075786599004189</v>
      </c>
      <c r="V32" s="32">
        <f t="shared" si="26"/>
        <v>1.3931728237604989E-2</v>
      </c>
    </row>
    <row r="33" spans="1:22" x14ac:dyDescent="0.25">
      <c r="A33" s="23">
        <f t="shared" si="4"/>
        <v>162.5</v>
      </c>
      <c r="B33" s="13">
        <f t="shared" si="17"/>
        <v>160</v>
      </c>
      <c r="C33" s="6"/>
      <c r="D33" s="3"/>
      <c r="E33" s="3"/>
      <c r="F33" s="23"/>
      <c r="G33" s="8"/>
      <c r="H33" s="3"/>
      <c r="I33" s="9"/>
      <c r="J33" s="23"/>
      <c r="K33" s="8"/>
      <c r="L33" s="3"/>
      <c r="M33" s="9"/>
      <c r="N33" s="23"/>
      <c r="O33" s="8"/>
      <c r="P33" s="3"/>
      <c r="Q33" s="9"/>
      <c r="R33" s="23"/>
      <c r="S33" s="8"/>
      <c r="T33" s="3"/>
      <c r="U33" s="9"/>
      <c r="V33" s="32"/>
    </row>
    <row r="34" spans="1:22" x14ac:dyDescent="0.25">
      <c r="A34" s="23">
        <f t="shared" si="4"/>
        <v>167.5</v>
      </c>
      <c r="B34" s="13">
        <f t="shared" si="17"/>
        <v>165</v>
      </c>
      <c r="C34" s="6"/>
      <c r="D34" s="3"/>
      <c r="E34" s="3"/>
      <c r="F34" s="23"/>
      <c r="G34" s="8"/>
      <c r="H34" s="3"/>
      <c r="I34" s="9"/>
      <c r="J34" s="23"/>
      <c r="K34" s="8"/>
      <c r="L34" s="3"/>
      <c r="M34" s="9"/>
      <c r="N34" s="23"/>
      <c r="O34" s="8"/>
      <c r="P34" s="3"/>
      <c r="Q34" s="9"/>
      <c r="R34" s="23"/>
      <c r="S34" s="8"/>
      <c r="T34" s="3"/>
      <c r="U34" s="9"/>
      <c r="V34" s="32"/>
    </row>
    <row r="35" spans="1:22" x14ac:dyDescent="0.25">
      <c r="A35" s="23">
        <f t="shared" si="4"/>
        <v>172.5</v>
      </c>
      <c r="B35" s="13">
        <f t="shared" si="17"/>
        <v>170</v>
      </c>
      <c r="C35" s="6"/>
      <c r="D35" s="3"/>
      <c r="E35" s="3"/>
      <c r="F35" s="23"/>
      <c r="G35" s="8"/>
      <c r="H35" s="3"/>
      <c r="I35" s="9"/>
      <c r="J35" s="23"/>
      <c r="K35" s="8"/>
      <c r="L35" s="3"/>
      <c r="M35" s="9"/>
      <c r="N35" s="23"/>
      <c r="O35" s="8"/>
      <c r="P35" s="3"/>
      <c r="Q35" s="9"/>
      <c r="R35" s="23"/>
      <c r="S35" s="8"/>
      <c r="T35" s="3"/>
      <c r="U35" s="9"/>
      <c r="V35" s="32"/>
    </row>
    <row r="36" spans="1:22" x14ac:dyDescent="0.25">
      <c r="A36" s="23">
        <f t="shared" si="4"/>
        <v>177.5</v>
      </c>
      <c r="B36" s="13">
        <f t="shared" si="17"/>
        <v>175</v>
      </c>
      <c r="C36" s="6"/>
      <c r="D36" s="3"/>
      <c r="E36" s="3"/>
      <c r="F36" s="23"/>
      <c r="G36" s="8"/>
      <c r="H36" s="3"/>
      <c r="I36" s="9"/>
      <c r="J36" s="23"/>
      <c r="K36" s="8"/>
      <c r="L36" s="3"/>
      <c r="M36" s="9"/>
      <c r="N36" s="23"/>
      <c r="O36" s="8"/>
      <c r="P36" s="3"/>
      <c r="Q36" s="9"/>
      <c r="R36" s="23"/>
      <c r="S36" s="8"/>
      <c r="T36" s="3"/>
      <c r="U36" s="9"/>
      <c r="V36" s="32"/>
    </row>
    <row r="37" spans="1:22" x14ac:dyDescent="0.25">
      <c r="A37" s="23">
        <f t="shared" si="4"/>
        <v>182.5</v>
      </c>
      <c r="B37" s="13">
        <f t="shared" si="17"/>
        <v>180</v>
      </c>
      <c r="C37" s="6"/>
      <c r="D37" s="3"/>
      <c r="E37" s="3"/>
      <c r="F37" s="23"/>
      <c r="G37" s="8"/>
      <c r="H37" s="3"/>
      <c r="I37" s="9"/>
      <c r="J37" s="23"/>
      <c r="K37" s="8"/>
      <c r="L37" s="3"/>
      <c r="M37" s="9"/>
      <c r="N37" s="23"/>
      <c r="O37" s="8"/>
      <c r="P37" s="3"/>
      <c r="Q37" s="9"/>
      <c r="R37" s="23"/>
      <c r="S37" s="8"/>
      <c r="T37" s="3"/>
      <c r="U37" s="9"/>
      <c r="V37" s="32"/>
    </row>
    <row r="38" spans="1:22" x14ac:dyDescent="0.25">
      <c r="A38" s="23">
        <f t="shared" si="4"/>
        <v>187.5</v>
      </c>
      <c r="B38" s="13">
        <f t="shared" ref="B38:B41" si="37">A38-2.5</f>
        <v>185</v>
      </c>
      <c r="C38" s="6"/>
      <c r="D38" s="3"/>
      <c r="E38" s="3"/>
      <c r="F38" s="23"/>
      <c r="G38" s="8"/>
      <c r="H38" s="3"/>
      <c r="I38" s="9"/>
      <c r="J38" s="23"/>
      <c r="K38" s="8"/>
      <c r="L38" s="3"/>
      <c r="M38" s="9"/>
      <c r="N38" s="23"/>
      <c r="O38" s="8"/>
      <c r="P38" s="3"/>
      <c r="Q38" s="9"/>
      <c r="R38" s="23"/>
      <c r="S38" s="8"/>
      <c r="T38" s="3"/>
      <c r="U38" s="9"/>
      <c r="V38" s="32"/>
    </row>
    <row r="39" spans="1:22" x14ac:dyDescent="0.25">
      <c r="A39" s="23">
        <f t="shared" si="4"/>
        <v>192.5</v>
      </c>
      <c r="B39" s="13">
        <f t="shared" si="37"/>
        <v>190</v>
      </c>
      <c r="C39" s="6"/>
      <c r="D39" s="3"/>
      <c r="E39" s="3"/>
      <c r="F39" s="23"/>
      <c r="G39" s="8"/>
      <c r="H39" s="3"/>
      <c r="I39" s="9"/>
      <c r="J39" s="23"/>
      <c r="K39" s="8"/>
      <c r="L39" s="3"/>
      <c r="M39" s="9"/>
      <c r="N39" s="23"/>
      <c r="O39" s="8"/>
      <c r="P39" s="3"/>
      <c r="Q39" s="9"/>
      <c r="R39" s="23"/>
      <c r="S39" s="8"/>
      <c r="T39" s="3"/>
      <c r="U39" s="9"/>
      <c r="V39" s="32"/>
    </row>
    <row r="40" spans="1:22" x14ac:dyDescent="0.25">
      <c r="A40" s="23">
        <f t="shared" si="4"/>
        <v>197.5</v>
      </c>
      <c r="B40" s="13">
        <f t="shared" si="37"/>
        <v>195</v>
      </c>
      <c r="C40" s="6"/>
      <c r="D40" s="3"/>
      <c r="E40" s="3"/>
      <c r="F40" s="23"/>
      <c r="G40" s="8"/>
      <c r="H40" s="3"/>
      <c r="I40" s="9"/>
      <c r="J40" s="23"/>
      <c r="K40" s="8"/>
      <c r="L40" s="3"/>
      <c r="M40" s="9"/>
      <c r="N40" s="23"/>
      <c r="O40" s="8"/>
      <c r="P40" s="3"/>
      <c r="Q40" s="9"/>
      <c r="R40" s="23"/>
      <c r="S40" s="8"/>
      <c r="T40" s="3"/>
      <c r="U40" s="9"/>
      <c r="V40" s="32"/>
    </row>
    <row r="41" spans="1:22" x14ac:dyDescent="0.25">
      <c r="A41" s="14">
        <f t="shared" si="4"/>
        <v>202.5</v>
      </c>
      <c r="B41" s="15">
        <f t="shared" si="37"/>
        <v>200</v>
      </c>
      <c r="C41" s="7"/>
      <c r="D41" s="4"/>
      <c r="E41" s="4"/>
      <c r="F41" s="14"/>
      <c r="G41" s="10"/>
      <c r="H41" s="4"/>
      <c r="I41" s="11"/>
      <c r="J41" s="14"/>
      <c r="K41" s="10"/>
      <c r="L41" s="4"/>
      <c r="M41" s="11"/>
      <c r="N41" s="14"/>
      <c r="O41" s="10"/>
      <c r="P41" s="4"/>
      <c r="Q41" s="11"/>
      <c r="R41" s="14"/>
      <c r="S41" s="10"/>
      <c r="T41" s="4"/>
      <c r="U41" s="11"/>
      <c r="V41" s="33"/>
    </row>
  </sheetData>
  <sortState xmlns:xlrd2="http://schemas.microsoft.com/office/spreadsheetml/2017/richdata2" ref="R50:R147">
    <sortCondition descending="1" ref="R50:R147"/>
  </sortState>
  <mergeCells count="11">
    <mergeCell ref="A1:B2"/>
    <mergeCell ref="S2:U2"/>
    <mergeCell ref="C2:E2"/>
    <mergeCell ref="G2:I2"/>
    <mergeCell ref="K2:M2"/>
    <mergeCell ref="O2:Q2"/>
    <mergeCell ref="S1:V1"/>
    <mergeCell ref="C1:F1"/>
    <mergeCell ref="G1:J1"/>
    <mergeCell ref="K1:N1"/>
    <mergeCell ref="O1:R1"/>
  </mergeCells>
  <pageMargins left="0.7" right="0.7" top="0.75" bottom="0.75" header="0.3" footer="0.3"/>
  <pageSetup paperSize="0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Blad5">
    <tabColor theme="6"/>
  </sheetPr>
  <dimension ref="A1:V37"/>
  <sheetViews>
    <sheetView workbookViewId="0">
      <selection activeCell="A4" sqref="A4"/>
    </sheetView>
  </sheetViews>
  <sheetFormatPr defaultColWidth="9.140625" defaultRowHeight="15" x14ac:dyDescent="0.25"/>
  <cols>
    <col min="1" max="1" width="11.42578125" bestFit="1" customWidth="1"/>
    <col min="2" max="2" width="14" bestFit="1" customWidth="1"/>
    <col min="4" max="4" width="12.28515625" style="19" bestFit="1" customWidth="1"/>
    <col min="5" max="5" width="12" style="19" bestFit="1" customWidth="1"/>
    <col min="6" max="6" width="14.7109375" bestFit="1" customWidth="1"/>
    <col min="8" max="8" width="12.28515625" bestFit="1" customWidth="1"/>
    <col min="9" max="9" width="12" bestFit="1" customWidth="1"/>
    <col min="10" max="10" width="13.7109375" bestFit="1" customWidth="1"/>
    <col min="12" max="12" width="12.28515625" bestFit="1" customWidth="1"/>
    <col min="13" max="13" width="7.5703125" bestFit="1" customWidth="1"/>
    <col min="14" max="14" width="14.7109375" bestFit="1" customWidth="1"/>
    <col min="15" max="15" width="7.7109375" bestFit="1" customWidth="1"/>
    <col min="16" max="16" width="12.28515625" bestFit="1" customWidth="1"/>
    <col min="17" max="17" width="16.42578125" bestFit="1" customWidth="1"/>
    <col min="18" max="18" width="14.7109375" bestFit="1" customWidth="1"/>
    <col min="19" max="19" width="7.7109375" bestFit="1" customWidth="1"/>
    <col min="20" max="20" width="12.28515625" bestFit="1" customWidth="1"/>
    <col min="21" max="21" width="11.42578125" bestFit="1" customWidth="1"/>
    <col min="22" max="22" width="14.7109375" bestFit="1" customWidth="1"/>
  </cols>
  <sheetData>
    <row r="1" spans="1:22" x14ac:dyDescent="0.25">
      <c r="A1" s="50" t="s">
        <v>15</v>
      </c>
      <c r="B1" s="51"/>
      <c r="C1" s="63">
        <v>24</v>
      </c>
      <c r="D1" s="64"/>
      <c r="E1" s="64"/>
      <c r="F1" s="65"/>
      <c r="G1" s="66">
        <v>48</v>
      </c>
      <c r="H1" s="67"/>
      <c r="I1" s="67"/>
      <c r="J1" s="68"/>
      <c r="K1" s="66">
        <v>96</v>
      </c>
      <c r="L1" s="67"/>
      <c r="M1" s="67"/>
      <c r="N1" s="68"/>
      <c r="O1" s="66">
        <v>192</v>
      </c>
      <c r="P1" s="67"/>
      <c r="Q1" s="67"/>
      <c r="R1" s="68"/>
      <c r="S1" s="60">
        <v>216</v>
      </c>
      <c r="T1" s="61"/>
      <c r="U1" s="61"/>
      <c r="V1" s="62"/>
    </row>
    <row r="2" spans="1:22" x14ac:dyDescent="0.25">
      <c r="A2" s="52"/>
      <c r="B2" s="53"/>
      <c r="C2" s="57" t="s">
        <v>9</v>
      </c>
      <c r="D2" s="58"/>
      <c r="E2" s="59"/>
      <c r="F2" s="30">
        <f>24/24*365.25</f>
        <v>365.25</v>
      </c>
      <c r="G2" s="54" t="s">
        <v>9</v>
      </c>
      <c r="H2" s="55"/>
      <c r="I2" s="56"/>
      <c r="J2" s="30">
        <f>24/48*365.25</f>
        <v>182.625</v>
      </c>
      <c r="K2" s="54" t="s">
        <v>9</v>
      </c>
      <c r="L2" s="55"/>
      <c r="M2" s="56"/>
      <c r="N2" s="30">
        <f>24/96*365.25</f>
        <v>91.3125</v>
      </c>
      <c r="O2" s="54" t="s">
        <v>9</v>
      </c>
      <c r="P2" s="55"/>
      <c r="Q2" s="56"/>
      <c r="R2" s="30">
        <f>24/192*365.25</f>
        <v>45.65625</v>
      </c>
      <c r="S2" s="54" t="s">
        <v>9</v>
      </c>
      <c r="T2" s="55"/>
      <c r="U2" s="56"/>
      <c r="V2" s="30">
        <f>24/216*365.25</f>
        <v>40.583333333333329</v>
      </c>
    </row>
    <row r="3" spans="1:22" x14ac:dyDescent="0.25">
      <c r="A3" s="24" t="s">
        <v>12</v>
      </c>
      <c r="B3" s="27" t="s">
        <v>14</v>
      </c>
      <c r="C3" s="24" t="s">
        <v>8</v>
      </c>
      <c r="D3" s="25" t="s">
        <v>10</v>
      </c>
      <c r="E3" s="26" t="s">
        <v>17</v>
      </c>
      <c r="F3" s="36" t="s">
        <v>13</v>
      </c>
      <c r="G3" s="24" t="s">
        <v>8</v>
      </c>
      <c r="H3" s="25" t="s">
        <v>10</v>
      </c>
      <c r="I3" s="26" t="s">
        <v>17</v>
      </c>
      <c r="J3" s="29" t="s">
        <v>13</v>
      </c>
      <c r="K3" s="24" t="s">
        <v>8</v>
      </c>
      <c r="L3" s="25" t="s">
        <v>10</v>
      </c>
      <c r="M3" s="26" t="s">
        <v>17</v>
      </c>
      <c r="N3" s="29" t="s">
        <v>13</v>
      </c>
      <c r="O3" s="24" t="s">
        <v>8</v>
      </c>
      <c r="P3" s="25" t="s">
        <v>10</v>
      </c>
      <c r="Q3" s="26" t="s">
        <v>17</v>
      </c>
      <c r="R3" s="29" t="s">
        <v>13</v>
      </c>
      <c r="S3" s="24" t="s">
        <v>8</v>
      </c>
      <c r="T3" s="25" t="s">
        <v>10</v>
      </c>
      <c r="U3" s="26" t="s">
        <v>17</v>
      </c>
      <c r="V3" s="29" t="s">
        <v>13</v>
      </c>
    </row>
    <row r="4" spans="1:22" x14ac:dyDescent="0.25">
      <c r="A4" s="34">
        <v>17.5</v>
      </c>
      <c r="B4" s="12">
        <f>A4-2.5</f>
        <v>15</v>
      </c>
      <c r="C4" s="8">
        <f>1-GEVCUM(KVD!$G$8,KVD!$H$8,KVD!$I$8,$A4)</f>
        <v>0.98469171016403423</v>
      </c>
      <c r="D4" s="3">
        <f t="shared" ref="D4:D20" si="0">-LN(1-C4)</f>
        <v>4.1793607779706816</v>
      </c>
      <c r="E4" s="3">
        <f t="shared" ref="E4:E20" si="1">1/D4</f>
        <v>0.23927104002865174</v>
      </c>
      <c r="F4" s="31">
        <f>KLASSEFREQUENTIEUITHERHALINGSTIJD(F$2,E3,E4,E5)</f>
        <v>361.07063922202934</v>
      </c>
      <c r="G4" s="35">
        <f>1-GEVCUM(KVD!$G$9,KVD!$H$9,KVD!$I$9,$A4)</f>
        <v>0.99991339047318462</v>
      </c>
      <c r="H4" s="2">
        <f t="shared" ref="H4:H21" si="2">-LN(1-G4)</f>
        <v>9.3541007390309527</v>
      </c>
      <c r="I4" s="2">
        <f t="shared" ref="I4:I21" si="3">1/H4</f>
        <v>0.10690498508610204</v>
      </c>
      <c r="J4" s="12">
        <f>KLASSEFREQUENTIEUITHERHALINGSTIJD(J$2,I3,I4,I5)</f>
        <v>173.27089926096906</v>
      </c>
      <c r="K4" s="35"/>
      <c r="L4" s="2"/>
      <c r="M4" s="2"/>
      <c r="N4" s="12"/>
      <c r="O4" s="35"/>
      <c r="P4" s="2"/>
      <c r="Q4" s="2"/>
      <c r="R4" s="12"/>
      <c r="S4" s="6"/>
      <c r="T4" s="3"/>
      <c r="U4" s="3"/>
      <c r="V4" s="31"/>
    </row>
    <row r="5" spans="1:22" x14ac:dyDescent="0.25">
      <c r="A5" s="23">
        <f t="shared" ref="A5:A37" si="4">A4+5</f>
        <v>22.5</v>
      </c>
      <c r="B5" s="13">
        <f t="shared" ref="B5:B37" si="5">A5-2.5</f>
        <v>20</v>
      </c>
      <c r="C5" s="8">
        <f>1-GEVCUM(KVD!$G$8,KVD!$H$8,KVD!$I$8,$A5)</f>
        <v>0.81878660544127801</v>
      </c>
      <c r="D5" s="3">
        <f t="shared" si="0"/>
        <v>1.7080799666995601</v>
      </c>
      <c r="E5" s="3">
        <f t="shared" si="1"/>
        <v>0.58545268341988188</v>
      </c>
      <c r="F5" s="32">
        <f t="shared" ref="F5:F20" si="6">KLASSEFREQUENTIEUITHERHALINGSTIJD(F$2,E4,E5,E6)</f>
        <v>2.4712808112711215</v>
      </c>
      <c r="G5" s="8">
        <f>1-GEVCUM(KVD!$G$9,KVD!$H$9,KVD!$I$9,$A5)</f>
        <v>0.99083646648372947</v>
      </c>
      <c r="H5" s="3">
        <f t="shared" si="2"/>
        <v>4.6925234196290813</v>
      </c>
      <c r="I5" s="3">
        <f t="shared" si="3"/>
        <v>0.21310495666722631</v>
      </c>
      <c r="J5" s="13">
        <f t="shared" ref="J5:J22" si="7">KLASSEFREQUENTIEUITHERHALINGSTIJD(J$2,I4,I5,I6)</f>
        <v>4.6615773194018715</v>
      </c>
      <c r="K5" s="8">
        <f>1-GEVCUM(KVD!$G$10,KVD!$H$10,KVD!$I$10,$A5)</f>
        <v>0.99994658505923995</v>
      </c>
      <c r="L5" s="3">
        <f t="shared" ref="L5" si="8">-LN(1-K5)</f>
        <v>9.8374200616177774</v>
      </c>
      <c r="M5" s="3">
        <f t="shared" ref="M5" si="9">1/L5</f>
        <v>0.10165266845741958</v>
      </c>
      <c r="N5" s="13">
        <f>KLASSEFREQUENTIEUITHERHALINGSTIJD(N$2,M4,M5,M6)</f>
        <v>81.475079938382223</v>
      </c>
      <c r="O5" s="8"/>
      <c r="P5" s="3"/>
      <c r="Q5" s="3"/>
      <c r="R5" s="13"/>
      <c r="S5" s="6"/>
      <c r="T5" s="3"/>
      <c r="U5" s="3"/>
      <c r="V5" s="32"/>
    </row>
    <row r="6" spans="1:22" x14ac:dyDescent="0.25">
      <c r="A6" s="23">
        <f t="shared" si="4"/>
        <v>27.5</v>
      </c>
      <c r="B6" s="13">
        <f t="shared" si="5"/>
        <v>25</v>
      </c>
      <c r="C6" s="8">
        <f>1-GEVCUM(KVD!$G$8,KVD!$H$8,KVD!$I$8,$A6)</f>
        <v>0.52167466864420287</v>
      </c>
      <c r="D6" s="3">
        <f t="shared" si="0"/>
        <v>0.73746416846935237</v>
      </c>
      <c r="E6" s="3">
        <f t="shared" si="1"/>
        <v>1.3559980847280422</v>
      </c>
      <c r="F6" s="32">
        <f t="shared" si="6"/>
        <v>0.97061579823020794</v>
      </c>
      <c r="G6" s="8">
        <f>1-GEVCUM(KVD!$G$9,KVD!$H$9,KVD!$I$9,$A6)</f>
        <v>0.91065168680715713</v>
      </c>
      <c r="H6" s="3">
        <f t="shared" si="2"/>
        <v>2.4152129162024374</v>
      </c>
      <c r="I6" s="3">
        <f t="shared" si="3"/>
        <v>0.41404217130982846</v>
      </c>
      <c r="J6" s="13">
        <f t="shared" si="7"/>
        <v>2.2773105034266439</v>
      </c>
      <c r="K6" s="8">
        <f>1-GEVCUM(KVD!$G$10,KVD!$H$10,KVD!$I$10,$A6)</f>
        <v>0.99779488334101862</v>
      </c>
      <c r="L6" s="3">
        <f t="shared" ref="L6" si="10">-LN(1-K6)</f>
        <v>6.1169748649153135</v>
      </c>
      <c r="M6" s="3">
        <f t="shared" ref="M6" si="11">1/L6</f>
        <v>0.1634795012377159</v>
      </c>
      <c r="N6" s="13">
        <f t="shared" ref="N6:N25" si="12">KLASSEFREQUENTIEUITHERHALINGSTIJD(N$2,M5,M6,M7)</f>
        <v>3.7204451967024639</v>
      </c>
      <c r="O6" s="8">
        <f>1-GEVCUM(KVD!$G$11,KVD!$H$11,KVD!$I$11,$A6)</f>
        <v>0.99997198907848561</v>
      </c>
      <c r="P6" s="3">
        <f t="shared" ref="P6" si="13">-LN(1-O6)</f>
        <v>10.48291606975512</v>
      </c>
      <c r="Q6" s="3">
        <f t="shared" ref="Q6" si="14">1/P6</f>
        <v>9.5393304052596495E-2</v>
      </c>
      <c r="R6" s="13">
        <f>KLASSEFREQUENTIEUITHERHALINGSTIJD(R$2,Q5,Q6,Q7)</f>
        <v>35.17333393024488</v>
      </c>
      <c r="S6" s="6">
        <f>1-GEVCUM(KVD!$G$12,KVD!$H$12,KVD!$I$12,$A6)</f>
        <v>0.99998248661270739</v>
      </c>
      <c r="T6" s="3">
        <f t="shared" ref="T6" si="15">-LN(1-S6)</f>
        <v>10.952544981339877</v>
      </c>
      <c r="U6" s="3">
        <f t="shared" ref="U6" si="16">1/T6</f>
        <v>9.1302980421785515E-2</v>
      </c>
      <c r="V6" s="32">
        <f>KLASSEFREQUENTIEUITHERHALINGSTIJD(V$2,U5,U6,U7)</f>
        <v>29.630788351993452</v>
      </c>
    </row>
    <row r="7" spans="1:22" x14ac:dyDescent="0.25">
      <c r="A7" s="23">
        <f t="shared" si="4"/>
        <v>32.5</v>
      </c>
      <c r="B7" s="13">
        <f t="shared" si="5"/>
        <v>30</v>
      </c>
      <c r="C7" s="8">
        <f>1-GEVCUM(KVD!$G$8,KVD!$H$8,KVD!$I$8,$A7)</f>
        <v>0.28411480134286526</v>
      </c>
      <c r="D7" s="3">
        <f t="shared" si="0"/>
        <v>0.33423546194789461</v>
      </c>
      <c r="E7" s="3">
        <f t="shared" si="1"/>
        <v>2.9919027567334977</v>
      </c>
      <c r="F7" s="32">
        <f t="shared" si="6"/>
        <v>0.40322870652145776</v>
      </c>
      <c r="G7" s="8">
        <f>1-GEVCUM(KVD!$G$9,KVD!$H$9,KVD!$I$9,$A7)</f>
        <v>0.72002691431184962</v>
      </c>
      <c r="H7" s="3">
        <f t="shared" si="2"/>
        <v>1.2730618029752752</v>
      </c>
      <c r="I7" s="3">
        <f t="shared" si="3"/>
        <v>0.78550781875860076</v>
      </c>
      <c r="J7" s="13">
        <f t="shared" si="7"/>
        <v>1.1421511132271622</v>
      </c>
      <c r="K7" s="8">
        <f>1-GEVCUM(KVD!$G$10,KVD!$H$10,KVD!$I$10,$A7)</f>
        <v>0.97812295701285001</v>
      </c>
      <c r="L7" s="3">
        <f t="shared" ref="L7:L25" si="17">-LN(1-K7)</f>
        <v>3.8223174574010939</v>
      </c>
      <c r="M7" s="3">
        <f t="shared" ref="M7:M25" si="18">1/L7</f>
        <v>0.26162138837100396</v>
      </c>
      <c r="N7" s="13">
        <f t="shared" si="12"/>
        <v>2.2946574075142196</v>
      </c>
      <c r="O7" s="8">
        <f>1-GEVCUM(KVD!$G$11,KVD!$H$11,KVD!$I$11,$A7)</f>
        <v>0.99959405282234204</v>
      </c>
      <c r="P7" s="3">
        <f t="shared" ref="P7:P32" si="19">-LN(1-O7)</f>
        <v>7.8092875111175744</v>
      </c>
      <c r="Q7" s="3">
        <f t="shared" ref="Q7:Q32" si="20">1/P7</f>
        <v>0.12805265506953933</v>
      </c>
      <c r="R7" s="13">
        <f t="shared" ref="R7:R32" si="21">KLASSEFREQUENTIEUITHERHALINGSTIJD(R$2,Q6,Q7,Q8)</f>
        <v>2.6736285586375468</v>
      </c>
      <c r="S7" s="6">
        <f>1-GEVCUM(KVD!$G$12,KVD!$H$12,KVD!$I$12,$A7)</f>
        <v>0.99977294641347403</v>
      </c>
      <c r="T7" s="3">
        <f t="shared" ref="T7" si="22">-LN(1-S7)</f>
        <v>8.3903245043505272</v>
      </c>
      <c r="U7" s="3">
        <f t="shared" ref="U7" si="23">1/T7</f>
        <v>0.1191849015471908</v>
      </c>
      <c r="V7" s="32">
        <f t="shared" ref="V7:V33" si="24">KLASSEFREQUENTIEUITHERHALINGSTIJD(V$2,U6,U7,U8)</f>
        <v>2.5622204769893493</v>
      </c>
    </row>
    <row r="8" spans="1:22" x14ac:dyDescent="0.25">
      <c r="A8" s="23">
        <f t="shared" si="4"/>
        <v>37.5</v>
      </c>
      <c r="B8" s="13">
        <f t="shared" si="5"/>
        <v>35</v>
      </c>
      <c r="C8" s="8">
        <f>1-GEVCUM(KVD!$G$8,KVD!$H$8,KVD!$I$8,$A8)</f>
        <v>0.14630009531960431</v>
      </c>
      <c r="D8" s="3">
        <f t="shared" si="0"/>
        <v>0.15817554662056724</v>
      </c>
      <c r="E8" s="3">
        <f t="shared" si="1"/>
        <v>6.3220897374156575</v>
      </c>
      <c r="F8" s="32">
        <f t="shared" si="6"/>
        <v>0.17605991532732737</v>
      </c>
      <c r="G8" s="8">
        <f>1-GEVCUM(KVD!$G$9,KVD!$H$9,KVD!$I$9,$A8)</f>
        <v>0.49645187824658854</v>
      </c>
      <c r="H8" s="3">
        <f t="shared" si="2"/>
        <v>0.68607599690504528</v>
      </c>
      <c r="I8" s="3">
        <f t="shared" si="3"/>
        <v>1.4575644746516363</v>
      </c>
      <c r="J8" s="13">
        <f t="shared" si="7"/>
        <v>0.58698580607022988</v>
      </c>
      <c r="K8" s="8">
        <f>1-GEVCUM(KVD!$G$10,KVD!$H$10,KVD!$I$10,$A8)</f>
        <v>0.9092802605489827</v>
      </c>
      <c r="L8" s="3">
        <f t="shared" si="17"/>
        <v>2.3999803110194153</v>
      </c>
      <c r="M8" s="3">
        <f t="shared" si="18"/>
        <v>0.41667008492050511</v>
      </c>
      <c r="N8" s="13">
        <f t="shared" si="12"/>
        <v>1.4223371463816785</v>
      </c>
      <c r="O8" s="8">
        <f>1-GEVCUM(KVD!$G$11,KVD!$H$11,KVD!$I$11,$A8)</f>
        <v>0.99695449138539372</v>
      </c>
      <c r="P8" s="3">
        <f t="shared" si="19"/>
        <v>5.7940873590572632</v>
      </c>
      <c r="Q8" s="3">
        <f t="shared" si="20"/>
        <v>0.17258973467785385</v>
      </c>
      <c r="R8" s="13">
        <f t="shared" si="21"/>
        <v>2.0152001520603102</v>
      </c>
      <c r="S8" s="6">
        <f>1-GEVCUM(KVD!$G$12,KVD!$H$12,KVD!$I$12,$A8)</f>
        <v>0.99833565350080433</v>
      </c>
      <c r="T8" s="3">
        <f t="shared" ref="T8:T33" si="25">-LN(1-S8)</f>
        <v>6.398322725570833</v>
      </c>
      <c r="U8" s="3">
        <f t="shared" ref="U8:U33" si="26">1/T8</f>
        <v>0.15629095981725177</v>
      </c>
      <c r="V8" s="32">
        <f t="shared" si="24"/>
        <v>1.9920017787796933</v>
      </c>
    </row>
    <row r="9" spans="1:22" x14ac:dyDescent="0.25">
      <c r="A9" s="23">
        <f t="shared" si="4"/>
        <v>42.5</v>
      </c>
      <c r="B9" s="13">
        <f t="shared" si="5"/>
        <v>40</v>
      </c>
      <c r="C9" s="8">
        <f>1-GEVCUM(KVD!$G$8,KVD!$H$8,KVD!$I$8,$A9)</f>
        <v>7.486320431500515E-2</v>
      </c>
      <c r="D9" s="3">
        <f t="shared" si="0"/>
        <v>7.7813665176928351E-2</v>
      </c>
      <c r="E9" s="3">
        <f t="shared" si="1"/>
        <v>12.851213186350444</v>
      </c>
      <c r="F9" s="32">
        <f t="shared" si="6"/>
        <v>8.0361881443638886E-2</v>
      </c>
      <c r="G9" s="8">
        <f>1-GEVCUM(KVD!$G$9,KVD!$H$9,KVD!$I$9,$A9)</f>
        <v>0.31440427138760141</v>
      </c>
      <c r="H9" s="3">
        <f t="shared" si="2"/>
        <v>0.3774671418632507</v>
      </c>
      <c r="I9" s="3">
        <f t="shared" si="3"/>
        <v>2.6492372158906519</v>
      </c>
      <c r="J9" s="13">
        <f t="shared" si="7"/>
        <v>0.30860885504179458</v>
      </c>
      <c r="K9" s="8">
        <f>1-GEVCUM(KVD!$G$10,KVD!$H$10,KVD!$I$10,$A9)</f>
        <v>0.77998049789163981</v>
      </c>
      <c r="L9" s="3">
        <f t="shared" si="17"/>
        <v>1.5140390906115035</v>
      </c>
      <c r="M9" s="3">
        <f t="shared" si="18"/>
        <v>0.6604849281639823</v>
      </c>
      <c r="N9" s="13">
        <f t="shared" si="12"/>
        <v>0.88594122040791179</v>
      </c>
      <c r="O9" s="8">
        <f>1-GEVCUM(KVD!$G$11,KVD!$H$11,KVD!$I$11,$A9)</f>
        <v>0.9861723837308386</v>
      </c>
      <c r="P9" s="3">
        <f t="shared" si="19"/>
        <v>4.2810875075854007</v>
      </c>
      <c r="Q9" s="3">
        <f t="shared" si="20"/>
        <v>0.23358550794118557</v>
      </c>
      <c r="R9" s="13">
        <f t="shared" si="21"/>
        <v>1.5129998514718626</v>
      </c>
      <c r="S9" s="6">
        <f>1-GEVCUM(KVD!$G$12,KVD!$H$12,KVD!$I$12,$A9)</f>
        <v>0.99222104879161266</v>
      </c>
      <c r="T9" s="3">
        <f t="shared" si="25"/>
        <v>4.8563337559988771</v>
      </c>
      <c r="U9" s="3">
        <f t="shared" si="26"/>
        <v>0.20591665446484836</v>
      </c>
      <c r="V9" s="32">
        <f t="shared" si="24"/>
        <v>1.5419889695719569</v>
      </c>
    </row>
    <row r="10" spans="1:22" x14ac:dyDescent="0.25">
      <c r="A10" s="23">
        <f t="shared" si="4"/>
        <v>47.5</v>
      </c>
      <c r="B10" s="13">
        <f t="shared" si="5"/>
        <v>45</v>
      </c>
      <c r="C10" s="8">
        <f>1-GEVCUM(KVD!$G$8,KVD!$H$8,KVD!$I$8,$A10)</f>
        <v>3.8865536749368879E-2</v>
      </c>
      <c r="D10" s="3">
        <f t="shared" si="0"/>
        <v>3.9640959663821286E-2</v>
      </c>
      <c r="E10" s="3">
        <f t="shared" si="1"/>
        <v>25.226432671675703</v>
      </c>
      <c r="F10" s="32">
        <f t="shared" si="6"/>
        <v>3.8172705513107065E-2</v>
      </c>
      <c r="G10" s="8">
        <f>1-GEVCUM(KVD!$G$9,KVD!$H$9,KVD!$I$9,$A10)</f>
        <v>0.19081922190829081</v>
      </c>
      <c r="H10" s="3">
        <f t="shared" si="2"/>
        <v>0.21173292818260878</v>
      </c>
      <c r="I10" s="3">
        <f t="shared" si="3"/>
        <v>4.7229309516635567</v>
      </c>
      <c r="J10" s="13">
        <f t="shared" si="7"/>
        <v>0.16573421368064192</v>
      </c>
      <c r="K10" s="8">
        <f>1-GEVCUM(KVD!$G$10,KVD!$H$10,KVD!$I$10,$A10)</f>
        <v>0.61694007650840232</v>
      </c>
      <c r="L10" s="3">
        <f t="shared" si="17"/>
        <v>0.95956384383719429</v>
      </c>
      <c r="M10" s="3">
        <f t="shared" si="18"/>
        <v>1.0421401415054425</v>
      </c>
      <c r="N10" s="13">
        <f t="shared" si="12"/>
        <v>0.55447524677430926</v>
      </c>
      <c r="O10" s="8">
        <f>1-GEVCUM(KVD!$G$11,KVD!$H$11,KVD!$I$11,$A10)</f>
        <v>0.95713453898399481</v>
      </c>
      <c r="P10" s="3">
        <f t="shared" si="19"/>
        <v>3.1496888818408944</v>
      </c>
      <c r="Q10" s="3">
        <f t="shared" si="20"/>
        <v>0.31749167537319795</v>
      </c>
      <c r="R10" s="13">
        <f t="shared" si="21"/>
        <v>1.1313986257445063</v>
      </c>
      <c r="S10" s="6">
        <f>1-GEVCUM(KVD!$G$12,KVD!$H$12,KVD!$I$12,$A10)</f>
        <v>0.97447344717125239</v>
      </c>
      <c r="T10" s="3">
        <f t="shared" si="25"/>
        <v>3.6680360811795611</v>
      </c>
      <c r="U10" s="3">
        <f t="shared" si="26"/>
        <v>0.27262545347657041</v>
      </c>
      <c r="V10" s="32">
        <f t="shared" si="24"/>
        <v>1.1882976748193164</v>
      </c>
    </row>
    <row r="11" spans="1:22" x14ac:dyDescent="0.25">
      <c r="A11" s="23">
        <f t="shared" si="4"/>
        <v>52.5</v>
      </c>
      <c r="B11" s="13">
        <f t="shared" si="5"/>
        <v>50</v>
      </c>
      <c r="C11" s="8">
        <f>1-GEVCUM(KVD!$G$8,KVD!$H$8,KVD!$I$8,$A11)</f>
        <v>2.0628205639229735E-2</v>
      </c>
      <c r="D11" s="3">
        <f t="shared" si="0"/>
        <v>2.084393902511382E-2</v>
      </c>
      <c r="E11" s="3">
        <f t="shared" si="1"/>
        <v>47.975576919273749</v>
      </c>
      <c r="F11" s="32">
        <f t="shared" si="6"/>
        <v>1.8797020638707466E-2</v>
      </c>
      <c r="G11" s="8">
        <f>1-GEVCUM(KVD!$G$9,KVD!$H$9,KVD!$I$9,$A11)</f>
        <v>0.11391359397205492</v>
      </c>
      <c r="H11" s="3">
        <f t="shared" si="2"/>
        <v>0.12094080939861393</v>
      </c>
      <c r="I11" s="3">
        <f t="shared" si="3"/>
        <v>8.2685075862528556</v>
      </c>
      <c r="J11" s="13">
        <f t="shared" si="7"/>
        <v>9.0792118783994846E-2</v>
      </c>
      <c r="K11" s="8">
        <f>1-GEVCUM(KVD!$G$10,KVD!$H$10,KVD!$I$10,$A11)</f>
        <v>0.45714406146455833</v>
      </c>
      <c r="L11" s="3">
        <f t="shared" si="17"/>
        <v>0.61091130081277834</v>
      </c>
      <c r="M11" s="3">
        <f t="shared" si="18"/>
        <v>1.6368988405838361</v>
      </c>
      <c r="N11" s="13">
        <f t="shared" si="12"/>
        <v>0.34865254302441595</v>
      </c>
      <c r="O11" s="8">
        <f>1-GEVCUM(KVD!$G$11,KVD!$H$11,KVD!$I$11,$A11)</f>
        <v>0.90045371683229203</v>
      </c>
      <c r="P11" s="3">
        <f t="shared" si="19"/>
        <v>2.3071325855053844</v>
      </c>
      <c r="Q11" s="3">
        <f t="shared" si="20"/>
        <v>0.43343846222038729</v>
      </c>
      <c r="R11" s="13">
        <f t="shared" si="21"/>
        <v>0.84255629633550999</v>
      </c>
      <c r="S11" s="6">
        <f>1-GEVCUM(KVD!$G$12,KVD!$H$12,KVD!$I$12,$A11)</f>
        <v>0.93648920271907121</v>
      </c>
      <c r="T11" s="3">
        <f t="shared" si="25"/>
        <v>2.7565453516178211</v>
      </c>
      <c r="U11" s="3">
        <f t="shared" si="26"/>
        <v>0.36277291770770187</v>
      </c>
      <c r="V11" s="32">
        <f t="shared" si="24"/>
        <v>0.9114907295617396</v>
      </c>
    </row>
    <row r="12" spans="1:22" x14ac:dyDescent="0.25">
      <c r="A12" s="23">
        <f t="shared" si="4"/>
        <v>57.5</v>
      </c>
      <c r="B12" s="13">
        <f t="shared" si="5"/>
        <v>55</v>
      </c>
      <c r="C12" s="8">
        <f>1-GEVCUM(KVD!$G$8,KVD!$H$8,KVD!$I$8,$A12)</f>
        <v>1.1217156043676124E-2</v>
      </c>
      <c r="D12" s="3">
        <f t="shared" si="0"/>
        <v>1.1280542797025532E-2</v>
      </c>
      <c r="E12" s="3">
        <f t="shared" si="1"/>
        <v>88.648216490405176</v>
      </c>
      <c r="F12" s="32">
        <f t="shared" si="6"/>
        <v>9.5633962280882879E-3</v>
      </c>
      <c r="G12" s="8">
        <f>1-GEVCUM(KVD!$G$9,KVD!$H$9,KVD!$I$9,$A12)</f>
        <v>6.785541737079881E-2</v>
      </c>
      <c r="H12" s="3">
        <f t="shared" si="2"/>
        <v>7.026734475180843E-2</v>
      </c>
      <c r="I12" s="3">
        <f t="shared" si="3"/>
        <v>14.231361716201231</v>
      </c>
      <c r="J12" s="13">
        <f t="shared" si="7"/>
        <v>5.0673464646805499E-2</v>
      </c>
      <c r="K12" s="8">
        <f>1-GEVCUM(KVD!$G$10,KVD!$H$10,KVD!$I$10,$A12)</f>
        <v>0.32339731453476939</v>
      </c>
      <c r="L12" s="3">
        <f t="shared" si="17"/>
        <v>0.39067105358453685</v>
      </c>
      <c r="M12" s="3">
        <f t="shared" si="18"/>
        <v>2.5596982188075299</v>
      </c>
      <c r="N12" s="13">
        <f t="shared" si="12"/>
        <v>0.22024024722824148</v>
      </c>
      <c r="O12" s="8">
        <f>1-GEVCUM(KVD!$G$11,KVD!$H$11,KVD!$I$11,$A12)</f>
        <v>0.81406131396625137</v>
      </c>
      <c r="P12" s="3">
        <f t="shared" si="19"/>
        <v>1.6823383045936315</v>
      </c>
      <c r="Q12" s="3">
        <f t="shared" si="20"/>
        <v>0.59441076581891761</v>
      </c>
      <c r="R12" s="13">
        <f t="shared" si="21"/>
        <v>0.62479428091175282</v>
      </c>
      <c r="S12" s="6">
        <f>1-GEVCUM(KVD!$G$12,KVD!$H$12,KVD!$I$12,$A12)</f>
        <v>0.87264003664902123</v>
      </c>
      <c r="T12" s="3">
        <f t="shared" si="25"/>
        <v>2.0607378446453803</v>
      </c>
      <c r="U12" s="3">
        <f t="shared" si="26"/>
        <v>0.48526308312258121</v>
      </c>
      <c r="V12" s="32">
        <f t="shared" si="24"/>
        <v>0.69580750697244076</v>
      </c>
    </row>
    <row r="13" spans="1:22" x14ac:dyDescent="0.25">
      <c r="A13" s="23">
        <f t="shared" si="4"/>
        <v>62.5</v>
      </c>
      <c r="B13" s="13">
        <f t="shared" si="5"/>
        <v>60</v>
      </c>
      <c r="C13" s="8">
        <f>1-GEVCUM(KVD!$G$8,KVD!$H$8,KVD!$I$8,$A13)</f>
        <v>6.2482785311240852E-3</v>
      </c>
      <c r="D13" s="3">
        <f t="shared" si="0"/>
        <v>6.2678807193716274E-3</v>
      </c>
      <c r="E13" s="3">
        <f t="shared" si="1"/>
        <v>159.54355942182843</v>
      </c>
      <c r="F13" s="32">
        <f t="shared" si="6"/>
        <v>5.0126620776539043E-3</v>
      </c>
      <c r="G13" s="8">
        <f>1-GEVCUM(KVD!$G$9,KVD!$H$9,KVD!$I$9,$A13)</f>
        <v>4.063652459022371E-2</v>
      </c>
      <c r="H13" s="3">
        <f t="shared" si="2"/>
        <v>4.1485260880914539E-2</v>
      </c>
      <c r="I13" s="3">
        <f t="shared" si="3"/>
        <v>24.104946642870313</v>
      </c>
      <c r="J13" s="13">
        <f t="shared" si="7"/>
        <v>2.8782083870893892E-2</v>
      </c>
      <c r="K13" s="8">
        <f>1-GEVCUM(KVD!$G$10,KVD!$H$10,KVD!$I$10,$A13)</f>
        <v>0.2219154953720065</v>
      </c>
      <c r="L13" s="3">
        <f t="shared" si="17"/>
        <v>0.25092014292845816</v>
      </c>
      <c r="M13" s="3">
        <f t="shared" si="18"/>
        <v>3.9853317008715319</v>
      </c>
      <c r="N13" s="13">
        <f t="shared" si="12"/>
        <v>0.1397509106560787</v>
      </c>
      <c r="O13" s="8">
        <f>1-GEVCUM(KVD!$G$11,KVD!$H$11,KVD!$I$11,$A13)</f>
        <v>0.70507853301306012</v>
      </c>
      <c r="P13" s="3">
        <f t="shared" si="19"/>
        <v>1.2210461716870422</v>
      </c>
      <c r="Q13" s="3">
        <f t="shared" si="20"/>
        <v>0.81896984994299049</v>
      </c>
      <c r="R13" s="13">
        <f t="shared" si="21"/>
        <v>0.46129213290658933</v>
      </c>
      <c r="S13" s="6">
        <f>1-GEVCUM(KVD!$G$12,KVD!$H$12,KVD!$I$12,$A13)</f>
        <v>0.78394479367703207</v>
      </c>
      <c r="T13" s="3">
        <f t="shared" si="25"/>
        <v>1.5322213191256548</v>
      </c>
      <c r="U13" s="3">
        <f t="shared" si="26"/>
        <v>0.65264723021256421</v>
      </c>
      <c r="V13" s="32">
        <f t="shared" si="24"/>
        <v>0.52851652551972572</v>
      </c>
    </row>
    <row r="14" spans="1:22" x14ac:dyDescent="0.25">
      <c r="A14" s="23">
        <f t="shared" si="4"/>
        <v>67.5</v>
      </c>
      <c r="B14" s="13">
        <f t="shared" si="5"/>
        <v>65</v>
      </c>
      <c r="C14" s="8">
        <f>1-GEVCUM(KVD!$G$8,KVD!$H$8,KVD!$I$8,$A14)</f>
        <v>3.5615249873729438E-3</v>
      </c>
      <c r="D14" s="3">
        <f t="shared" si="0"/>
        <v>3.5678823165036424E-3</v>
      </c>
      <c r="E14" s="3">
        <f t="shared" si="1"/>
        <v>280.2783027271912</v>
      </c>
      <c r="F14" s="32">
        <f t="shared" si="6"/>
        <v>2.6999984028679854E-3</v>
      </c>
      <c r="G14" s="8">
        <f>1-GEVCUM(KVD!$G$9,KVD!$H$9,KVD!$I$9,$A14)</f>
        <v>2.4558759246770423E-2</v>
      </c>
      <c r="H14" s="3">
        <f t="shared" si="2"/>
        <v>2.4865355737549555E-2</v>
      </c>
      <c r="I14" s="3">
        <f t="shared" si="3"/>
        <v>40.216597363611598</v>
      </c>
      <c r="J14" s="13">
        <f t="shared" si="7"/>
        <v>1.6619905143364984E-2</v>
      </c>
      <c r="K14" s="8">
        <f>1-GEVCUM(KVD!$G$10,KVD!$H$10,KVD!$I$10,$A14)</f>
        <v>0.14943180492327501</v>
      </c>
      <c r="L14" s="3">
        <f t="shared" si="17"/>
        <v>0.16185068802470284</v>
      </c>
      <c r="M14" s="3">
        <f t="shared" si="18"/>
        <v>6.178534130465807</v>
      </c>
      <c r="N14" s="13">
        <f t="shared" si="12"/>
        <v>8.9069454903755313E-2</v>
      </c>
      <c r="O14" s="8">
        <f>1-GEVCUM(KVD!$G$11,KVD!$H$11,KVD!$I$11,$A14)</f>
        <v>0.58604558599079637</v>
      </c>
      <c r="P14" s="3">
        <f t="shared" si="19"/>
        <v>0.8819994223083738</v>
      </c>
      <c r="Q14" s="3">
        <f t="shared" si="20"/>
        <v>1.1337875906798152</v>
      </c>
      <c r="R14" s="13">
        <f t="shared" si="21"/>
        <v>0.33904674937866841</v>
      </c>
      <c r="S14" s="6">
        <f>1-GEVCUM(KVD!$G$12,KVD!$H$12,KVD!$I$12,$A14)</f>
        <v>0.67788543529549072</v>
      </c>
      <c r="T14" s="3">
        <f t="shared" si="25"/>
        <v>1.1328480057085477</v>
      </c>
      <c r="U14" s="3">
        <f t="shared" si="26"/>
        <v>0.88273095327959994</v>
      </c>
      <c r="V14" s="32">
        <f t="shared" si="24"/>
        <v>0.39937331341710691</v>
      </c>
    </row>
    <row r="15" spans="1:22" x14ac:dyDescent="0.25">
      <c r="A15" s="23">
        <f t="shared" si="4"/>
        <v>72.5</v>
      </c>
      <c r="B15" s="13">
        <f t="shared" si="5"/>
        <v>70</v>
      </c>
      <c r="C15" s="8">
        <f>1-GEVCUM(KVD!$G$8,KVD!$H$8,KVD!$I$8,$A15)</f>
        <v>2.0745251575771118E-3</v>
      </c>
      <c r="D15" s="3">
        <f t="shared" si="0"/>
        <v>2.0766799655431468E-3</v>
      </c>
      <c r="E15" s="3">
        <f t="shared" si="1"/>
        <v>481.53784723321786</v>
      </c>
      <c r="F15" s="32">
        <f t="shared" si="6"/>
        <v>1.4912023509604951E-3</v>
      </c>
      <c r="G15" s="8">
        <f>1-GEVCUM(KVD!$G$9,KVD!$H$9,KVD!$I$9,$A15)</f>
        <v>1.5004162314355529E-2</v>
      </c>
      <c r="H15" s="3">
        <f t="shared" si="2"/>
        <v>1.5117863518829794E-2</v>
      </c>
      <c r="I15" s="3">
        <f t="shared" si="3"/>
        <v>66.146912806460207</v>
      </c>
      <c r="J15" s="13">
        <f t="shared" si="7"/>
        <v>9.7474922187197627E-3</v>
      </c>
      <c r="K15" s="8">
        <f>1-GEVCUM(KVD!$G$10,KVD!$H$10,KVD!$I$10,$A15)</f>
        <v>9.9528338547991702E-2</v>
      </c>
      <c r="L15" s="3">
        <f t="shared" si="17"/>
        <v>0.10483658465363896</v>
      </c>
      <c r="M15" s="3">
        <f t="shared" si="18"/>
        <v>9.5386548818222039</v>
      </c>
      <c r="N15" s="13">
        <f t="shared" si="12"/>
        <v>5.7014103371063884E-2</v>
      </c>
      <c r="O15" s="8">
        <f>1-GEVCUM(KVD!$G$11,KVD!$H$11,KVD!$I$11,$A15)</f>
        <v>0.46951065329644781</v>
      </c>
      <c r="P15" s="3">
        <f t="shared" si="19"/>
        <v>0.63395540274415374</v>
      </c>
      <c r="Q15" s="3">
        <f t="shared" si="20"/>
        <v>1.5773980246423918</v>
      </c>
      <c r="R15" s="13">
        <f t="shared" si="21"/>
        <v>0.24804401956422006</v>
      </c>
      <c r="S15" s="6">
        <f>1-GEVCUM(KVD!$G$12,KVD!$H$12,KVD!$I$12,$A15)</f>
        <v>0.5651178130000396</v>
      </c>
      <c r="T15" s="3">
        <f t="shared" si="25"/>
        <v>0.83268011905858452</v>
      </c>
      <c r="U15" s="3">
        <f t="shared" si="26"/>
        <v>1.2009413664524438</v>
      </c>
      <c r="V15" s="32">
        <f t="shared" si="24"/>
        <v>0.30016788664996319</v>
      </c>
    </row>
    <row r="16" spans="1:22" x14ac:dyDescent="0.25">
      <c r="A16" s="23">
        <f t="shared" si="4"/>
        <v>77.5</v>
      </c>
      <c r="B16" s="13">
        <f t="shared" si="5"/>
        <v>75</v>
      </c>
      <c r="C16" s="8">
        <f>1-GEVCUM(KVD!$G$8,KVD!$H$8,KVD!$I$8,$A16)</f>
        <v>1.2330901030009889E-3</v>
      </c>
      <c r="D16" s="3">
        <f t="shared" si="0"/>
        <v>1.2338509841563793E-3</v>
      </c>
      <c r="E16" s="3">
        <f t="shared" si="1"/>
        <v>810.47064259848992</v>
      </c>
      <c r="F16" s="32">
        <f t="shared" si="6"/>
        <v>8.4282898138676753E-4</v>
      </c>
      <c r="G16" s="8">
        <f>1-GEVCUM(KVD!$G$9,KVD!$H$9,KVD!$I$9,$A16)</f>
        <v>9.2730730172042586E-3</v>
      </c>
      <c r="H16" s="3">
        <f t="shared" si="2"/>
        <v>9.3163356180026163E-3</v>
      </c>
      <c r="I16" s="3">
        <f t="shared" si="3"/>
        <v>107.33833998719723</v>
      </c>
      <c r="J16" s="13">
        <f t="shared" si="7"/>
        <v>5.8015279008271758E-3</v>
      </c>
      <c r="K16" s="8">
        <f>1-GEVCUM(KVD!$G$10,KVD!$H$10,KVD!$I$10,$A16)</f>
        <v>6.5913403016244376E-2</v>
      </c>
      <c r="L16" s="3">
        <f t="shared" si="17"/>
        <v>6.8186128794483242E-2</v>
      </c>
      <c r="M16" s="3">
        <f t="shared" si="18"/>
        <v>14.665739464606581</v>
      </c>
      <c r="N16" s="13">
        <f t="shared" si="12"/>
        <v>3.6650455859155717E-2</v>
      </c>
      <c r="O16" s="8">
        <f>1-GEVCUM(KVD!$G$11,KVD!$H$11,KVD!$I$11,$A16)</f>
        <v>0.3645066436897777</v>
      </c>
      <c r="P16" s="3">
        <f t="shared" si="19"/>
        <v>0.4533536426791514</v>
      </c>
      <c r="Q16" s="3">
        <f t="shared" si="20"/>
        <v>2.2057835337781162</v>
      </c>
      <c r="R16" s="13">
        <f t="shared" si="21"/>
        <v>0.18060176006500234</v>
      </c>
      <c r="S16" s="6">
        <f>1-GEVCUM(KVD!$G$12,KVD!$H$12,KVD!$I$12,$A16)</f>
        <v>0.45574196917057941</v>
      </c>
      <c r="T16" s="3">
        <f t="shared" si="25"/>
        <v>0.60833182320340928</v>
      </c>
      <c r="U16" s="3">
        <f t="shared" si="26"/>
        <v>1.6438396971148224</v>
      </c>
      <c r="V16" s="32">
        <f t="shared" si="24"/>
        <v>0.22434829585517524</v>
      </c>
    </row>
    <row r="17" spans="1:22" x14ac:dyDescent="0.25">
      <c r="A17" s="23">
        <f t="shared" si="4"/>
        <v>82.5</v>
      </c>
      <c r="B17" s="13">
        <f t="shared" si="5"/>
        <v>80</v>
      </c>
      <c r="C17" s="8">
        <f>1-GEVCUM(KVD!$G$8,KVD!$H$8,KVD!$I$8,$A17)</f>
        <v>7.4691866141884944E-4</v>
      </c>
      <c r="D17" s="3">
        <f t="shared" si="0"/>
        <v>7.4719774413895175E-4</v>
      </c>
      <c r="E17" s="3">
        <f t="shared" si="1"/>
        <v>1338.3338049987958</v>
      </c>
      <c r="F17" s="32">
        <f t="shared" si="6"/>
        <v>4.8665324001742757E-4</v>
      </c>
      <c r="G17" s="8">
        <f>1-GEVCUM(KVD!$G$9,KVD!$H$9,KVD!$I$9,$A17)</f>
        <v>5.7981222563405765E-3</v>
      </c>
      <c r="H17" s="3">
        <f t="shared" si="2"/>
        <v>5.814996625239959E-3</v>
      </c>
      <c r="I17" s="3">
        <f t="shared" si="3"/>
        <v>171.96914537482374</v>
      </c>
      <c r="J17" s="13">
        <f t="shared" si="7"/>
        <v>3.5013389927626573E-3</v>
      </c>
      <c r="K17" s="8">
        <f>1-GEVCUM(KVD!$G$10,KVD!$H$10,KVD!$I$10,$A17)</f>
        <v>4.3550926465549256E-2</v>
      </c>
      <c r="L17" s="3">
        <f t="shared" si="17"/>
        <v>4.4527734034212056E-2</v>
      </c>
      <c r="M17" s="3">
        <f t="shared" si="18"/>
        <v>22.457913515915017</v>
      </c>
      <c r="N17" s="13">
        <f t="shared" si="12"/>
        <v>2.3658394760271186E-2</v>
      </c>
      <c r="O17" s="8">
        <f>1-GEVCUM(KVD!$G$11,KVD!$H$11,KVD!$I$11,$A17)</f>
        <v>0.27566647812719758</v>
      </c>
      <c r="P17" s="3">
        <f t="shared" si="19"/>
        <v>0.32250332710006024</v>
      </c>
      <c r="Q17" s="3">
        <f t="shared" si="20"/>
        <v>3.1007432047041763</v>
      </c>
      <c r="R17" s="13">
        <f t="shared" si="21"/>
        <v>0.13085031557909116</v>
      </c>
      <c r="S17" s="6">
        <f>1-GEVCUM(KVD!$G$12,KVD!$H$12,KVD!$I$12,$A17)</f>
        <v>0.35700818043033677</v>
      </c>
      <c r="T17" s="3">
        <f t="shared" si="25"/>
        <v>0.44162327711212901</v>
      </c>
      <c r="U17" s="3">
        <f t="shared" si="26"/>
        <v>2.2643733965727946</v>
      </c>
      <c r="V17" s="32">
        <f t="shared" si="24"/>
        <v>0.16670854609128027</v>
      </c>
    </row>
    <row r="18" spans="1:22" x14ac:dyDescent="0.25">
      <c r="A18" s="23">
        <f t="shared" si="4"/>
        <v>87.5</v>
      </c>
      <c r="B18" s="13">
        <f t="shared" si="5"/>
        <v>85</v>
      </c>
      <c r="C18" s="8">
        <f>1-GEVCUM(KVD!$G$8,KVD!$H$8,KVD!$I$8,$A18)</f>
        <v>4.6047182593733638E-4</v>
      </c>
      <c r="D18" s="3">
        <f t="shared" si="0"/>
        <v>4.6057787564509532E-4</v>
      </c>
      <c r="E18" s="3">
        <f t="shared" si="1"/>
        <v>2171.1854886632982</v>
      </c>
      <c r="F18" s="32">
        <f t="shared" si="6"/>
        <v>2.8661986849385648E-4</v>
      </c>
      <c r="G18" s="8">
        <f>1-GEVCUM(KVD!$G$9,KVD!$H$9,KVD!$I$9,$A18)</f>
        <v>3.667080733872341E-3</v>
      </c>
      <c r="H18" s="3">
        <f t="shared" si="2"/>
        <v>3.6738209574347282E-3</v>
      </c>
      <c r="I18" s="3">
        <f t="shared" si="3"/>
        <v>272.1961716659859</v>
      </c>
      <c r="J18" s="13">
        <f t="shared" si="7"/>
        <v>2.1411756678052308E-3</v>
      </c>
      <c r="K18" s="8">
        <f>1-GEVCUM(KVD!$G$10,KVD!$H$10,KVD!$I$10,$A18)</f>
        <v>2.8771345842755092E-2</v>
      </c>
      <c r="L18" s="3">
        <f t="shared" si="17"/>
        <v>2.9193355243471424E-2</v>
      </c>
      <c r="M18" s="3">
        <f t="shared" si="18"/>
        <v>34.254370272277363</v>
      </c>
      <c r="N18" s="13">
        <f t="shared" si="12"/>
        <v>1.5334378790740632E-2</v>
      </c>
      <c r="O18" s="8">
        <f>1-GEVCUM(KVD!$G$11,KVD!$H$11,KVD!$I$11,$A18)</f>
        <v>0.20401893909914659</v>
      </c>
      <c r="P18" s="3">
        <f t="shared" si="19"/>
        <v>0.22817988625893196</v>
      </c>
      <c r="Q18" s="3">
        <f t="shared" si="20"/>
        <v>4.382507224432695</v>
      </c>
      <c r="R18" s="13">
        <f t="shared" si="21"/>
        <v>9.4323440841128287E-2</v>
      </c>
      <c r="S18" s="6">
        <f>1-GEVCUM(KVD!$G$12,KVD!$H$12,KVD!$I$12,$A18)</f>
        <v>0.2727554379797561</v>
      </c>
      <c r="T18" s="3">
        <f t="shared" si="25"/>
        <v>0.31849245909061746</v>
      </c>
      <c r="U18" s="3">
        <f t="shared" si="26"/>
        <v>3.1397917641606705</v>
      </c>
      <c r="V18" s="32">
        <f t="shared" si="24"/>
        <v>0.12313081802151155</v>
      </c>
    </row>
    <row r="19" spans="1:22" x14ac:dyDescent="0.25">
      <c r="A19" s="23">
        <f t="shared" si="4"/>
        <v>92.5</v>
      </c>
      <c r="B19" s="13">
        <f t="shared" si="5"/>
        <v>90</v>
      </c>
      <c r="C19" s="8">
        <f>1-GEVCUM(KVD!$G$8,KVD!$H$8,KVD!$I$8,$A19)</f>
        <v>2.8858747066107249E-4</v>
      </c>
      <c r="D19" s="3">
        <f t="shared" si="0"/>
        <v>2.8862912003836878E-4</v>
      </c>
      <c r="E19" s="3">
        <f t="shared" si="1"/>
        <v>3464.6538778452618</v>
      </c>
      <c r="F19" s="32">
        <f t="shared" si="6"/>
        <v>1.7194875560672649E-4</v>
      </c>
      <c r="G19" s="8">
        <f>1-GEVCUM(KVD!$G$9,KVD!$H$9,KVD!$I$9,$A19)</f>
        <v>2.345184167328207E-3</v>
      </c>
      <c r="H19" s="3">
        <f t="shared" si="2"/>
        <v>2.3479384187113221E-3</v>
      </c>
      <c r="I19" s="3">
        <f t="shared" si="3"/>
        <v>425.90554847211672</v>
      </c>
      <c r="J19" s="13">
        <f t="shared" si="7"/>
        <v>1.3258825387234062E-3</v>
      </c>
      <c r="K19" s="8">
        <f>1-GEVCUM(KVD!$G$10,KVD!$H$10,KVD!$I$10,$A19)</f>
        <v>1.9030885584347401E-2</v>
      </c>
      <c r="L19" s="3">
        <f t="shared" si="17"/>
        <v>1.9214303688491623E-2</v>
      </c>
      <c r="M19" s="3">
        <f t="shared" si="18"/>
        <v>52.04456097979488</v>
      </c>
      <c r="N19" s="13">
        <f t="shared" si="12"/>
        <v>9.9790515549798009E-3</v>
      </c>
      <c r="O19" s="8">
        <f>1-GEVCUM(KVD!$G$11,KVD!$H$11,KVD!$I$11,$A19)</f>
        <v>0.14831850810198666</v>
      </c>
      <c r="P19" s="3">
        <f t="shared" si="19"/>
        <v>0.16054265784729779</v>
      </c>
      <c r="Q19" s="3">
        <f t="shared" si="20"/>
        <v>6.2288740787583246</v>
      </c>
      <c r="R19" s="13">
        <f t="shared" si="21"/>
        <v>6.7637228411634165E-2</v>
      </c>
      <c r="S19" s="6">
        <f>1-GEVCUM(KVD!$G$12,KVD!$H$12,KVD!$I$12,$A19)</f>
        <v>0.20397056579095341</v>
      </c>
      <c r="T19" s="3">
        <f t="shared" si="25"/>
        <v>0.22811911617185446</v>
      </c>
      <c r="U19" s="3">
        <f t="shared" si="26"/>
        <v>4.383674708114536</v>
      </c>
      <c r="V19" s="32">
        <f t="shared" si="24"/>
        <v>9.0373342918763006E-2</v>
      </c>
    </row>
    <row r="20" spans="1:22" x14ac:dyDescent="0.25">
      <c r="A20" s="23">
        <f t="shared" si="4"/>
        <v>97.5</v>
      </c>
      <c r="B20" s="13">
        <f t="shared" si="5"/>
        <v>95</v>
      </c>
      <c r="C20" s="8">
        <f>1-GEVCUM(KVD!$G$8,KVD!$H$8,KVD!$I$8,$A20)</f>
        <v>1.8366810487113749E-4</v>
      </c>
      <c r="D20" s="3">
        <f t="shared" si="0"/>
        <v>1.8368497392308046E-4</v>
      </c>
      <c r="E20" s="3">
        <f t="shared" si="1"/>
        <v>5444.1034486509379</v>
      </c>
      <c r="F20" s="32">
        <f t="shared" si="6"/>
        <v>2.8862912003836878E-4</v>
      </c>
      <c r="G20" s="8">
        <f>1-GEVCUM(KVD!$G$9,KVD!$H$9,KVD!$I$9,$A20)</f>
        <v>1.5159385945077153E-3</v>
      </c>
      <c r="H20" s="3">
        <f t="shared" si="2"/>
        <v>1.5170887919850043E-3</v>
      </c>
      <c r="I20" s="3">
        <f t="shared" si="3"/>
        <v>659.15719981792904</v>
      </c>
      <c r="J20" s="13">
        <f t="shared" si="7"/>
        <v>8.308496267263178E-4</v>
      </c>
      <c r="K20" s="8">
        <f>1-GEVCUM(KVD!$G$10,KVD!$H$10,KVD!$I$10,$A20)</f>
        <v>1.2614441938167187E-2</v>
      </c>
      <c r="L20" s="3">
        <f t="shared" si="17"/>
        <v>1.2694679492987018E-2</v>
      </c>
      <c r="M20" s="3">
        <f t="shared" si="18"/>
        <v>78.773158515142882</v>
      </c>
      <c r="N20" s="13">
        <f t="shared" si="12"/>
        <v>6.5196241955046055E-3</v>
      </c>
      <c r="O20" s="8">
        <f>1-GEVCUM(KVD!$G$11,KVD!$H$11,KVD!$I$11,$A20)</f>
        <v>0.10622710845178029</v>
      </c>
      <c r="P20" s="3">
        <f t="shared" si="19"/>
        <v>0.11230357238083992</v>
      </c>
      <c r="Q20" s="3">
        <f t="shared" si="20"/>
        <v>8.9044362418751497</v>
      </c>
      <c r="R20" s="13">
        <f t="shared" si="21"/>
        <v>4.8239085466457887E-2</v>
      </c>
      <c r="S20" s="6">
        <f>1-GEVCUM(KVD!$G$12,KVD!$H$12,KVD!$I$12,$A20)</f>
        <v>0.14974807190613937</v>
      </c>
      <c r="T20" s="3">
        <f t="shared" si="25"/>
        <v>0.16222258741864934</v>
      </c>
      <c r="U20" s="3">
        <f t="shared" si="26"/>
        <v>6.1643696843479061</v>
      </c>
      <c r="V20" s="32">
        <f t="shared" si="24"/>
        <v>6.5896528753205119E-2</v>
      </c>
    </row>
    <row r="21" spans="1:22" x14ac:dyDescent="0.25">
      <c r="A21" s="23">
        <f t="shared" si="4"/>
        <v>102.5</v>
      </c>
      <c r="B21" s="13">
        <f t="shared" si="5"/>
        <v>100</v>
      </c>
      <c r="C21" s="8"/>
      <c r="D21" s="3"/>
      <c r="E21" s="3"/>
      <c r="F21" s="32"/>
      <c r="G21" s="8">
        <f>1-GEVCUM(KVD!$G$9,KVD!$H$9,KVD!$I$9,$A21)</f>
        <v>9.9003083147763959E-4</v>
      </c>
      <c r="H21" s="3">
        <f t="shared" si="2"/>
        <v>9.9052123570486585E-4</v>
      </c>
      <c r="I21" s="3">
        <f t="shared" si="3"/>
        <v>1009.5694710557002</v>
      </c>
      <c r="J21" s="13">
        <f t="shared" si="7"/>
        <v>5.2656755628013841E-4</v>
      </c>
      <c r="K21" s="8">
        <f>1-GEVCUM(KVD!$G$10,KVD!$H$10,KVD!$I$10,$A21)</f>
        <v>8.3833679884270929E-3</v>
      </c>
      <c r="L21" s="3">
        <f t="shared" si="17"/>
        <v>8.4187060577989702E-3</v>
      </c>
      <c r="M21" s="3">
        <f t="shared" si="18"/>
        <v>118.7830995802038</v>
      </c>
      <c r="N21" s="13">
        <f t="shared" si="12"/>
        <v>4.2759734351880477E-3</v>
      </c>
      <c r="O21" s="8">
        <f>1-GEVCUM(KVD!$G$11,KVD!$H$11,KVD!$I$11,$A21)</f>
        <v>7.5120047613003282E-2</v>
      </c>
      <c r="P21" s="3">
        <f t="shared" si="19"/>
        <v>7.8091331095267724E-2</v>
      </c>
      <c r="Q21" s="3">
        <f t="shared" si="20"/>
        <v>12.805518691697641</v>
      </c>
      <c r="R21" s="13">
        <f t="shared" si="21"/>
        <v>3.4212241285572181E-2</v>
      </c>
      <c r="S21" s="6">
        <f>1-GEVCUM(KVD!$G$12,KVD!$H$12,KVD!$I$12,$A21)</f>
        <v>0.10818945938379443</v>
      </c>
      <c r="T21" s="3">
        <f t="shared" si="25"/>
        <v>0.11450156737419054</v>
      </c>
      <c r="U21" s="3">
        <f t="shared" si="26"/>
        <v>8.7335049024438689</v>
      </c>
      <c r="V21" s="32">
        <f t="shared" si="24"/>
        <v>4.7721020044458801E-2</v>
      </c>
    </row>
    <row r="22" spans="1:22" x14ac:dyDescent="0.25">
      <c r="A22" s="23">
        <f t="shared" si="4"/>
        <v>107.5</v>
      </c>
      <c r="B22" s="13">
        <f t="shared" si="5"/>
        <v>105</v>
      </c>
      <c r="C22" s="8"/>
      <c r="D22" s="3"/>
      <c r="E22" s="3"/>
      <c r="F22" s="32"/>
      <c r="G22" s="8">
        <f>1-GEVCUM(KVD!$G$9,KVD!$H$9,KVD!$I$9,$A22)</f>
        <v>6.5296821872518063E-4</v>
      </c>
      <c r="H22" s="3">
        <f t="shared" ref="H22" si="27">-LN(1-G22)</f>
        <v>6.5318149531945881E-4</v>
      </c>
      <c r="I22" s="3">
        <f t="shared" ref="I22" si="28">1/H22</f>
        <v>1530.9680497162872</v>
      </c>
      <c r="J22" s="13">
        <f t="shared" si="7"/>
        <v>9.9052123570486585E-4</v>
      </c>
      <c r="K22" s="8">
        <f>1-GEVCUM(KVD!$G$10,KVD!$H$10,KVD!$I$10,$A22)</f>
        <v>5.5879189751592007E-3</v>
      </c>
      <c r="L22" s="3">
        <f t="shared" si="17"/>
        <v>5.6035897998605059E-3</v>
      </c>
      <c r="M22" s="3">
        <f t="shared" si="18"/>
        <v>178.45703124538019</v>
      </c>
      <c r="N22" s="13">
        <f t="shared" si="12"/>
        <v>2.8151162579384643E-3</v>
      </c>
      <c r="O22" s="8">
        <f>1-GEVCUM(KVD!$G$11,KVD!$H$11,KVD!$I$11,$A22)</f>
        <v>5.2536834235657359E-2</v>
      </c>
      <c r="P22" s="3">
        <f t="shared" si="19"/>
        <v>5.3967217963966974E-2</v>
      </c>
      <c r="Q22" s="3">
        <f t="shared" si="20"/>
        <v>18.529767472314091</v>
      </c>
      <c r="R22" s="13">
        <f t="shared" si="21"/>
        <v>2.4124113131300751E-2</v>
      </c>
      <c r="S22" s="6">
        <f>1-GEVCUM(KVD!$G$12,KVD!$H$12,KVD!$I$12,$A22)</f>
        <v>7.7058336330899313E-2</v>
      </c>
      <c r="T22" s="3">
        <f t="shared" si="25"/>
        <v>8.0189249435396862E-2</v>
      </c>
      <c r="U22" s="3">
        <f t="shared" si="26"/>
        <v>12.470499562483539</v>
      </c>
      <c r="V22" s="32">
        <f t="shared" si="24"/>
        <v>3.4312317938793677E-2</v>
      </c>
    </row>
    <row r="23" spans="1:22" x14ac:dyDescent="0.25">
      <c r="A23" s="23">
        <f t="shared" si="4"/>
        <v>112.5</v>
      </c>
      <c r="B23" s="13">
        <f t="shared" si="5"/>
        <v>110</v>
      </c>
      <c r="C23" s="8"/>
      <c r="D23" s="3"/>
      <c r="E23" s="3"/>
      <c r="F23" s="32"/>
      <c r="G23" s="8"/>
      <c r="H23" s="3"/>
      <c r="I23" s="3"/>
      <c r="J23" s="13"/>
      <c r="K23" s="8">
        <f>1-GEVCUM(KVD!$G$10,KVD!$H$10,KVD!$I$10,$A23)</f>
        <v>3.7363173562354746E-3</v>
      </c>
      <c r="L23" s="3">
        <f t="shared" si="17"/>
        <v>3.7433148252097059E-3</v>
      </c>
      <c r="M23" s="3">
        <f t="shared" si="18"/>
        <v>267.14290587193091</v>
      </c>
      <c r="N23" s="13">
        <f t="shared" si="12"/>
        <v>1.8602749746508E-3</v>
      </c>
      <c r="O23" s="8">
        <f>1-GEVCUM(KVD!$G$11,KVD!$H$11,KVD!$I$11,$A23)</f>
        <v>3.6379793584783493E-2</v>
      </c>
      <c r="P23" s="3">
        <f t="shared" si="19"/>
        <v>3.7058038748521101E-2</v>
      </c>
      <c r="Q23" s="3">
        <f t="shared" si="20"/>
        <v>26.984698429025947</v>
      </c>
      <c r="R23" s="13">
        <f t="shared" si="21"/>
        <v>1.6909179215445873E-2</v>
      </c>
      <c r="S23" s="6">
        <f>1-GEVCUM(KVD!$G$12,KVD!$H$12,KVD!$I$12,$A23)</f>
        <v>5.4178904118295512E-2</v>
      </c>
      <c r="T23" s="3">
        <f t="shared" si="25"/>
        <v>5.5701844219138708E-2</v>
      </c>
      <c r="U23" s="3">
        <f t="shared" si="26"/>
        <v>17.952726952196819</v>
      </c>
      <c r="V23" s="32">
        <f t="shared" si="24"/>
        <v>2.4487405216258161E-2</v>
      </c>
    </row>
    <row r="24" spans="1:22" x14ac:dyDescent="0.25">
      <c r="A24" s="23">
        <f t="shared" si="4"/>
        <v>117.5</v>
      </c>
      <c r="B24" s="13">
        <f t="shared" si="5"/>
        <v>115</v>
      </c>
      <c r="C24" s="8"/>
      <c r="D24" s="3"/>
      <c r="E24" s="3"/>
      <c r="F24" s="32"/>
      <c r="G24" s="8"/>
      <c r="H24" s="3"/>
      <c r="I24" s="3"/>
      <c r="J24" s="13"/>
      <c r="K24" s="8">
        <f>1-GEVCUM(KVD!$G$10,KVD!$H$10,KVD!$I$10,$A24)</f>
        <v>2.5063572570748205E-3</v>
      </c>
      <c r="L24" s="3">
        <f t="shared" si="17"/>
        <v>2.5095034284773375E-3</v>
      </c>
      <c r="M24" s="3">
        <f t="shared" si="18"/>
        <v>398.4852097240443</v>
      </c>
      <c r="N24" s="13">
        <f t="shared" si="12"/>
        <v>1.2338113967323683E-3</v>
      </c>
      <c r="O24" s="8">
        <f>1-GEVCUM(KVD!$G$11,KVD!$H$11,KVD!$I$11,$A24)</f>
        <v>2.4962302549467297E-2</v>
      </c>
      <c r="P24" s="3">
        <f t="shared" si="19"/>
        <v>2.5279144679896649E-2</v>
      </c>
      <c r="Q24" s="3">
        <f t="shared" si="20"/>
        <v>39.558300435506993</v>
      </c>
      <c r="R24" s="13">
        <f t="shared" si="21"/>
        <v>1.1778894068624448E-2</v>
      </c>
      <c r="S24" s="6">
        <f>1-GEVCUM(KVD!$G$12,KVD!$H$12,KVD!$I$12,$A24)</f>
        <v>3.7635802246972938E-2</v>
      </c>
      <c r="T24" s="3">
        <f t="shared" si="25"/>
        <v>3.8362316018394065E-2</v>
      </c>
      <c r="U24" s="3">
        <f t="shared" si="26"/>
        <v>26.067247856477628</v>
      </c>
      <c r="V24" s="32">
        <f t="shared" si="24"/>
        <v>1.7339528200744636E-2</v>
      </c>
    </row>
    <row r="25" spans="1:22" x14ac:dyDescent="0.25">
      <c r="A25" s="23">
        <f t="shared" si="4"/>
        <v>122.5</v>
      </c>
      <c r="B25" s="13">
        <f t="shared" si="5"/>
        <v>120</v>
      </c>
      <c r="C25" s="8"/>
      <c r="D25" s="3"/>
      <c r="E25" s="3"/>
      <c r="F25" s="32"/>
      <c r="G25" s="8"/>
      <c r="H25" s="3"/>
      <c r="I25" s="3"/>
      <c r="J25" s="13"/>
      <c r="K25" s="8">
        <f>1-GEVCUM(KVD!$G$10,KVD!$H$10,KVD!$I$10,$A25)</f>
        <v>1.686814103381562E-3</v>
      </c>
      <c r="L25" s="3">
        <f t="shared" si="17"/>
        <v>1.6882383761722098E-3</v>
      </c>
      <c r="M25" s="3">
        <f t="shared" si="18"/>
        <v>592.33341340535571</v>
      </c>
      <c r="N25" s="13">
        <f t="shared" si="12"/>
        <v>2.5095034284773375E-3</v>
      </c>
      <c r="O25" s="8">
        <f>1-GEVCUM(KVD!$G$11,KVD!$H$11,KVD!$I$11,$A25)</f>
        <v>1.6980611051718331E-2</v>
      </c>
      <c r="P25" s="3">
        <f t="shared" si="19"/>
        <v>1.7126434768777368E-2</v>
      </c>
      <c r="Q25" s="3">
        <f t="shared" si="20"/>
        <v>58.389268607326649</v>
      </c>
      <c r="R25" s="13">
        <f t="shared" si="21"/>
        <v>8.1527099111192852E-3</v>
      </c>
      <c r="S25" s="6">
        <f>1-GEVCUM(KVD!$G$12,KVD!$H$12,KVD!$I$12,$A25)</f>
        <v>2.5844579777913435E-2</v>
      </c>
      <c r="T25" s="3">
        <f t="shared" si="25"/>
        <v>2.6184419052867319E-2</v>
      </c>
      <c r="U25" s="3">
        <f t="shared" si="26"/>
        <v>38.190650630092755</v>
      </c>
      <c r="V25" s="32">
        <f t="shared" si="24"/>
        <v>1.2177896965526746E-2</v>
      </c>
    </row>
    <row r="26" spans="1:22" x14ac:dyDescent="0.25">
      <c r="A26" s="23">
        <f t="shared" si="4"/>
        <v>127.5</v>
      </c>
      <c r="B26" s="13">
        <f t="shared" si="5"/>
        <v>125</v>
      </c>
      <c r="C26" s="8"/>
      <c r="D26" s="3"/>
      <c r="E26" s="3"/>
      <c r="F26" s="32"/>
      <c r="G26" s="8"/>
      <c r="H26" s="3"/>
      <c r="I26" s="3"/>
      <c r="J26" s="13"/>
      <c r="K26" s="8"/>
      <c r="L26" s="3"/>
      <c r="M26" s="3"/>
      <c r="N26" s="13"/>
      <c r="O26" s="8">
        <f>1-GEVCUM(KVD!$G$11,KVD!$H$11,KVD!$I$11,$A26)</f>
        <v>1.1454821673312354E-2</v>
      </c>
      <c r="P26" s="3">
        <f t="shared" si="19"/>
        <v>1.1520933494069652E-2</v>
      </c>
      <c r="Q26" s="3">
        <f t="shared" si="20"/>
        <v>86.798522056806021</v>
      </c>
      <c r="R26" s="13">
        <f t="shared" si="21"/>
        <v>5.6055012747077155E-3</v>
      </c>
      <c r="S26" s="6">
        <f>1-GEVCUM(KVD!$G$12,KVD!$H$12,KVD!$I$12,$A26)</f>
        <v>1.7549020815204042E-2</v>
      </c>
      <c r="T26" s="3">
        <f t="shared" si="25"/>
        <v>1.7704830442960961E-2</v>
      </c>
      <c r="U26" s="3">
        <f t="shared" si="26"/>
        <v>56.481760908225887</v>
      </c>
      <c r="V26" s="32">
        <f t="shared" si="24"/>
        <v>8.4795886099063578E-3</v>
      </c>
    </row>
    <row r="27" spans="1:22" x14ac:dyDescent="0.25">
      <c r="A27" s="23">
        <f t="shared" si="4"/>
        <v>132.5</v>
      </c>
      <c r="B27" s="13">
        <f t="shared" si="5"/>
        <v>130</v>
      </c>
      <c r="C27" s="8"/>
      <c r="D27" s="3"/>
      <c r="E27" s="3"/>
      <c r="F27" s="32"/>
      <c r="G27" s="8"/>
      <c r="H27" s="3"/>
      <c r="I27" s="3"/>
      <c r="J27" s="13"/>
      <c r="K27" s="8"/>
      <c r="L27" s="3"/>
      <c r="M27" s="3"/>
      <c r="N27" s="13"/>
      <c r="O27" s="8">
        <f>1-GEVCUM(KVD!$G$11,KVD!$H$11,KVD!$I$11,$A27)</f>
        <v>7.6637338696782242E-3</v>
      </c>
      <c r="P27" s="3">
        <f t="shared" si="19"/>
        <v>7.6932511833572494E-3</v>
      </c>
      <c r="Q27" s="3">
        <f t="shared" si="20"/>
        <v>129.9840569567379</v>
      </c>
      <c r="R27" s="13">
        <f t="shared" si="21"/>
        <v>3.8276823107124026E-3</v>
      </c>
      <c r="S27" s="6">
        <f>1-GEVCUM(KVD!$G$12,KVD!$H$12,KVD!$I$12,$A27)</f>
        <v>1.1783468797409324E-2</v>
      </c>
      <c r="T27" s="3">
        <f t="shared" si="25"/>
        <v>1.1853444110337362E-2</v>
      </c>
      <c r="U27" s="3">
        <f t="shared" si="26"/>
        <v>84.363666010615617</v>
      </c>
      <c r="V27" s="32">
        <f t="shared" si="24"/>
        <v>5.8513863326235989E-3</v>
      </c>
    </row>
    <row r="28" spans="1:22" x14ac:dyDescent="0.25">
      <c r="A28" s="23">
        <f t="shared" si="4"/>
        <v>137.5</v>
      </c>
      <c r="B28" s="13">
        <f t="shared" si="5"/>
        <v>135</v>
      </c>
      <c r="C28" s="8"/>
      <c r="D28" s="3"/>
      <c r="E28" s="3"/>
      <c r="F28" s="32"/>
      <c r="G28" s="8"/>
      <c r="H28" s="3"/>
      <c r="I28" s="3"/>
      <c r="J28" s="13"/>
      <c r="K28" s="8"/>
      <c r="L28" s="3"/>
      <c r="M28" s="3"/>
      <c r="N28" s="13"/>
      <c r="O28" s="8">
        <f>1-GEVCUM(KVD!$G$11,KVD!$H$11,KVD!$I$11,$A28)</f>
        <v>5.0851764800373678E-3</v>
      </c>
      <c r="P28" s="3">
        <f t="shared" si="19"/>
        <v>5.0981499903689489E-3</v>
      </c>
      <c r="Q28" s="3">
        <f t="shared" si="20"/>
        <v>196.14958404306006</v>
      </c>
      <c r="R28" s="13">
        <f t="shared" si="21"/>
        <v>2.5951011929883005E-3</v>
      </c>
      <c r="S28" s="6">
        <f>1-GEVCUM(KVD!$G$12,KVD!$H$12,KVD!$I$12,$A28)</f>
        <v>7.8230147600097943E-3</v>
      </c>
      <c r="T28" s="3">
        <f t="shared" si="25"/>
        <v>7.8537750705760575E-3</v>
      </c>
      <c r="U28" s="3">
        <f t="shared" si="26"/>
        <v>127.32730324127454</v>
      </c>
      <c r="V28" s="32">
        <f t="shared" si="24"/>
        <v>3.9996690397613045E-3</v>
      </c>
    </row>
    <row r="29" spans="1:22" x14ac:dyDescent="0.25">
      <c r="A29" s="23">
        <f t="shared" si="4"/>
        <v>142.5</v>
      </c>
      <c r="B29" s="13">
        <f t="shared" si="5"/>
        <v>140</v>
      </c>
      <c r="C29" s="8"/>
      <c r="D29" s="3"/>
      <c r="E29" s="3"/>
      <c r="F29" s="32"/>
      <c r="G29" s="8"/>
      <c r="H29" s="3"/>
      <c r="I29" s="3"/>
      <c r="J29" s="13"/>
      <c r="K29" s="8"/>
      <c r="L29" s="3"/>
      <c r="M29" s="3"/>
      <c r="N29" s="13"/>
      <c r="O29" s="8">
        <f>1-GEVCUM(KVD!$G$11,KVD!$H$11,KVD!$I$11,$A29)</f>
        <v>3.346108751302479E-3</v>
      </c>
      <c r="P29" s="3">
        <f t="shared" si="19"/>
        <v>3.3517194927873009E-3</v>
      </c>
      <c r="Q29" s="3">
        <f t="shared" si="20"/>
        <v>298.35432295331992</v>
      </c>
      <c r="R29" s="13">
        <f t="shared" si="21"/>
        <v>1.746430497581648E-3</v>
      </c>
      <c r="S29" s="6">
        <f>1-GEVCUM(KVD!$G$12,KVD!$H$12,KVD!$I$12,$A29)</f>
        <v>5.1337612628574725E-3</v>
      </c>
      <c r="T29" s="3">
        <f t="shared" si="25"/>
        <v>5.146984290535268E-3</v>
      </c>
      <c r="U29" s="3">
        <f t="shared" si="26"/>
        <v>194.28852771882146</v>
      </c>
      <c r="V29" s="32">
        <f t="shared" si="24"/>
        <v>2.7067907800407895E-3</v>
      </c>
    </row>
    <row r="30" spans="1:22" x14ac:dyDescent="0.25">
      <c r="A30" s="23">
        <f t="shared" si="4"/>
        <v>147.5</v>
      </c>
      <c r="B30" s="13">
        <f t="shared" si="5"/>
        <v>145</v>
      </c>
      <c r="C30" s="8"/>
      <c r="D30" s="3"/>
      <c r="E30" s="3"/>
      <c r="F30" s="32"/>
      <c r="G30" s="8"/>
      <c r="H30" s="3"/>
      <c r="I30" s="3"/>
      <c r="J30" s="13"/>
      <c r="K30" s="8"/>
      <c r="L30" s="3"/>
      <c r="M30" s="3"/>
      <c r="N30" s="13"/>
      <c r="O30" s="8">
        <f>1-GEVCUM(KVD!$G$11,KVD!$H$11,KVD!$I$11,$A30)</f>
        <v>2.1830563821241267E-3</v>
      </c>
      <c r="P30" s="3">
        <f t="shared" si="19"/>
        <v>2.1854427233520767E-3</v>
      </c>
      <c r="Q30" s="3">
        <f t="shared" si="20"/>
        <v>457.57319069253828</v>
      </c>
      <c r="R30" s="13">
        <f t="shared" si="21"/>
        <v>1.1662767694352242E-3</v>
      </c>
      <c r="S30" s="6">
        <f>1-GEVCUM(KVD!$G$12,KVD!$H$12,KVD!$I$12,$A30)</f>
        <v>3.3287676639893737E-3</v>
      </c>
      <c r="T30" s="3">
        <f t="shared" si="25"/>
        <v>3.3343203368660056E-3</v>
      </c>
      <c r="U30" s="3">
        <f t="shared" si="26"/>
        <v>299.91119597702482</v>
      </c>
      <c r="V30" s="32">
        <f t="shared" si="24"/>
        <v>1.8126639536692624E-3</v>
      </c>
    </row>
    <row r="31" spans="1:22" x14ac:dyDescent="0.25">
      <c r="A31" s="23">
        <f t="shared" si="4"/>
        <v>152.5</v>
      </c>
      <c r="B31" s="13">
        <f t="shared" si="5"/>
        <v>150</v>
      </c>
      <c r="C31" s="8"/>
      <c r="D31" s="3"/>
      <c r="E31" s="3"/>
      <c r="F31" s="32"/>
      <c r="G31" s="8"/>
      <c r="H31" s="3"/>
      <c r="I31" s="3"/>
      <c r="J31" s="13"/>
      <c r="K31" s="8"/>
      <c r="L31" s="3"/>
      <c r="M31" s="3"/>
      <c r="N31" s="13"/>
      <c r="O31" s="8">
        <f>1-GEVCUM(KVD!$G$11,KVD!$H$11,KVD!$I$11,$A31)</f>
        <v>1.411813489790692E-3</v>
      </c>
      <c r="P31" s="3">
        <f t="shared" si="19"/>
        <v>1.4128110374670595E-3</v>
      </c>
      <c r="Q31" s="3">
        <f t="shared" si="20"/>
        <v>707.80873979639728</v>
      </c>
      <c r="R31" s="13">
        <f t="shared" si="21"/>
        <v>7.7263168588501715E-4</v>
      </c>
      <c r="S31" s="6">
        <f>1-GEVCUM(KVD!$G$12,KVD!$H$12,KVD!$I$12,$A31)</f>
        <v>2.1315536394441725E-3</v>
      </c>
      <c r="T31" s="3">
        <f t="shared" si="25"/>
        <v>2.1338286333256475E-3</v>
      </c>
      <c r="U31" s="3">
        <f t="shared" si="26"/>
        <v>468.64119469681339</v>
      </c>
      <c r="V31" s="32">
        <f t="shared" si="24"/>
        <v>1.2004917035403581E-3</v>
      </c>
    </row>
    <row r="32" spans="1:22" x14ac:dyDescent="0.25">
      <c r="A32" s="23">
        <f t="shared" si="4"/>
        <v>157.5</v>
      </c>
      <c r="B32" s="13">
        <f t="shared" si="5"/>
        <v>155</v>
      </c>
      <c r="C32" s="8"/>
      <c r="D32" s="3"/>
      <c r="E32" s="3"/>
      <c r="F32" s="32"/>
      <c r="G32" s="8"/>
      <c r="H32" s="3"/>
      <c r="I32" s="3"/>
      <c r="J32" s="13"/>
      <c r="K32" s="8"/>
      <c r="L32" s="3"/>
      <c r="M32" s="3"/>
      <c r="N32" s="13"/>
      <c r="O32" s="8">
        <f>1-GEVCUM(KVD!$G$11,KVD!$H$11,KVD!$I$11,$A32)</f>
        <v>9.0479962144041082E-4</v>
      </c>
      <c r="P32" s="3">
        <f t="shared" si="19"/>
        <v>9.0520919969402653E-4</v>
      </c>
      <c r="Q32" s="3">
        <f t="shared" si="20"/>
        <v>1104.7170094360663</v>
      </c>
      <c r="R32" s="13">
        <f t="shared" si="21"/>
        <v>1.4128110374670595E-3</v>
      </c>
      <c r="S32" s="6">
        <f>1-GEVCUM(KVD!$G$12,KVD!$H$12,KVD!$I$12,$A32)</f>
        <v>1.3471313224112658E-3</v>
      </c>
      <c r="T32" s="3">
        <f t="shared" si="25"/>
        <v>1.3480395195433427E-3</v>
      </c>
      <c r="U32" s="3">
        <f t="shared" si="26"/>
        <v>741.8180146074327</v>
      </c>
      <c r="V32" s="32">
        <f t="shared" si="24"/>
        <v>7.8578911378230482E-4</v>
      </c>
    </row>
    <row r="33" spans="1:22" x14ac:dyDescent="0.25">
      <c r="A33" s="23">
        <f t="shared" si="4"/>
        <v>162.5</v>
      </c>
      <c r="B33" s="13">
        <f t="shared" si="5"/>
        <v>160</v>
      </c>
      <c r="C33" s="8"/>
      <c r="D33" s="3"/>
      <c r="E33" s="3"/>
      <c r="F33" s="32"/>
      <c r="G33" s="8"/>
      <c r="H33" s="3"/>
      <c r="I33" s="3"/>
      <c r="J33" s="13"/>
      <c r="K33" s="8"/>
      <c r="L33" s="3"/>
      <c r="M33" s="3"/>
      <c r="N33" s="13"/>
      <c r="O33" s="8"/>
      <c r="P33" s="3"/>
      <c r="Q33" s="3"/>
      <c r="R33" s="13"/>
      <c r="S33" s="6">
        <f>1-GEVCUM(KVD!$G$12,KVD!$H$12,KVD!$I$12,$A33)</f>
        <v>8.3969172198328224E-4</v>
      </c>
      <c r="T33" s="3">
        <f t="shared" si="25"/>
        <v>8.4004446055219346E-4</v>
      </c>
      <c r="U33" s="3">
        <f t="shared" si="26"/>
        <v>1190.4131828244681</v>
      </c>
      <c r="V33" s="32">
        <f t="shared" si="24"/>
        <v>1.3480395195433427E-3</v>
      </c>
    </row>
    <row r="34" spans="1:22" x14ac:dyDescent="0.25">
      <c r="A34" s="23">
        <f t="shared" si="4"/>
        <v>167.5</v>
      </c>
      <c r="B34" s="13">
        <f t="shared" si="5"/>
        <v>165</v>
      </c>
      <c r="C34" s="8"/>
      <c r="D34" s="3"/>
      <c r="E34" s="3"/>
      <c r="F34" s="32"/>
      <c r="G34" s="8"/>
      <c r="H34" s="3"/>
      <c r="I34" s="3"/>
      <c r="J34" s="13"/>
      <c r="K34" s="8"/>
      <c r="L34" s="3"/>
      <c r="M34" s="3"/>
      <c r="N34" s="13"/>
      <c r="O34" s="8"/>
      <c r="P34" s="3"/>
      <c r="Q34" s="3"/>
      <c r="R34" s="13"/>
      <c r="S34" s="6"/>
      <c r="T34" s="3"/>
      <c r="U34" s="3"/>
      <c r="V34" s="32"/>
    </row>
    <row r="35" spans="1:22" x14ac:dyDescent="0.25">
      <c r="A35" s="23">
        <f t="shared" si="4"/>
        <v>172.5</v>
      </c>
      <c r="B35" s="13">
        <f t="shared" si="5"/>
        <v>170</v>
      </c>
      <c r="C35" s="8"/>
      <c r="D35" s="3"/>
      <c r="E35" s="3"/>
      <c r="F35" s="32"/>
      <c r="G35" s="8"/>
      <c r="H35" s="3"/>
      <c r="I35" s="3"/>
      <c r="J35" s="13"/>
      <c r="K35" s="8"/>
      <c r="L35" s="3"/>
      <c r="M35" s="3"/>
      <c r="N35" s="13"/>
      <c r="O35" s="8"/>
      <c r="P35" s="3"/>
      <c r="Q35" s="3"/>
      <c r="R35" s="13"/>
      <c r="S35" s="6"/>
      <c r="T35" s="3"/>
      <c r="U35" s="3"/>
      <c r="V35" s="32"/>
    </row>
    <row r="36" spans="1:22" x14ac:dyDescent="0.25">
      <c r="A36" s="23">
        <f t="shared" si="4"/>
        <v>177.5</v>
      </c>
      <c r="B36" s="13">
        <f t="shared" si="5"/>
        <v>175</v>
      </c>
      <c r="C36" s="8"/>
      <c r="D36" s="3"/>
      <c r="E36" s="3"/>
      <c r="F36" s="32"/>
      <c r="G36" s="8"/>
      <c r="H36" s="3"/>
      <c r="I36" s="3"/>
      <c r="J36" s="13"/>
      <c r="K36" s="8"/>
      <c r="L36" s="3"/>
      <c r="M36" s="3"/>
      <c r="N36" s="13"/>
      <c r="O36" s="8"/>
      <c r="P36" s="3"/>
      <c r="Q36" s="3"/>
      <c r="R36" s="13"/>
      <c r="S36" s="6"/>
      <c r="T36" s="3"/>
      <c r="U36" s="3"/>
      <c r="V36" s="32"/>
    </row>
    <row r="37" spans="1:22" x14ac:dyDescent="0.25">
      <c r="A37" s="14">
        <f t="shared" si="4"/>
        <v>182.5</v>
      </c>
      <c r="B37" s="15">
        <f t="shared" si="5"/>
        <v>180</v>
      </c>
      <c r="C37" s="10"/>
      <c r="D37" s="4"/>
      <c r="E37" s="4"/>
      <c r="F37" s="33"/>
      <c r="G37" s="10"/>
      <c r="H37" s="4"/>
      <c r="I37" s="4"/>
      <c r="J37" s="15"/>
      <c r="K37" s="10"/>
      <c r="L37" s="4"/>
      <c r="M37" s="4"/>
      <c r="N37" s="15"/>
      <c r="O37" s="10"/>
      <c r="P37" s="4"/>
      <c r="Q37" s="4"/>
      <c r="R37" s="15"/>
      <c r="S37" s="7"/>
      <c r="T37" s="4"/>
      <c r="U37" s="4"/>
      <c r="V37" s="33"/>
    </row>
  </sheetData>
  <mergeCells count="11">
    <mergeCell ref="A1:B2"/>
    <mergeCell ref="K2:M2"/>
    <mergeCell ref="G2:I2"/>
    <mergeCell ref="S1:V1"/>
    <mergeCell ref="O1:R1"/>
    <mergeCell ref="K1:N1"/>
    <mergeCell ref="G1:J1"/>
    <mergeCell ref="S2:U2"/>
    <mergeCell ref="O2:Q2"/>
    <mergeCell ref="C2:E2"/>
    <mergeCell ref="C1:F1"/>
  </mergeCells>
  <pageMargins left="0.7" right="0.7" top="0.75" bottom="0.75" header="0.3" footer="0.3"/>
  <pageSetup paperSize="0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Blad13">
    <tabColor theme="6"/>
  </sheetPr>
  <dimension ref="A1:V40"/>
  <sheetViews>
    <sheetView topLeftCell="H1" workbookViewId="0">
      <selection activeCell="V6" sqref="V6"/>
    </sheetView>
  </sheetViews>
  <sheetFormatPr defaultColWidth="9.140625" defaultRowHeight="15" x14ac:dyDescent="0.25"/>
  <cols>
    <col min="1" max="1" width="11.42578125" bestFit="1" customWidth="1"/>
    <col min="2" max="2" width="14" bestFit="1" customWidth="1"/>
    <col min="4" max="4" width="12.28515625" style="19" bestFit="1" customWidth="1"/>
    <col min="5" max="5" width="12" style="19" bestFit="1" customWidth="1"/>
    <col min="6" max="6" width="14.7109375" bestFit="1" customWidth="1"/>
    <col min="8" max="8" width="12.28515625" bestFit="1" customWidth="1"/>
    <col min="9" max="9" width="12" bestFit="1" customWidth="1"/>
    <col min="10" max="10" width="13.7109375" bestFit="1" customWidth="1"/>
    <col min="12" max="12" width="12.28515625" bestFit="1" customWidth="1"/>
    <col min="13" max="13" width="18.85546875" bestFit="1" customWidth="1"/>
    <col min="14" max="14" width="14.7109375" bestFit="1" customWidth="1"/>
    <col min="15" max="15" width="7.7109375" bestFit="1" customWidth="1"/>
    <col min="16" max="16" width="12.28515625" bestFit="1" customWidth="1"/>
    <col min="17" max="17" width="16.42578125" bestFit="1" customWidth="1"/>
    <col min="18" max="18" width="14.7109375" bestFit="1" customWidth="1"/>
    <col min="19" max="19" width="7.7109375" bestFit="1" customWidth="1"/>
    <col min="20" max="20" width="12.28515625" bestFit="1" customWidth="1"/>
    <col min="21" max="21" width="11.42578125" bestFit="1" customWidth="1"/>
    <col min="22" max="22" width="14.7109375" bestFit="1" customWidth="1"/>
  </cols>
  <sheetData>
    <row r="1" spans="1:22" x14ac:dyDescent="0.25">
      <c r="A1" s="50" t="s">
        <v>15</v>
      </c>
      <c r="B1" s="51"/>
      <c r="C1" s="63">
        <v>24</v>
      </c>
      <c r="D1" s="64"/>
      <c r="E1" s="64"/>
      <c r="F1" s="65"/>
      <c r="G1" s="66">
        <v>48</v>
      </c>
      <c r="H1" s="67"/>
      <c r="I1" s="67"/>
      <c r="J1" s="68"/>
      <c r="K1" s="66">
        <v>96</v>
      </c>
      <c r="L1" s="67"/>
      <c r="M1" s="67"/>
      <c r="N1" s="68"/>
      <c r="O1" s="66">
        <v>192</v>
      </c>
      <c r="P1" s="67"/>
      <c r="Q1" s="67"/>
      <c r="R1" s="68"/>
      <c r="S1" s="60">
        <v>216</v>
      </c>
      <c r="T1" s="61"/>
      <c r="U1" s="61"/>
      <c r="V1" s="62"/>
    </row>
    <row r="2" spans="1:22" x14ac:dyDescent="0.25">
      <c r="A2" s="52"/>
      <c r="B2" s="53"/>
      <c r="C2" s="57" t="s">
        <v>9</v>
      </c>
      <c r="D2" s="58"/>
      <c r="E2" s="59"/>
      <c r="F2" s="30">
        <f>24/24*365.25</f>
        <v>365.25</v>
      </c>
      <c r="G2" s="54" t="s">
        <v>9</v>
      </c>
      <c r="H2" s="55"/>
      <c r="I2" s="56"/>
      <c r="J2" s="30">
        <f>24/48*365.25</f>
        <v>182.625</v>
      </c>
      <c r="K2" s="54" t="s">
        <v>9</v>
      </c>
      <c r="L2" s="55"/>
      <c r="M2" s="56"/>
      <c r="N2" s="30">
        <f>24/96*365.25</f>
        <v>91.3125</v>
      </c>
      <c r="O2" s="54" t="s">
        <v>9</v>
      </c>
      <c r="P2" s="55"/>
      <c r="Q2" s="56"/>
      <c r="R2" s="30">
        <f>24/192*365.25</f>
        <v>45.65625</v>
      </c>
      <c r="S2" s="54" t="s">
        <v>9</v>
      </c>
      <c r="T2" s="55"/>
      <c r="U2" s="56"/>
      <c r="V2" s="30">
        <f>24/216*365.25</f>
        <v>40.583333333333329</v>
      </c>
    </row>
    <row r="3" spans="1:22" x14ac:dyDescent="0.25">
      <c r="A3" s="24" t="s">
        <v>12</v>
      </c>
      <c r="B3" s="27" t="s">
        <v>14</v>
      </c>
      <c r="C3" s="24" t="s">
        <v>8</v>
      </c>
      <c r="D3" s="25" t="s">
        <v>10</v>
      </c>
      <c r="E3" s="26" t="s">
        <v>17</v>
      </c>
      <c r="F3" s="36" t="s">
        <v>13</v>
      </c>
      <c r="G3" s="24" t="s">
        <v>8</v>
      </c>
      <c r="H3" s="25" t="s">
        <v>10</v>
      </c>
      <c r="I3" s="26" t="s">
        <v>17</v>
      </c>
      <c r="J3" s="29" t="s">
        <v>13</v>
      </c>
      <c r="K3" s="24" t="s">
        <v>8</v>
      </c>
      <c r="L3" s="25" t="s">
        <v>10</v>
      </c>
      <c r="M3" s="26" t="s">
        <v>17</v>
      </c>
      <c r="N3" s="29" t="s">
        <v>13</v>
      </c>
      <c r="O3" s="24" t="s">
        <v>8</v>
      </c>
      <c r="P3" s="25" t="s">
        <v>10</v>
      </c>
      <c r="Q3" s="26" t="s">
        <v>17</v>
      </c>
      <c r="R3" s="29" t="s">
        <v>13</v>
      </c>
      <c r="S3" s="24" t="s">
        <v>8</v>
      </c>
      <c r="T3" s="25" t="s">
        <v>10</v>
      </c>
      <c r="U3" s="26" t="s">
        <v>17</v>
      </c>
      <c r="V3" s="29" t="s">
        <v>13</v>
      </c>
    </row>
    <row r="4" spans="1:22" x14ac:dyDescent="0.25">
      <c r="A4" s="34">
        <v>17.5</v>
      </c>
      <c r="B4" s="12">
        <f>A4-2.5</f>
        <v>15</v>
      </c>
      <c r="C4" s="8">
        <f>1-GEVCUM(KVD!$D$48,KVD!$E$48,KVD!$F$48,$A4)</f>
        <v>0.99115777497817859</v>
      </c>
      <c r="D4" s="3">
        <f t="shared" ref="D4:D20" si="0">-LN(1-C4)</f>
        <v>4.7282167347024746</v>
      </c>
      <c r="E4" s="3">
        <f t="shared" ref="E4:E20" si="1">1/D4</f>
        <v>0.2114962270364126</v>
      </c>
      <c r="F4" s="31">
        <f>KLASSEFREQUENTIEUITHERHALINGSTIJD(F$2,E3,E4,E5)</f>
        <v>360.52178326529753</v>
      </c>
      <c r="G4" s="8">
        <f>1-GEVCUM(KVD!$D$49,KVD!$E$49,KVD!$F$49,$A4)</f>
        <v>0.99994591182973813</v>
      </c>
      <c r="H4" s="2">
        <f t="shared" ref="H4:H22" si="2">-LN(1-G4)</f>
        <v>9.8248950603131568</v>
      </c>
      <c r="I4" s="2">
        <f t="shared" ref="I4:I22" si="3">1/H4</f>
        <v>0.10178225760796332</v>
      </c>
      <c r="J4" s="12">
        <f>KLASSEFREQUENTIEUITHERHALINGSTIJD(J$2,I3,I4,I5)</f>
        <v>172.80010493968683</v>
      </c>
      <c r="K4" s="35"/>
      <c r="L4" s="2"/>
      <c r="M4" s="2"/>
      <c r="N4" s="12"/>
      <c r="O4" s="35"/>
      <c r="P4" s="2"/>
      <c r="Q4" s="2"/>
      <c r="R4" s="12"/>
      <c r="S4" s="35"/>
      <c r="T4" s="2"/>
      <c r="U4" s="37"/>
      <c r="V4" s="31"/>
    </row>
    <row r="5" spans="1:22" x14ac:dyDescent="0.25">
      <c r="A5" s="23">
        <f t="shared" ref="A5:A40" si="4">A4+5</f>
        <v>22.5</v>
      </c>
      <c r="B5" s="13">
        <f t="shared" ref="B5:B40" si="5">A5-2.5</f>
        <v>20</v>
      </c>
      <c r="C5" s="8">
        <f>1-GEVCUM(KVD!$D$48,KVD!$E$48,KVD!$F$48,$A5)</f>
        <v>0.87221648751059311</v>
      </c>
      <c r="D5" s="3">
        <f t="shared" si="0"/>
        <v>2.0574177556162736</v>
      </c>
      <c r="E5" s="3">
        <f t="shared" si="1"/>
        <v>0.48604616017832636</v>
      </c>
      <c r="F5" s="32">
        <f t="shared" ref="F5:F20" si="6">KLASSEFREQUENTIEUITHERHALINGSTIJD(F$2,E4,E5,E6)</f>
        <v>2.670798979086201</v>
      </c>
      <c r="G5" s="8">
        <f>1-GEVCUM(KVD!$D$49,KVD!$E$49,KVD!$F$49,$A5)</f>
        <v>0.99439450113434913</v>
      </c>
      <c r="H5" s="3">
        <f t="shared" si="2"/>
        <v>5.1840072227342411</v>
      </c>
      <c r="I5" s="3">
        <f t="shared" si="3"/>
        <v>0.19290096580393309</v>
      </c>
      <c r="J5" s="13">
        <f t="shared" ref="J5:J22" si="7">KLASSEFREQUENTIEUITHERHALINGSTIJD(J$2,I4,I5,I6)</f>
        <v>4.6408878375789158</v>
      </c>
      <c r="K5" s="8">
        <f>1-GEVCUM(KVD!$D$50,KVD!$E$50,KVD!$F$50,$A5)</f>
        <v>0.99995853114780953</v>
      </c>
      <c r="L5" s="3">
        <f t="shared" ref="L5:L25" si="8">-LN(1-K5)</f>
        <v>10.090567962158143</v>
      </c>
      <c r="M5" s="3">
        <f t="shared" ref="M5:M25" si="9">1/L5</f>
        <v>9.9102449312092306E-2</v>
      </c>
      <c r="N5" s="13">
        <f>KLASSEFREQUENTIEUITHERHALINGSTIJD(N$2,M4,M5,M6)</f>
        <v>81.221932037841853</v>
      </c>
      <c r="O5" s="8"/>
      <c r="P5" s="3"/>
      <c r="Q5" s="3"/>
      <c r="R5" s="13"/>
      <c r="S5" s="8"/>
      <c r="T5" s="3"/>
      <c r="U5" s="9"/>
      <c r="V5" s="32"/>
    </row>
    <row r="6" spans="1:22" x14ac:dyDescent="0.25">
      <c r="A6" s="23">
        <f t="shared" si="4"/>
        <v>27.5</v>
      </c>
      <c r="B6" s="13">
        <f t="shared" si="5"/>
        <v>25</v>
      </c>
      <c r="C6" s="8">
        <f>1-GEVCUM(KVD!$D$48,KVD!$E$48,KVD!$F$48,$A6)</f>
        <v>0.60896582604928973</v>
      </c>
      <c r="D6" s="3">
        <f t="shared" si="0"/>
        <v>0.93896032140758567</v>
      </c>
      <c r="E6" s="3">
        <f t="shared" si="1"/>
        <v>1.0650077295075795</v>
      </c>
      <c r="F6" s="32">
        <f t="shared" si="6"/>
        <v>1.1184574342086879</v>
      </c>
      <c r="G6" s="8">
        <f>1-GEVCUM(KVD!$D$49,KVD!$E$49,KVD!$F$49,$A6)</f>
        <v>0.93897160444229921</v>
      </c>
      <c r="H6" s="3">
        <f t="shared" si="2"/>
        <v>2.7964160221748648</v>
      </c>
      <c r="I6" s="3">
        <f t="shared" si="3"/>
        <v>0.35760058305711862</v>
      </c>
      <c r="J6" s="13">
        <f t="shared" si="7"/>
        <v>2.3875912005593762</v>
      </c>
      <c r="K6" s="8">
        <f>1-GEVCUM(KVD!$D$50,KVD!$E$50,KVD!$F$50,$A6)</f>
        <v>0.99848412206908543</v>
      </c>
      <c r="L6" s="3">
        <f t="shared" si="8"/>
        <v>6.4917605155088101</v>
      </c>
      <c r="M6" s="3">
        <f t="shared" si="9"/>
        <v>0.15404141875089214</v>
      </c>
      <c r="N6" s="13">
        <f t="shared" ref="N6:N25" si="10">KLASSEFREQUENTIEUITHERHALINGSTIJD(N$2,M5,M6,M7)</f>
        <v>3.5988074466493334</v>
      </c>
      <c r="O6" s="8">
        <f>1-GEVCUM(KVD!$D$51,KVD!$E$51,KVD!$F$51,$A6)</f>
        <v>0.99997076131245777</v>
      </c>
      <c r="P6" s="3">
        <f t="shared" ref="P6:P32" si="11">-LN(1-O6)</f>
        <v>10.440017809786656</v>
      </c>
      <c r="Q6" s="3">
        <f t="shared" ref="Q6:Q32" si="12">1/P6</f>
        <v>9.5785277211173178E-2</v>
      </c>
      <c r="R6" s="13">
        <f>KLASSEFREQUENTIEUITHERHALINGSTIJD(R$2,Q5,Q6,Q7)</f>
        <v>35.216232190213347</v>
      </c>
      <c r="S6" s="8">
        <f>1-GEVCUM(KVD!$D$52,KVD!$E$52,KVD!$F$52,$A6)</f>
        <v>0.99998016053112992</v>
      </c>
      <c r="T6" s="3">
        <f t="shared" ref="T6:T33" si="13">-LN(1-S6)</f>
        <v>10.827837227127411</v>
      </c>
      <c r="U6" s="9">
        <f t="shared" ref="U6:U33" si="14">1/T6</f>
        <v>9.2354546805954951E-2</v>
      </c>
      <c r="V6" s="32">
        <f>KLASSEFREQUENTIEUITHERHALINGSTIJD(V$2,U5,U6,U7)</f>
        <v>29.755496106205918</v>
      </c>
    </row>
    <row r="7" spans="1:22" x14ac:dyDescent="0.25">
      <c r="A7" s="23">
        <f t="shared" si="4"/>
        <v>32.5</v>
      </c>
      <c r="B7" s="13">
        <f t="shared" si="5"/>
        <v>30</v>
      </c>
      <c r="C7" s="8">
        <f>1-GEVCUM(KVD!$D$48,KVD!$E$48,KVD!$F$48,$A7)</f>
        <v>0.3605355393652423</v>
      </c>
      <c r="D7" s="3">
        <f t="shared" si="0"/>
        <v>0.44712423318263833</v>
      </c>
      <c r="E7" s="3">
        <f t="shared" si="1"/>
        <v>2.2365148783862194</v>
      </c>
      <c r="F7" s="32">
        <f t="shared" si="6"/>
        <v>0.49183608822494745</v>
      </c>
      <c r="G7" s="8">
        <f>1-GEVCUM(KVD!$D$49,KVD!$E$49,KVD!$F$49,$A7)</f>
        <v>0.78559931889297363</v>
      </c>
      <c r="H7" s="3">
        <f t="shared" si="2"/>
        <v>1.5399086729853759</v>
      </c>
      <c r="I7" s="3">
        <f t="shared" si="3"/>
        <v>0.64938916024242477</v>
      </c>
      <c r="J7" s="13">
        <f t="shared" si="7"/>
        <v>1.2565073491894889</v>
      </c>
      <c r="K7" s="8">
        <f>1-GEVCUM(KVD!$D$50,KVD!$E$50,KVD!$F$50,$A7)</f>
        <v>0.98491735868620112</v>
      </c>
      <c r="L7" s="3">
        <f t="shared" si="8"/>
        <v>4.19421077830496</v>
      </c>
      <c r="M7" s="3">
        <f t="shared" si="9"/>
        <v>0.2384238782591985</v>
      </c>
      <c r="N7" s="13">
        <f t="shared" si="10"/>
        <v>2.29754973720385</v>
      </c>
      <c r="O7" s="8">
        <f>1-GEVCUM(KVD!$D$51,KVD!$E$51,KVD!$F$51,$A7)</f>
        <v>0.99964099979026788</v>
      </c>
      <c r="P7" s="3">
        <f t="shared" si="11"/>
        <v>7.9321875852641357</v>
      </c>
      <c r="Q7" s="3">
        <f t="shared" si="12"/>
        <v>0.12606862725457102</v>
      </c>
      <c r="R7" s="13">
        <f t="shared" ref="R7:R32" si="15">KLASSEFREQUENTIEUITHERHALINGSTIJD(R$2,Q6,Q7,Q8)</f>
        <v>2.5078302245225217</v>
      </c>
      <c r="S7" s="8">
        <f>1-GEVCUM(KVD!$D$52,KVD!$E$52,KVD!$F$52,$A7)</f>
        <v>0.99978408847932887</v>
      </c>
      <c r="T7" s="3">
        <f t="shared" si="13"/>
        <v>8.4406418607225149</v>
      </c>
      <c r="U7" s="9">
        <f t="shared" si="14"/>
        <v>0.11847440236190764</v>
      </c>
      <c r="V7" s="32">
        <f t="shared" ref="V7:V33" si="16">KLASSEFREQUENTIEUITHERHALINGSTIJD(V$2,U6,U7,U8)</f>
        <v>2.3871953664048959</v>
      </c>
    </row>
    <row r="8" spans="1:22" x14ac:dyDescent="0.25">
      <c r="A8" s="23">
        <f t="shared" si="4"/>
        <v>37.5</v>
      </c>
      <c r="B8" s="13">
        <f t="shared" si="5"/>
        <v>35</v>
      </c>
      <c r="C8" s="8">
        <f>1-GEVCUM(KVD!$D$48,KVD!$E$48,KVD!$F$48,$A8)</f>
        <v>0.19843665475942751</v>
      </c>
      <c r="D8" s="3">
        <f t="shared" si="0"/>
        <v>0.22119127669234143</v>
      </c>
      <c r="E8" s="3">
        <f t="shared" si="1"/>
        <v>4.5209739504823077</v>
      </c>
      <c r="F8" s="32">
        <f t="shared" si="6"/>
        <v>0.2259329564902969</v>
      </c>
      <c r="G8" s="8">
        <f>1-GEVCUM(KVD!$D$49,KVD!$E$49,KVD!$F$49,$A8)</f>
        <v>0.5787386074924652</v>
      </c>
      <c r="H8" s="3">
        <f t="shared" si="2"/>
        <v>0.86450175315298972</v>
      </c>
      <c r="I8" s="3">
        <f t="shared" si="3"/>
        <v>1.1567356530542874</v>
      </c>
      <c r="J8" s="13">
        <f t="shared" si="7"/>
        <v>0.6754069198323861</v>
      </c>
      <c r="K8" s="8">
        <f>1-GEVCUM(KVD!$D$50,KVD!$E$50,KVD!$F$50,$A8)</f>
        <v>0.93419739945454938</v>
      </c>
      <c r="L8" s="3">
        <f t="shared" si="8"/>
        <v>2.7210959194645032</v>
      </c>
      <c r="M8" s="3">
        <f t="shared" si="9"/>
        <v>0.36749898922960222</v>
      </c>
      <c r="N8" s="13">
        <f t="shared" si="10"/>
        <v>1.4731148588404568</v>
      </c>
      <c r="O8" s="8">
        <f>1-GEVCUM(KVD!$D$51,KVD!$E$51,KVD!$F$51,$A8)</f>
        <v>0.99753513413497086</v>
      </c>
      <c r="P8" s="3">
        <f t="shared" si="11"/>
        <v>6.0056178887777563</v>
      </c>
      <c r="Q8" s="3">
        <f t="shared" si="12"/>
        <v>0.1665107601781699</v>
      </c>
      <c r="R8" s="13">
        <f t="shared" si="15"/>
        <v>1.9265696964863785</v>
      </c>
      <c r="S8" s="8">
        <f>1-GEVCUM(KVD!$D$52,KVD!$E$52,KVD!$F$52,$A8)</f>
        <v>0.99857513063080328</v>
      </c>
      <c r="T8" s="3">
        <f t="shared" si="13"/>
        <v>6.5536751402026834</v>
      </c>
      <c r="U8" s="9">
        <f t="shared" si="14"/>
        <v>0.15258614115088306</v>
      </c>
      <c r="V8" s="32">
        <f t="shared" si="16"/>
        <v>1.8869667205198315</v>
      </c>
    </row>
    <row r="9" spans="1:22" x14ac:dyDescent="0.25">
      <c r="A9" s="23">
        <f t="shared" si="4"/>
        <v>42.5</v>
      </c>
      <c r="B9" s="13">
        <f t="shared" si="5"/>
        <v>40</v>
      </c>
      <c r="C9" s="8">
        <f>1-GEVCUM(KVD!$D$48,KVD!$E$48,KVD!$F$48,$A9)</f>
        <v>0.1070747747015266</v>
      </c>
      <c r="D9" s="3">
        <f t="shared" si="0"/>
        <v>0.11325243587977443</v>
      </c>
      <c r="E9" s="3">
        <f t="shared" si="1"/>
        <v>8.8298321553239845</v>
      </c>
      <c r="F9" s="32">
        <f t="shared" si="6"/>
        <v>0.10793884081256699</v>
      </c>
      <c r="G9" s="8">
        <f>1-GEVCUM(KVD!$D$49,KVD!$E$49,KVD!$F$49,$A9)</f>
        <v>0.38993218127124585</v>
      </c>
      <c r="H9" s="3">
        <f t="shared" si="2"/>
        <v>0.49418514975076377</v>
      </c>
      <c r="I9" s="3">
        <f t="shared" si="3"/>
        <v>2.0235330837123247</v>
      </c>
      <c r="J9" s="13">
        <f t="shared" si="7"/>
        <v>0.37031660340222605</v>
      </c>
      <c r="K9" s="8">
        <f>1-GEVCUM(KVD!$D$50,KVD!$E$50,KVD!$F$50,$A9)</f>
        <v>0.83010825287893997</v>
      </c>
      <c r="L9" s="3">
        <f t="shared" si="8"/>
        <v>1.7725938264042385</v>
      </c>
      <c r="M9" s="3">
        <f t="shared" si="9"/>
        <v>0.56414503148108719</v>
      </c>
      <c r="N9" s="13">
        <f t="shared" si="10"/>
        <v>0.94850209306026456</v>
      </c>
      <c r="O9" s="8">
        <f>1-GEVCUM(KVD!$D$51,KVD!$E$51,KVD!$F$51,$A9)</f>
        <v>0.98922579987325199</v>
      </c>
      <c r="P9" s="3">
        <f t="shared" si="11"/>
        <v>4.5306008799243367</v>
      </c>
      <c r="Q9" s="3">
        <f t="shared" si="12"/>
        <v>0.22072127439676401</v>
      </c>
      <c r="R9" s="13">
        <f t="shared" si="15"/>
        <v>1.4750170088534196</v>
      </c>
      <c r="S9" s="8">
        <f>1-GEVCUM(KVD!$D$52,KVD!$E$52,KVD!$F$52,$A9)</f>
        <v>0.99370335341805582</v>
      </c>
      <c r="T9" s="3">
        <f t="shared" si="13"/>
        <v>5.0677380758807971</v>
      </c>
      <c r="U9" s="9">
        <f t="shared" si="14"/>
        <v>0.19732669388723198</v>
      </c>
      <c r="V9" s="32">
        <f t="shared" si="16"/>
        <v>1.4859370643218863</v>
      </c>
    </row>
    <row r="10" spans="1:22" x14ac:dyDescent="0.25">
      <c r="A10" s="23">
        <f t="shared" si="4"/>
        <v>47.5</v>
      </c>
      <c r="B10" s="13">
        <f t="shared" si="5"/>
        <v>45</v>
      </c>
      <c r="C10" s="8">
        <f>1-GEVCUM(KVD!$D$48,KVD!$E$48,KVD!$F$48,$A10)</f>
        <v>5.8069546760706969E-2</v>
      </c>
      <c r="D10" s="3">
        <f t="shared" si="0"/>
        <v>5.982383596427869E-2</v>
      </c>
      <c r="E10" s="3">
        <f t="shared" si="1"/>
        <v>16.715745218964365</v>
      </c>
      <c r="F10" s="32">
        <f t="shared" si="6"/>
        <v>5.3428599915495742E-2</v>
      </c>
      <c r="G10" s="8">
        <f>1-GEVCUM(KVD!$D$49,KVD!$E$49,KVD!$F$49,$A10)</f>
        <v>0.24974007963398892</v>
      </c>
      <c r="H10" s="3">
        <f t="shared" si="2"/>
        <v>0.28733557200198123</v>
      </c>
      <c r="I10" s="3">
        <f t="shared" si="3"/>
        <v>3.4802513069739405</v>
      </c>
      <c r="J10" s="13">
        <f t="shared" si="7"/>
        <v>0.20684957774878254</v>
      </c>
      <c r="K10" s="8">
        <f>1-GEVCUM(KVD!$D$50,KVD!$E$50,KVD!$F$50,$A10)</f>
        <v>0.68630892253287079</v>
      </c>
      <c r="L10" s="3">
        <f t="shared" si="8"/>
        <v>1.1593466070745211</v>
      </c>
      <c r="M10" s="3">
        <f t="shared" si="9"/>
        <v>0.86255481656463884</v>
      </c>
      <c r="N10" s="13">
        <f t="shared" si="10"/>
        <v>0.6132472193297176</v>
      </c>
      <c r="O10" s="8">
        <f>1-GEVCUM(KVD!$D$51,KVD!$E$51,KVD!$F$51,$A10)</f>
        <v>0.96680073717607562</v>
      </c>
      <c r="P10" s="3">
        <f t="shared" si="11"/>
        <v>3.4052276074048722</v>
      </c>
      <c r="Q10" s="3">
        <f t="shared" si="12"/>
        <v>0.2936661261131091</v>
      </c>
      <c r="R10" s="13">
        <f t="shared" si="15"/>
        <v>1.1253732725194645</v>
      </c>
      <c r="S10" s="8">
        <f>1-GEVCUM(KVD!$D$52,KVD!$E$52,KVD!$F$52,$A10)</f>
        <v>0.9798016775538595</v>
      </c>
      <c r="T10" s="3">
        <f t="shared" si="13"/>
        <v>3.9021557252443566</v>
      </c>
      <c r="U10" s="9">
        <f t="shared" si="14"/>
        <v>0.25626860392338113</v>
      </c>
      <c r="V10" s="32">
        <f t="shared" si="16"/>
        <v>1.1655823506364409</v>
      </c>
    </row>
    <row r="11" spans="1:22" x14ac:dyDescent="0.25">
      <c r="A11" s="23">
        <f t="shared" si="4"/>
        <v>52.5</v>
      </c>
      <c r="B11" s="13">
        <f t="shared" si="5"/>
        <v>50</v>
      </c>
      <c r="C11" s="8">
        <f>1-GEVCUM(KVD!$D$48,KVD!$E$48,KVD!$F$48,$A11)</f>
        <v>3.1989013064068206E-2</v>
      </c>
      <c r="D11" s="3">
        <f t="shared" si="0"/>
        <v>3.2511841629546984E-2</v>
      </c>
      <c r="E11" s="3">
        <f t="shared" si="1"/>
        <v>30.758023842340361</v>
      </c>
      <c r="F11" s="32">
        <f t="shared" si="6"/>
        <v>2.7311994334731707E-2</v>
      </c>
      <c r="G11" s="8">
        <f>1-GEVCUM(KVD!$D$49,KVD!$E$49,KVD!$F$49,$A11)</f>
        <v>0.1561309645011727</v>
      </c>
      <c r="H11" s="3">
        <f t="shared" si="2"/>
        <v>0.16975796763639794</v>
      </c>
      <c r="I11" s="3">
        <f t="shared" si="3"/>
        <v>5.8907397038463909</v>
      </c>
      <c r="J11" s="13">
        <f t="shared" si="7"/>
        <v>0.11757760436558329</v>
      </c>
      <c r="K11" s="8">
        <f>1-GEVCUM(KVD!$D$50,KVD!$E$50,KVD!$F$50,$A11)</f>
        <v>0.53291496837447427</v>
      </c>
      <c r="L11" s="3">
        <f t="shared" si="8"/>
        <v>0.76124395731931693</v>
      </c>
      <c r="M11" s="3">
        <f t="shared" si="9"/>
        <v>1.313639327294565</v>
      </c>
      <c r="N11" s="13">
        <f t="shared" si="10"/>
        <v>0.39810264975520415</v>
      </c>
      <c r="O11" s="8">
        <f>1-GEVCUM(KVD!$D$51,KVD!$E$51,KVD!$F$51,$A11)</f>
        <v>0.92189345481879359</v>
      </c>
      <c r="P11" s="3">
        <f t="shared" si="11"/>
        <v>2.5496814205108653</v>
      </c>
      <c r="Q11" s="3">
        <f t="shared" si="12"/>
        <v>0.39220586225224779</v>
      </c>
      <c r="R11" s="13">
        <f t="shared" si="15"/>
        <v>0.85554618689400685</v>
      </c>
      <c r="S11" s="8">
        <f>1-GEVCUM(KVD!$D$52,KVD!$E$52,KVD!$F$52,$A11)</f>
        <v>0.94978988855371482</v>
      </c>
      <c r="T11" s="3">
        <f t="shared" si="13"/>
        <v>2.9915388493346167</v>
      </c>
      <c r="U11" s="9">
        <f t="shared" si="14"/>
        <v>0.33427612020563324</v>
      </c>
      <c r="V11" s="32">
        <f t="shared" si="16"/>
        <v>0.91061687590973994</v>
      </c>
    </row>
    <row r="12" spans="1:22" x14ac:dyDescent="0.25">
      <c r="A12" s="23">
        <f t="shared" si="4"/>
        <v>57.5</v>
      </c>
      <c r="B12" s="13">
        <f t="shared" si="5"/>
        <v>55</v>
      </c>
      <c r="C12" s="8">
        <f>1-GEVCUM(KVD!$D$48,KVD!$E$48,KVD!$F$48,$A12)</f>
        <v>1.7970719255049339E-2</v>
      </c>
      <c r="D12" s="3">
        <f t="shared" si="0"/>
        <v>1.8134153612986204E-2</v>
      </c>
      <c r="E12" s="3">
        <f t="shared" si="1"/>
        <v>55.144564303452327</v>
      </c>
      <c r="F12" s="32">
        <f t="shared" si="6"/>
        <v>1.437768801656078E-2</v>
      </c>
      <c r="G12" s="8">
        <f>1-GEVCUM(KVD!$D$49,KVD!$E$49,KVD!$F$49,$A12)</f>
        <v>9.6803959195227884E-2</v>
      </c>
      <c r="H12" s="3">
        <f t="shared" si="2"/>
        <v>0.10181564967625245</v>
      </c>
      <c r="I12" s="3">
        <f t="shared" si="3"/>
        <v>9.8216728290763005</v>
      </c>
      <c r="J12" s="13">
        <f t="shared" si="7"/>
        <v>6.7942317960145479E-2</v>
      </c>
      <c r="K12" s="8">
        <f>1-GEVCUM(KVD!$D$50,KVD!$E$50,KVD!$F$50,$A12)</f>
        <v>0.39454540065000321</v>
      </c>
      <c r="L12" s="3">
        <f t="shared" si="8"/>
        <v>0.50177569922956555</v>
      </c>
      <c r="M12" s="3">
        <f t="shared" si="9"/>
        <v>1.9929223386772537</v>
      </c>
      <c r="N12" s="13">
        <f t="shared" si="10"/>
        <v>0.25946825808975138</v>
      </c>
      <c r="O12" s="8">
        <f>1-GEVCUM(KVD!$D$51,KVD!$E$51,KVD!$F$51,$A12)</f>
        <v>0.85067796974616539</v>
      </c>
      <c r="P12" s="3">
        <f t="shared" si="11"/>
        <v>1.9016500283644147</v>
      </c>
      <c r="Q12" s="3">
        <f t="shared" si="12"/>
        <v>0.52585911449757528</v>
      </c>
      <c r="R12" s="13">
        <f t="shared" si="15"/>
        <v>0.64803139214645067</v>
      </c>
      <c r="S12" s="8">
        <f>1-GEVCUM(KVD!$D$52,KVD!$E$52,KVD!$F$52,$A12)</f>
        <v>0.89802952024925642</v>
      </c>
      <c r="T12" s="3">
        <f t="shared" si="13"/>
        <v>2.2830719217946367</v>
      </c>
      <c r="U12" s="9">
        <f t="shared" si="14"/>
        <v>0.4380063503272984</v>
      </c>
      <c r="V12" s="32">
        <f t="shared" si="16"/>
        <v>0.70846692753997953</v>
      </c>
    </row>
    <row r="13" spans="1:22" x14ac:dyDescent="0.25">
      <c r="A13" s="23">
        <f t="shared" si="4"/>
        <v>62.5</v>
      </c>
      <c r="B13" s="13">
        <f t="shared" si="5"/>
        <v>60</v>
      </c>
      <c r="C13" s="8">
        <f>1-GEVCUM(KVD!$D$48,KVD!$E$48,KVD!$F$48,$A13)</f>
        <v>1.0305541371126825E-2</v>
      </c>
      <c r="D13" s="3">
        <f t="shared" si="0"/>
        <v>1.0359011136418029E-2</v>
      </c>
      <c r="E13" s="3">
        <f t="shared" si="1"/>
        <v>96.534310739797419</v>
      </c>
      <c r="F13" s="32">
        <f t="shared" si="6"/>
        <v>7.7751424765681743E-3</v>
      </c>
      <c r="G13" s="8">
        <f>1-GEVCUM(KVD!$D$49,KVD!$E$49,KVD!$F$49,$A13)</f>
        <v>6.0061660209331902E-2</v>
      </c>
      <c r="H13" s="3">
        <f t="shared" si="2"/>
        <v>6.1941001836971391E-2</v>
      </c>
      <c r="I13" s="3">
        <f t="shared" si="3"/>
        <v>16.144394994320535</v>
      </c>
      <c r="J13" s="13">
        <f t="shared" si="7"/>
        <v>3.9874647839281074E-2</v>
      </c>
      <c r="K13" s="8">
        <f>1-GEVCUM(KVD!$D$50,KVD!$E$50,KVD!$F$50,$A13)</f>
        <v>0.28251381144442123</v>
      </c>
      <c r="L13" s="3">
        <f t="shared" si="8"/>
        <v>0.33200158093352317</v>
      </c>
      <c r="M13" s="3">
        <f t="shared" si="9"/>
        <v>3.0120338499238364</v>
      </c>
      <c r="N13" s="13">
        <f t="shared" si="10"/>
        <v>0.16977411829604239</v>
      </c>
      <c r="O13" s="8">
        <f>1-GEVCUM(KVD!$D$51,KVD!$E$51,KVD!$F$51,$A13)</f>
        <v>0.75650223693758767</v>
      </c>
      <c r="P13" s="3">
        <f t="shared" si="11"/>
        <v>1.4126475231036923</v>
      </c>
      <c r="Q13" s="3">
        <f t="shared" si="12"/>
        <v>0.70789066886474639</v>
      </c>
      <c r="R13" s="13">
        <f t="shared" si="15"/>
        <v>0.48900250526072231</v>
      </c>
      <c r="S13" s="8">
        <f>1-GEVCUM(KVD!$D$52,KVD!$E$52,KVD!$F$52,$A13)</f>
        <v>0.82346720322235789</v>
      </c>
      <c r="T13" s="3">
        <f t="shared" si="13"/>
        <v>1.7342486024336414</v>
      </c>
      <c r="U13" s="9">
        <f t="shared" si="14"/>
        <v>0.5766185993154137</v>
      </c>
      <c r="V13" s="32">
        <f t="shared" si="16"/>
        <v>0.54882331936099549</v>
      </c>
    </row>
    <row r="14" spans="1:22" x14ac:dyDescent="0.25">
      <c r="A14" s="23">
        <f t="shared" si="4"/>
        <v>67.5</v>
      </c>
      <c r="B14" s="13">
        <f t="shared" si="5"/>
        <v>65</v>
      </c>
      <c r="C14" s="8">
        <f>1-GEVCUM(KVD!$D$48,KVD!$E$48,KVD!$F$48,$A14)</f>
        <v>6.0308343644825957E-3</v>
      </c>
      <c r="D14" s="3">
        <f t="shared" si="0"/>
        <v>6.0490932941153243E-3</v>
      </c>
      <c r="E14" s="3">
        <f t="shared" si="1"/>
        <v>165.31403160417767</v>
      </c>
      <c r="F14" s="32">
        <f t="shared" si="6"/>
        <v>4.3099178423027049E-3</v>
      </c>
      <c r="G14" s="8">
        <f>1-GEVCUM(KVD!$D$49,KVD!$E$49,KVD!$F$49,$A14)</f>
        <v>3.7473079972573875E-2</v>
      </c>
      <c r="H14" s="3">
        <f t="shared" si="2"/>
        <v>3.8193244351655518E-2</v>
      </c>
      <c r="I14" s="3">
        <f t="shared" si="3"/>
        <v>26.182640856396745</v>
      </c>
      <c r="J14" s="13">
        <f t="shared" si="7"/>
        <v>2.3747757485315872E-2</v>
      </c>
      <c r="K14" s="8">
        <f>1-GEVCUM(KVD!$D$50,KVD!$E$50,KVD!$F$50,$A14)</f>
        <v>0.19787308596298026</v>
      </c>
      <c r="L14" s="3">
        <f t="shared" si="8"/>
        <v>0.22048843670639473</v>
      </c>
      <c r="M14" s="3">
        <f t="shared" si="9"/>
        <v>4.5353852335195839</v>
      </c>
      <c r="N14" s="13">
        <f t="shared" si="10"/>
        <v>0.11151314422712844</v>
      </c>
      <c r="O14" s="8">
        <f>1-GEVCUM(KVD!$D$51,KVD!$E$51,KVD!$F$51,$A14)</f>
        <v>0.64833441128926006</v>
      </c>
      <c r="P14" s="3">
        <f t="shared" si="11"/>
        <v>1.0450745870222946</v>
      </c>
      <c r="Q14" s="3">
        <f t="shared" si="12"/>
        <v>0.95686950234745971</v>
      </c>
      <c r="R14" s="13">
        <f t="shared" si="15"/>
        <v>0.36757293608139774</v>
      </c>
      <c r="S14" s="8">
        <f>1-GEVCUM(KVD!$D$52,KVD!$E$52,KVD!$F$52,$A14)</f>
        <v>0.73044601155119238</v>
      </c>
      <c r="T14" s="3">
        <f t="shared" si="13"/>
        <v>1.3109865805001522</v>
      </c>
      <c r="U14" s="9">
        <f t="shared" si="14"/>
        <v>0.76278431440426475</v>
      </c>
      <c r="V14" s="32">
        <f t="shared" si="16"/>
        <v>0.42326202193348905</v>
      </c>
    </row>
    <row r="15" spans="1:22" x14ac:dyDescent="0.25">
      <c r="A15" s="23">
        <f t="shared" si="4"/>
        <v>72.5</v>
      </c>
      <c r="B15" s="13">
        <f t="shared" si="5"/>
        <v>70</v>
      </c>
      <c r="C15" s="8">
        <f>1-GEVCUM(KVD!$D$48,KVD!$E$48,KVD!$F$48,$A15)</f>
        <v>3.5983939768249318E-3</v>
      </c>
      <c r="D15" s="3">
        <f t="shared" si="0"/>
        <v>3.604883769662926E-3</v>
      </c>
      <c r="E15" s="3">
        <f t="shared" si="1"/>
        <v>277.40145422039637</v>
      </c>
      <c r="F15" s="32">
        <f t="shared" si="6"/>
        <v>2.4442095244523987E-3</v>
      </c>
      <c r="G15" s="8">
        <f>1-GEVCUM(KVD!$D$49,KVD!$E$49,KVD!$F$49,$A15)</f>
        <v>2.3570138245920913E-2</v>
      </c>
      <c r="H15" s="3">
        <f t="shared" si="2"/>
        <v>2.3852357405722932E-2</v>
      </c>
      <c r="I15" s="3">
        <f t="shared" si="3"/>
        <v>41.924577222713779</v>
      </c>
      <c r="J15" s="13">
        <f t="shared" si="7"/>
        <v>1.4340886945932586E-2</v>
      </c>
      <c r="K15" s="8">
        <f>1-GEVCUM(KVD!$D$50,KVD!$E$50,KVD!$F$50,$A15)</f>
        <v>0.13667693960162441</v>
      </c>
      <c r="L15" s="3">
        <f t="shared" si="8"/>
        <v>0.14696631217991948</v>
      </c>
      <c r="M15" s="3">
        <f t="shared" si="9"/>
        <v>6.8042804175134872</v>
      </c>
      <c r="N15" s="13">
        <f t="shared" si="10"/>
        <v>7.3522124526475247E-2</v>
      </c>
      <c r="O15" s="8">
        <f>1-GEVCUM(KVD!$D$51,KVD!$E$51,KVD!$F$51,$A15)</f>
        <v>0.53692944438793166</v>
      </c>
      <c r="P15" s="3">
        <f t="shared" si="11"/>
        <v>0.76987584857473113</v>
      </c>
      <c r="Q15" s="3">
        <f t="shared" si="12"/>
        <v>1.298910729374479</v>
      </c>
      <c r="R15" s="13">
        <f t="shared" si="15"/>
        <v>0.27519873844756348</v>
      </c>
      <c r="S15" s="8">
        <f>1-GEVCUM(KVD!$D$52,KVD!$E$52,KVD!$F$52,$A15)</f>
        <v>0.62695758584297012</v>
      </c>
      <c r="T15" s="3">
        <f t="shared" si="13"/>
        <v>0.98606315492615748</v>
      </c>
      <c r="U15" s="9">
        <f t="shared" si="14"/>
        <v>1.0141338260173469</v>
      </c>
      <c r="V15" s="32">
        <f t="shared" si="16"/>
        <v>0.32492342557399467</v>
      </c>
    </row>
    <row r="16" spans="1:22" x14ac:dyDescent="0.25">
      <c r="A16" s="23">
        <f t="shared" si="4"/>
        <v>77.5</v>
      </c>
      <c r="B16" s="13">
        <f t="shared" si="5"/>
        <v>75</v>
      </c>
      <c r="C16" s="8">
        <f>1-GEVCUM(KVD!$D$48,KVD!$E$48,KVD!$F$48,$A16)</f>
        <v>2.1867688846209932E-3</v>
      </c>
      <c r="D16" s="3">
        <f t="shared" si="0"/>
        <v>2.1891633551042668E-3</v>
      </c>
      <c r="E16" s="3">
        <f t="shared" si="1"/>
        <v>456.79551398866323</v>
      </c>
      <c r="F16" s="32">
        <f t="shared" si="6"/>
        <v>1.4157204145586588E-3</v>
      </c>
      <c r="G16" s="8">
        <f>1-GEVCUM(KVD!$D$49,KVD!$E$49,KVD!$F$49,$A16)</f>
        <v>1.496435937177798E-2</v>
      </c>
      <c r="H16" s="3">
        <f t="shared" si="2"/>
        <v>1.507745508574523E-2</v>
      </c>
      <c r="I16" s="3">
        <f t="shared" si="3"/>
        <v>66.324190277007432</v>
      </c>
      <c r="J16" s="13">
        <f t="shared" si="7"/>
        <v>8.7749023199777034E-3</v>
      </c>
      <c r="K16" s="8">
        <f>1-GEVCUM(KVD!$D$50,KVD!$E$50,KVD!$F$50,$A16)</f>
        <v>9.3634232836479203E-2</v>
      </c>
      <c r="L16" s="3">
        <f t="shared" si="8"/>
        <v>9.8312337894716134E-2</v>
      </c>
      <c r="M16" s="3">
        <f t="shared" si="9"/>
        <v>10.17166330711118</v>
      </c>
      <c r="N16" s="13">
        <f t="shared" si="10"/>
        <v>4.865397428520335E-2</v>
      </c>
      <c r="O16" s="8">
        <f>1-GEVCUM(KVD!$D$51,KVD!$E$51,KVD!$F$51,$A16)</f>
        <v>0.43145732531397052</v>
      </c>
      <c r="P16" s="3">
        <f t="shared" si="11"/>
        <v>0.56467890319803149</v>
      </c>
      <c r="Q16" s="3">
        <f t="shared" si="12"/>
        <v>1.7709179399771244</v>
      </c>
      <c r="R16" s="13">
        <f t="shared" si="15"/>
        <v>0.20519694537669964</v>
      </c>
      <c r="S16" s="8">
        <f>1-GEVCUM(KVD!$D$52,KVD!$E$52,KVD!$F$52,$A16)</f>
        <v>0.52184541312848598</v>
      </c>
      <c r="T16" s="3">
        <f t="shared" si="13"/>
        <v>0.73782119527742851</v>
      </c>
      <c r="U16" s="9">
        <f t="shared" si="14"/>
        <v>1.3553419262020381</v>
      </c>
      <c r="V16" s="32">
        <f t="shared" si="16"/>
        <v>0.24824195964872897</v>
      </c>
    </row>
    <row r="17" spans="1:22" x14ac:dyDescent="0.25">
      <c r="A17" s="23">
        <f t="shared" si="4"/>
        <v>82.5</v>
      </c>
      <c r="B17" s="13">
        <f t="shared" si="5"/>
        <v>80</v>
      </c>
      <c r="C17" s="8">
        <f>1-GEVCUM(KVD!$D$48,KVD!$E$48,KVD!$F$48,$A17)</f>
        <v>1.352016391355404E-3</v>
      </c>
      <c r="D17" s="3">
        <f t="shared" si="0"/>
        <v>1.352931190158269E-3</v>
      </c>
      <c r="E17" s="3">
        <f t="shared" si="1"/>
        <v>739.13589048310553</v>
      </c>
      <c r="F17" s="32">
        <f t="shared" si="6"/>
        <v>8.3623216494599774E-4</v>
      </c>
      <c r="G17" s="8">
        <f>1-GEVCUM(KVD!$D$49,KVD!$E$49,KVD!$F$49,$A17)</f>
        <v>9.5944897772559656E-3</v>
      </c>
      <c r="H17" s="3">
        <f t="shared" si="2"/>
        <v>9.6408134336554967E-3</v>
      </c>
      <c r="I17" s="3">
        <f t="shared" si="3"/>
        <v>103.7256873480261</v>
      </c>
      <c r="J17" s="13">
        <f t="shared" si="7"/>
        <v>5.4366416520897319E-3</v>
      </c>
      <c r="K17" s="8">
        <f>1-GEVCUM(KVD!$D$50,KVD!$E$50,KVD!$F$50,$A17)</f>
        <v>6.3867035909361602E-2</v>
      </c>
      <c r="L17" s="3">
        <f t="shared" si="8"/>
        <v>6.5997756941102298E-2</v>
      </c>
      <c r="M17" s="3">
        <f t="shared" si="9"/>
        <v>15.152030104484002</v>
      </c>
      <c r="N17" s="13">
        <f t="shared" si="10"/>
        <v>3.2314580953613836E-2</v>
      </c>
      <c r="O17" s="8">
        <f>1-GEVCUM(KVD!$D$51,KVD!$E$51,KVD!$F$51,$A17)</f>
        <v>0.33788809463825253</v>
      </c>
      <c r="P17" s="3">
        <f t="shared" si="11"/>
        <v>0.41232069599906007</v>
      </c>
      <c r="Q17" s="3">
        <f t="shared" si="12"/>
        <v>2.4252966433736316</v>
      </c>
      <c r="R17" s="13">
        <f t="shared" si="15"/>
        <v>0.15235820719897142</v>
      </c>
      <c r="S17" s="8">
        <f>1-GEVCUM(KVD!$D$52,KVD!$E$52,KVD!$F$52,$A17)</f>
        <v>0.42253205802089722</v>
      </c>
      <c r="T17" s="3">
        <f t="shared" si="13"/>
        <v>0.54910234985151862</v>
      </c>
      <c r="U17" s="9">
        <f t="shared" si="14"/>
        <v>1.8211541077367588</v>
      </c>
      <c r="V17" s="32">
        <f t="shared" si="16"/>
        <v>0.18871884542590989</v>
      </c>
    </row>
    <row r="18" spans="1:22" x14ac:dyDescent="0.25">
      <c r="A18" s="23">
        <f t="shared" si="4"/>
        <v>87.5</v>
      </c>
      <c r="B18" s="13">
        <f t="shared" si="5"/>
        <v>85</v>
      </c>
      <c r="C18" s="8">
        <f>1-GEVCUM(KVD!$D$48,KVD!$E$48,KVD!$F$48,$A18)</f>
        <v>8.4953769121287603E-4</v>
      </c>
      <c r="D18" s="3">
        <f t="shared" si="0"/>
        <v>8.4989875286207496E-4</v>
      </c>
      <c r="E18" s="3">
        <f t="shared" si="1"/>
        <v>1176.6107393762513</v>
      </c>
      <c r="F18" s="32">
        <f t="shared" si="6"/>
        <v>5.0303243729619398E-4</v>
      </c>
      <c r="G18" s="8">
        <f>1-GEVCUM(KVD!$D$49,KVD!$E$49,KVD!$F$49,$A18)</f>
        <v>6.2128634508015201E-3</v>
      </c>
      <c r="H18" s="3">
        <f t="shared" si="2"/>
        <v>6.2322435994396647E-3</v>
      </c>
      <c r="I18" s="3">
        <f t="shared" si="3"/>
        <v>160.45585896063324</v>
      </c>
      <c r="J18" s="13">
        <f t="shared" si="7"/>
        <v>3.408569834215832E-3</v>
      </c>
      <c r="K18" s="8">
        <f>1-GEVCUM(KVD!$D$50,KVD!$E$50,KVD!$F$50,$A18)</f>
        <v>4.3484689032295631E-2</v>
      </c>
      <c r="L18" s="3">
        <f t="shared" si="8"/>
        <v>4.4458482945360936E-2</v>
      </c>
      <c r="M18" s="3">
        <f t="shared" si="9"/>
        <v>22.492895253060947</v>
      </c>
      <c r="N18" s="13">
        <f t="shared" si="10"/>
        <v>2.1539273995741362E-2</v>
      </c>
      <c r="O18" s="8">
        <f>1-GEVCUM(KVD!$D$51,KVD!$E$51,KVD!$F$51,$A18)</f>
        <v>0.25894799684063474</v>
      </c>
      <c r="P18" s="3">
        <f t="shared" si="11"/>
        <v>0.29968447644628293</v>
      </c>
      <c r="Q18" s="3">
        <f t="shared" si="12"/>
        <v>3.3368428417053675</v>
      </c>
      <c r="R18" s="13">
        <f t="shared" si="15"/>
        <v>0.11263621955277714</v>
      </c>
      <c r="S18" s="8">
        <f>1-GEVCUM(KVD!$D$52,KVD!$E$52,KVD!$F$52,$A18)</f>
        <v>0.33393675827307268</v>
      </c>
      <c r="T18" s="3">
        <f t="shared" si="13"/>
        <v>0.40637065540199158</v>
      </c>
      <c r="U18" s="9">
        <f t="shared" si="14"/>
        <v>2.4608076068159401</v>
      </c>
      <c r="V18" s="32">
        <f t="shared" si="16"/>
        <v>0.14273169444952705</v>
      </c>
    </row>
    <row r="19" spans="1:22" x14ac:dyDescent="0.25">
      <c r="A19" s="23">
        <f t="shared" si="4"/>
        <v>92.5</v>
      </c>
      <c r="B19" s="13">
        <f t="shared" si="5"/>
        <v>90</v>
      </c>
      <c r="C19" s="8">
        <f>1-GEVCUM(KVD!$D$48,KVD!$E$48,KVD!$F$48,$A19)</f>
        <v>5.4196233987802156E-4</v>
      </c>
      <c r="D19" s="3">
        <f t="shared" si="0"/>
        <v>5.4210925455082251E-4</v>
      </c>
      <c r="E19" s="3">
        <f t="shared" si="1"/>
        <v>1844.646612477726</v>
      </c>
      <c r="F19" s="32">
        <f t="shared" si="6"/>
        <v>3.0778949831125255E-4</v>
      </c>
      <c r="G19" s="8">
        <f>1-GEVCUM(KVD!$D$49,KVD!$E$49,KVD!$F$49,$A19)</f>
        <v>4.0626576581354046E-3</v>
      </c>
      <c r="H19" s="3">
        <f t="shared" si="2"/>
        <v>4.0709326717282019E-3</v>
      </c>
      <c r="I19" s="3">
        <f t="shared" si="3"/>
        <v>245.64395450330002</v>
      </c>
      <c r="J19" s="13">
        <f t="shared" si="7"/>
        <v>2.1613109277114628E-3</v>
      </c>
      <c r="K19" s="8">
        <f>1-GEVCUM(KVD!$D$50,KVD!$E$50,KVD!$F$50,$A19)</f>
        <v>2.9603928523459722E-2</v>
      </c>
      <c r="L19" s="3">
        <f t="shared" si="8"/>
        <v>3.0050969715251924E-2</v>
      </c>
      <c r="M19" s="3">
        <f t="shared" si="9"/>
        <v>33.276796372147182</v>
      </c>
      <c r="N19" s="13">
        <f t="shared" si="10"/>
        <v>1.4407513230109012E-2</v>
      </c>
      <c r="O19" s="8">
        <f>1-GEVCUM(KVD!$D$51,KVD!$E$51,KVD!$F$51,$A19)</f>
        <v>0.19489693359334948</v>
      </c>
      <c r="P19" s="3">
        <f t="shared" si="11"/>
        <v>0.21678497695578094</v>
      </c>
      <c r="Q19" s="3">
        <f t="shared" si="12"/>
        <v>4.6128657716165291</v>
      </c>
      <c r="R19" s="13">
        <f t="shared" si="15"/>
        <v>8.2899499490501988E-2</v>
      </c>
      <c r="S19" s="8">
        <f>1-GEVCUM(KVD!$D$52,KVD!$E$52,KVD!$F$52,$A19)</f>
        <v>0.25843700417504989</v>
      </c>
      <c r="T19" s="3">
        <f t="shared" si="13"/>
        <v>0.29899516373034768</v>
      </c>
      <c r="U19" s="9">
        <f t="shared" si="14"/>
        <v>3.3445357025970552</v>
      </c>
      <c r="V19" s="32">
        <f t="shared" si="16"/>
        <v>0.1073754916716439</v>
      </c>
    </row>
    <row r="20" spans="1:22" x14ac:dyDescent="0.25">
      <c r="A20" s="23">
        <f t="shared" si="4"/>
        <v>97.5</v>
      </c>
      <c r="B20" s="13">
        <f t="shared" si="5"/>
        <v>95</v>
      </c>
      <c r="C20" s="8">
        <f>1-GEVCUM(KVD!$D$48,KVD!$E$48,KVD!$F$48,$A20)</f>
        <v>3.5070104318812856E-4</v>
      </c>
      <c r="D20" s="3">
        <f t="shared" si="0"/>
        <v>3.5076255318047453E-4</v>
      </c>
      <c r="E20" s="3">
        <f t="shared" si="1"/>
        <v>2850.9314661234075</v>
      </c>
      <c r="F20" s="32">
        <f t="shared" si="6"/>
        <v>5.4210925455082251E-4</v>
      </c>
      <c r="G20" s="8">
        <f>1-GEVCUM(KVD!$D$49,KVD!$E$49,KVD!$F$49,$A20)</f>
        <v>2.682060645223916E-3</v>
      </c>
      <c r="H20" s="3">
        <f t="shared" si="2"/>
        <v>2.6856638139295874E-3</v>
      </c>
      <c r="I20" s="3">
        <f t="shared" si="3"/>
        <v>372.34742294003962</v>
      </c>
      <c r="J20" s="13">
        <f t="shared" si="7"/>
        <v>1.3852688577986145E-3</v>
      </c>
      <c r="K20" s="8">
        <f>1-GEVCUM(KVD!$D$50,KVD!$E$50,KVD!$F$50,$A20)</f>
        <v>2.0174250585791142E-2</v>
      </c>
      <c r="L20" s="3">
        <f t="shared" si="8"/>
        <v>2.0380529847203416E-2</v>
      </c>
      <c r="M20" s="3">
        <f t="shared" si="9"/>
        <v>49.066437796131112</v>
      </c>
      <c r="N20" s="13">
        <f t="shared" si="10"/>
        <v>9.6704398680485075E-3</v>
      </c>
      <c r="O20" s="8">
        <f>1-GEVCUM(KVD!$D$51,KVD!$E$51,KVD!$F$51,$A20)</f>
        <v>0.14448473609177304</v>
      </c>
      <c r="P20" s="3">
        <f t="shared" si="11"/>
        <v>0.15605134371878593</v>
      </c>
      <c r="Q20" s="3">
        <f t="shared" si="12"/>
        <v>6.4081473197825272</v>
      </c>
      <c r="R20" s="13">
        <f t="shared" si="15"/>
        <v>6.0733633236995016E-2</v>
      </c>
      <c r="S20" s="8">
        <f>1-GEVCUM(KVD!$D$52,KVD!$E$52,KVD!$F$52,$A20)</f>
        <v>0.19640906817599746</v>
      </c>
      <c r="T20" s="3">
        <f t="shared" si="13"/>
        <v>0.21866493054504421</v>
      </c>
      <c r="U20" s="9">
        <f t="shared" si="14"/>
        <v>4.5732070410531769</v>
      </c>
      <c r="V20" s="32">
        <f t="shared" si="16"/>
        <v>8.0330233185303496E-2</v>
      </c>
    </row>
    <row r="21" spans="1:22" x14ac:dyDescent="0.25">
      <c r="A21" s="23">
        <f t="shared" si="4"/>
        <v>102.5</v>
      </c>
      <c r="B21" s="13">
        <f t="shared" si="5"/>
        <v>100</v>
      </c>
      <c r="C21" s="8"/>
      <c r="D21" s="3"/>
      <c r="E21" s="3"/>
      <c r="F21" s="32"/>
      <c r="G21" s="8">
        <f>1-GEVCUM(KVD!$D$49,KVD!$E$49,KVD!$F$49,$A21)</f>
        <v>1.7870352283857471E-3</v>
      </c>
      <c r="H21" s="3">
        <f t="shared" si="2"/>
        <v>1.7886338806887129E-3</v>
      </c>
      <c r="I21" s="3">
        <f t="shared" si="3"/>
        <v>559.08590952942825</v>
      </c>
      <c r="J21" s="13">
        <f t="shared" si="7"/>
        <v>8.9702993324087426E-4</v>
      </c>
      <c r="K21" s="8">
        <f>1-GEVCUM(KVD!$D$50,KVD!$E$50,KVD!$F$50,$A21)</f>
        <v>1.3771876882106793E-2</v>
      </c>
      <c r="L21" s="3">
        <f t="shared" si="8"/>
        <v>1.3867588951072674E-2</v>
      </c>
      <c r="M21" s="3">
        <f t="shared" si="9"/>
        <v>72.110588475630351</v>
      </c>
      <c r="N21" s="13">
        <f t="shared" si="10"/>
        <v>6.5129408961307426E-3</v>
      </c>
      <c r="O21" s="8">
        <f>1-GEVCUM(KVD!$D$51,KVD!$E$51,KVD!$F$51,$A21)</f>
        <v>0.10574748413103097</v>
      </c>
      <c r="P21" s="3">
        <f t="shared" si="11"/>
        <v>0.11176708746260178</v>
      </c>
      <c r="Q21" s="3">
        <f t="shared" si="12"/>
        <v>8.9471777667518495</v>
      </c>
      <c r="R21" s="13">
        <f t="shared" si="15"/>
        <v>4.4284256256184151E-2</v>
      </c>
      <c r="S21" s="8">
        <f>1-GEVCUM(KVD!$D$52,KVD!$E$52,KVD!$F$52,$A21)</f>
        <v>0.14693010819738705</v>
      </c>
      <c r="T21" s="3">
        <f t="shared" si="13"/>
        <v>0.15891379838444877</v>
      </c>
      <c r="U21" s="9">
        <f t="shared" si="14"/>
        <v>6.2927197648423938</v>
      </c>
      <c r="V21" s="32">
        <f t="shared" si="16"/>
        <v>5.975113216059541E-2</v>
      </c>
    </row>
    <row r="22" spans="1:22" x14ac:dyDescent="0.25">
      <c r="A22" s="23">
        <f t="shared" si="4"/>
        <v>107.5</v>
      </c>
      <c r="B22" s="13">
        <f t="shared" si="5"/>
        <v>105</v>
      </c>
      <c r="C22" s="8"/>
      <c r="D22" s="3"/>
      <c r="E22" s="3"/>
      <c r="F22" s="32"/>
      <c r="G22" s="8">
        <f>1-GEVCUM(KVD!$D$49,KVD!$E$49,KVD!$F$49,$A22)</f>
        <v>1.2013216086331768E-3</v>
      </c>
      <c r="H22" s="3">
        <f t="shared" si="2"/>
        <v>1.202043773863263E-3</v>
      </c>
      <c r="I22" s="3">
        <f t="shared" si="3"/>
        <v>831.9164590704446</v>
      </c>
      <c r="J22" s="13">
        <f t="shared" si="7"/>
        <v>1.7886338806887131E-3</v>
      </c>
      <c r="K22" s="8">
        <f>1-GEVCUM(KVD!$D$50,KVD!$E$50,KVD!$F$50,$A22)</f>
        <v>9.4218666365172288E-3</v>
      </c>
      <c r="L22" s="3">
        <f t="shared" si="8"/>
        <v>9.4665332050079092E-3</v>
      </c>
      <c r="M22" s="3">
        <f t="shared" si="9"/>
        <v>105.63529206985595</v>
      </c>
      <c r="N22" s="13">
        <f t="shared" si="10"/>
        <v>4.4010557460647647E-3</v>
      </c>
      <c r="O22" s="8">
        <f>1-GEVCUM(KVD!$D$51,KVD!$E$51,KVD!$F$51,$A22)</f>
        <v>7.6545994834633091E-2</v>
      </c>
      <c r="P22" s="3">
        <f t="shared" si="11"/>
        <v>7.9634285493416765E-2</v>
      </c>
      <c r="Q22" s="3">
        <f t="shared" si="12"/>
        <v>12.557405316114355</v>
      </c>
      <c r="R22" s="13">
        <f t="shared" si="15"/>
        <v>3.2132801969185013E-2</v>
      </c>
      <c r="S22" s="8">
        <f>1-GEVCUM(KVD!$D$52,KVD!$E$52,KVD!$F$52,$A22)</f>
        <v>0.10839843830051421</v>
      </c>
      <c r="T22" s="3">
        <f t="shared" si="13"/>
        <v>0.11473592590232312</v>
      </c>
      <c r="U22" s="9">
        <f t="shared" si="14"/>
        <v>8.7156659270899954</v>
      </c>
      <c r="V22" s="32">
        <f t="shared" si="16"/>
        <v>4.4177872482125666E-2</v>
      </c>
    </row>
    <row r="23" spans="1:22" x14ac:dyDescent="0.25">
      <c r="A23" s="23">
        <f t="shared" si="4"/>
        <v>112.5</v>
      </c>
      <c r="B23" s="13">
        <f t="shared" si="5"/>
        <v>110</v>
      </c>
      <c r="C23" s="8"/>
      <c r="D23" s="3"/>
      <c r="E23" s="3"/>
      <c r="F23" s="32"/>
      <c r="G23" s="8"/>
      <c r="H23" s="3"/>
      <c r="I23" s="3"/>
      <c r="J23" s="13"/>
      <c r="K23" s="8">
        <f>1-GEVCUM(KVD!$D$50,KVD!$E$50,KVD!$F$50,$A23)</f>
        <v>6.4618239199106808E-3</v>
      </c>
      <c r="L23" s="3">
        <f t="shared" si="8"/>
        <v>6.48279188041752E-3</v>
      </c>
      <c r="M23" s="3">
        <f t="shared" si="9"/>
        <v>154.25452774763389</v>
      </c>
      <c r="N23" s="13">
        <f t="shared" si="10"/>
        <v>2.9837413245903891E-3</v>
      </c>
      <c r="O23" s="8">
        <f>1-GEVCUM(KVD!$D$51,KVD!$E$51,KVD!$F$51,$A23)</f>
        <v>5.4872801217988543E-2</v>
      </c>
      <c r="P23" s="3">
        <f t="shared" si="11"/>
        <v>5.6435758660688902E-2</v>
      </c>
      <c r="Q23" s="3">
        <f t="shared" si="12"/>
        <v>17.719262108485903</v>
      </c>
      <c r="R23" s="13">
        <f t="shared" si="15"/>
        <v>2.3198526832727863E-2</v>
      </c>
      <c r="S23" s="8">
        <f>1-GEVCUM(KVD!$D$52,KVD!$E$52,KVD!$F$52,$A23)</f>
        <v>7.8982314201387016E-2</v>
      </c>
      <c r="T23" s="3">
        <f t="shared" si="13"/>
        <v>8.2276040089689556E-2</v>
      </c>
      <c r="U23" s="9">
        <f t="shared" si="14"/>
        <v>12.154206727862627</v>
      </c>
      <c r="V23" s="32">
        <f t="shared" si="16"/>
        <v>3.2459885812633552E-2</v>
      </c>
    </row>
    <row r="24" spans="1:22" x14ac:dyDescent="0.25">
      <c r="A24" s="23">
        <f t="shared" si="4"/>
        <v>117.5</v>
      </c>
      <c r="B24" s="13">
        <f t="shared" si="5"/>
        <v>115</v>
      </c>
      <c r="C24" s="8"/>
      <c r="D24" s="3"/>
      <c r="E24" s="3"/>
      <c r="F24" s="32"/>
      <c r="G24" s="8"/>
      <c r="H24" s="3"/>
      <c r="I24" s="3"/>
      <c r="J24" s="13"/>
      <c r="K24" s="8">
        <f>1-GEVCUM(KVD!$D$50,KVD!$E$50,KVD!$F$50,$A24)</f>
        <v>4.4434961561975461E-3</v>
      </c>
      <c r="L24" s="3">
        <f t="shared" si="8"/>
        <v>4.4533978281573565E-3</v>
      </c>
      <c r="M24" s="3">
        <f t="shared" si="9"/>
        <v>224.54764622134854</v>
      </c>
      <c r="N24" s="13">
        <f t="shared" si="10"/>
        <v>2.0293940522601635E-3</v>
      </c>
      <c r="O24" s="8">
        <f>1-GEVCUM(KVD!$D$51,KVD!$E$51,KVD!$F$51,$A24)</f>
        <v>3.8993612581692205E-2</v>
      </c>
      <c r="P24" s="3">
        <f t="shared" si="11"/>
        <v>3.9774223396776442E-2</v>
      </c>
      <c r="Q24" s="3">
        <f t="shared" si="12"/>
        <v>25.141911383769379</v>
      </c>
      <c r="R24" s="13">
        <f t="shared" si="15"/>
        <v>1.6661535263912459E-2</v>
      </c>
      <c r="S24" s="8">
        <f>1-GEVCUM(KVD!$D$52,KVD!$E$52,KVD!$F$52,$A24)</f>
        <v>5.68981334392481E-2</v>
      </c>
      <c r="T24" s="3">
        <f t="shared" si="13"/>
        <v>5.8580978258398253E-2</v>
      </c>
      <c r="U24" s="9">
        <f t="shared" si="14"/>
        <v>17.070387517071527</v>
      </c>
      <c r="V24" s="32">
        <f t="shared" si="16"/>
        <v>2.369506183129131E-2</v>
      </c>
    </row>
    <row r="25" spans="1:22" x14ac:dyDescent="0.25">
      <c r="A25" s="23">
        <f t="shared" si="4"/>
        <v>122.5</v>
      </c>
      <c r="B25" s="13">
        <f t="shared" si="5"/>
        <v>120</v>
      </c>
      <c r="C25" s="8"/>
      <c r="D25" s="3"/>
      <c r="E25" s="3"/>
      <c r="F25" s="32"/>
      <c r="G25" s="8"/>
      <c r="H25" s="3"/>
      <c r="I25" s="3"/>
      <c r="J25" s="13"/>
      <c r="K25" s="8">
        <f>1-GEVCUM(KVD!$D$50,KVD!$E$50,KVD!$F$50,$A25)</f>
        <v>3.0640140515398873E-3</v>
      </c>
      <c r="L25" s="3">
        <f t="shared" si="8"/>
        <v>3.0687177531898437E-3</v>
      </c>
      <c r="M25" s="3">
        <f t="shared" si="9"/>
        <v>325.86900472046631</v>
      </c>
      <c r="N25" s="13">
        <f t="shared" si="10"/>
        <v>4.4533978281573565E-3</v>
      </c>
      <c r="O25" s="8">
        <f>1-GEVCUM(KVD!$D$51,KVD!$E$51,KVD!$F$51,$A25)</f>
        <v>2.7486861755169234E-2</v>
      </c>
      <c r="P25" s="3">
        <f t="shared" si="11"/>
        <v>2.7871693817469602E-2</v>
      </c>
      <c r="Q25" s="3">
        <f t="shared" si="12"/>
        <v>35.878694942221756</v>
      </c>
      <c r="R25" s="13">
        <f t="shared" si="15"/>
        <v>1.1902529579306841E-2</v>
      </c>
      <c r="S25" s="8">
        <f>1-GEVCUM(KVD!$D$52,KVD!$E$52,KVD!$F$52,$A25)</f>
        <v>4.0555970529418284E-2</v>
      </c>
      <c r="T25" s="3">
        <f t="shared" si="13"/>
        <v>4.1401298252409215E-2</v>
      </c>
      <c r="U25" s="9">
        <f t="shared" si="14"/>
        <v>24.153831937910503</v>
      </c>
      <c r="V25" s="32">
        <f t="shared" si="16"/>
        <v>1.7179680005989031E-2</v>
      </c>
    </row>
    <row r="26" spans="1:22" x14ac:dyDescent="0.25">
      <c r="A26" s="23">
        <f t="shared" si="4"/>
        <v>127.5</v>
      </c>
      <c r="B26" s="13">
        <f t="shared" si="5"/>
        <v>125</v>
      </c>
      <c r="C26" s="8"/>
      <c r="D26" s="3"/>
      <c r="E26" s="3"/>
      <c r="F26" s="32"/>
      <c r="G26" s="8"/>
      <c r="H26" s="3"/>
      <c r="I26" s="3"/>
      <c r="J26" s="13"/>
      <c r="K26" s="8"/>
      <c r="L26" s="3"/>
      <c r="M26" s="3"/>
      <c r="N26" s="13"/>
      <c r="O26" s="8">
        <f>1-GEVCUM(KVD!$D$51,KVD!$E$51,KVD!$F$51,$A26)</f>
        <v>1.9228587031536071E-2</v>
      </c>
      <c r="P26" s="3">
        <f t="shared" si="11"/>
        <v>1.9415860872123446E-2</v>
      </c>
      <c r="Q26" s="3">
        <f t="shared" si="12"/>
        <v>51.504283358136433</v>
      </c>
      <c r="R26" s="13">
        <f t="shared" si="15"/>
        <v>8.4558329453461555E-3</v>
      </c>
      <c r="S26" s="8">
        <f>1-GEVCUM(KVD!$D$52,KVD!$E$52,KVD!$F$52,$A26)</f>
        <v>2.8616191706431482E-2</v>
      </c>
      <c r="T26" s="3">
        <f t="shared" si="13"/>
        <v>2.9033617632751293E-2</v>
      </c>
      <c r="U26" s="9">
        <f t="shared" si="14"/>
        <v>34.442831501368012</v>
      </c>
      <c r="V26" s="32">
        <f t="shared" si="16"/>
        <v>1.2367680619657921E-2</v>
      </c>
    </row>
    <row r="27" spans="1:22" x14ac:dyDescent="0.25">
      <c r="A27" s="23">
        <f t="shared" si="4"/>
        <v>132.5</v>
      </c>
      <c r="B27" s="13">
        <f t="shared" si="5"/>
        <v>130</v>
      </c>
      <c r="C27" s="8"/>
      <c r="D27" s="3"/>
      <c r="E27" s="3"/>
      <c r="F27" s="32"/>
      <c r="G27" s="8"/>
      <c r="H27" s="3"/>
      <c r="I27" s="3"/>
      <c r="J27" s="13"/>
      <c r="K27" s="8"/>
      <c r="L27" s="3"/>
      <c r="M27" s="3"/>
      <c r="N27" s="13"/>
      <c r="O27" s="8">
        <f>1-GEVCUM(KVD!$D$51,KVD!$E$51,KVD!$F$51,$A27)</f>
        <v>1.3353000728578035E-2</v>
      </c>
      <c r="P27" s="3">
        <f t="shared" si="11"/>
        <v>1.3442953701665093E-2</v>
      </c>
      <c r="Q27" s="3">
        <f t="shared" si="12"/>
        <v>74.388413602595122</v>
      </c>
      <c r="R27" s="13">
        <f t="shared" si="15"/>
        <v>5.9729071704583536E-3</v>
      </c>
      <c r="S27" s="8">
        <f>1-GEVCUM(KVD!$D$52,KVD!$E$52,KVD!$F$52,$A27)</f>
        <v>1.9993367191532552E-2</v>
      </c>
      <c r="T27" s="3">
        <f t="shared" si="13"/>
        <v>2.0195939168517862E-2</v>
      </c>
      <c r="U27" s="9">
        <f t="shared" si="14"/>
        <v>49.514904538771589</v>
      </c>
      <c r="V27" s="32">
        <f t="shared" si="16"/>
        <v>8.8376784642334311E-3</v>
      </c>
    </row>
    <row r="28" spans="1:22" x14ac:dyDescent="0.25">
      <c r="A28" s="23">
        <f t="shared" si="4"/>
        <v>137.5</v>
      </c>
      <c r="B28" s="13">
        <f t="shared" si="5"/>
        <v>135</v>
      </c>
      <c r="C28" s="8"/>
      <c r="D28" s="3"/>
      <c r="E28" s="3"/>
      <c r="F28" s="32"/>
      <c r="G28" s="8"/>
      <c r="H28" s="3"/>
      <c r="I28" s="3"/>
      <c r="J28" s="13"/>
      <c r="K28" s="8"/>
      <c r="L28" s="3"/>
      <c r="M28" s="3"/>
      <c r="N28" s="13"/>
      <c r="O28" s="8">
        <f>1-GEVCUM(KVD!$D$51,KVD!$E$51,KVD!$F$51,$A28)</f>
        <v>9.206177715056385E-3</v>
      </c>
      <c r="P28" s="3">
        <f t="shared" si="11"/>
        <v>9.2488164641426236E-3</v>
      </c>
      <c r="Q28" s="3">
        <f t="shared" si="12"/>
        <v>108.12194229142391</v>
      </c>
      <c r="R28" s="13">
        <f t="shared" si="15"/>
        <v>4.1941372375224693E-3</v>
      </c>
      <c r="S28" s="8">
        <f>1-GEVCUM(KVD!$D$52,KVD!$E$52,KVD!$F$52,$A28)</f>
        <v>1.3833001927642585E-2</v>
      </c>
      <c r="T28" s="3">
        <f t="shared" si="13"/>
        <v>1.392956947911056E-2</v>
      </c>
      <c r="U28" s="9">
        <f t="shared" si="14"/>
        <v>71.789727708357916</v>
      </c>
      <c r="V28" s="32">
        <f t="shared" si="16"/>
        <v>6.2663696894073046E-3</v>
      </c>
    </row>
    <row r="29" spans="1:22" x14ac:dyDescent="0.25">
      <c r="A29" s="23">
        <f t="shared" si="4"/>
        <v>142.5</v>
      </c>
      <c r="B29" s="13">
        <f t="shared" si="5"/>
        <v>140</v>
      </c>
      <c r="C29" s="8"/>
      <c r="D29" s="3"/>
      <c r="E29" s="3"/>
      <c r="F29" s="32"/>
      <c r="G29" s="8"/>
      <c r="H29" s="3"/>
      <c r="I29" s="3"/>
      <c r="J29" s="13"/>
      <c r="K29" s="8"/>
      <c r="L29" s="3"/>
      <c r="M29" s="3"/>
      <c r="N29" s="13"/>
      <c r="O29" s="8">
        <f>1-GEVCUM(KVD!$D$51,KVD!$E$51,KVD!$F$51,$A29)</f>
        <v>6.301774426869966E-3</v>
      </c>
      <c r="P29" s="3">
        <f t="shared" si="11"/>
        <v>6.3217144230464503E-3</v>
      </c>
      <c r="Q29" s="3">
        <f t="shared" si="12"/>
        <v>158.18493735724579</v>
      </c>
      <c r="R29" s="13">
        <f t="shared" si="15"/>
        <v>2.9271020410961725E-3</v>
      </c>
      <c r="S29" s="8">
        <f>1-GEVCUM(KVD!$D$52,KVD!$E$52,KVD!$F$52,$A29)</f>
        <v>9.4771799400261703E-3</v>
      </c>
      <c r="T29" s="3">
        <f t="shared" si="13"/>
        <v>9.522374179116503E-3</v>
      </c>
      <c r="U29" s="9">
        <f t="shared" si="14"/>
        <v>105.01582706055572</v>
      </c>
      <c r="V29" s="32">
        <f t="shared" si="16"/>
        <v>4.4071952999940548E-3</v>
      </c>
    </row>
    <row r="30" spans="1:22" x14ac:dyDescent="0.25">
      <c r="A30" s="23">
        <f t="shared" si="4"/>
        <v>147.5</v>
      </c>
      <c r="B30" s="13">
        <f t="shared" si="5"/>
        <v>145</v>
      </c>
      <c r="C30" s="8"/>
      <c r="D30" s="3"/>
      <c r="E30" s="3"/>
      <c r="F30" s="32"/>
      <c r="G30" s="8"/>
      <c r="H30" s="3"/>
      <c r="I30" s="3"/>
      <c r="J30" s="13"/>
      <c r="K30" s="8"/>
      <c r="L30" s="3"/>
      <c r="M30" s="3"/>
      <c r="N30" s="13"/>
      <c r="O30" s="8">
        <f>1-GEVCUM(KVD!$D$51,KVD!$E$51,KVD!$F$51,$A30)</f>
        <v>4.2826040803801702E-3</v>
      </c>
      <c r="P30" s="3">
        <f t="shared" si="11"/>
        <v>4.2918006956015444E-3</v>
      </c>
      <c r="Q30" s="3">
        <f t="shared" si="12"/>
        <v>233.00243206187344</v>
      </c>
      <c r="R30" s="13">
        <f t="shared" si="15"/>
        <v>2.0299137274449068E-3</v>
      </c>
      <c r="S30" s="8">
        <f>1-GEVCUM(KVD!$D$52,KVD!$E$52,KVD!$F$52,$A30)</f>
        <v>6.4283157481783704E-3</v>
      </c>
      <c r="T30" s="3">
        <f t="shared" si="13"/>
        <v>6.4490663452527065E-3</v>
      </c>
      <c r="U30" s="9">
        <f t="shared" si="14"/>
        <v>155.06120521401073</v>
      </c>
      <c r="V30" s="32">
        <f t="shared" si="16"/>
        <v>3.0733078338637974E-3</v>
      </c>
    </row>
    <row r="31" spans="1:22" x14ac:dyDescent="0.25">
      <c r="A31" s="23">
        <f t="shared" si="4"/>
        <v>152.5</v>
      </c>
      <c r="B31" s="13">
        <f t="shared" si="5"/>
        <v>150</v>
      </c>
      <c r="C31" s="8"/>
      <c r="D31" s="3"/>
      <c r="E31" s="3"/>
      <c r="F31" s="32"/>
      <c r="G31" s="8"/>
      <c r="H31" s="3"/>
      <c r="I31" s="3"/>
      <c r="J31" s="13"/>
      <c r="K31" s="8"/>
      <c r="L31" s="3"/>
      <c r="M31" s="3"/>
      <c r="N31" s="13"/>
      <c r="O31" s="8">
        <f>1-GEVCUM(KVD!$D$51,KVD!$E$51,KVD!$F$51,$A31)</f>
        <v>2.8891178261318817E-3</v>
      </c>
      <c r="P31" s="3">
        <f t="shared" si="11"/>
        <v>2.8932993829875616E-3</v>
      </c>
      <c r="Q31" s="3">
        <f t="shared" si="12"/>
        <v>345.62617538991782</v>
      </c>
      <c r="R31" s="13">
        <f t="shared" si="15"/>
        <v>1.3985013126139828E-3</v>
      </c>
      <c r="S31" s="8">
        <f>1-GEVCUM(KVD!$D$52,KVD!$E$52,KVD!$F$52,$A31)</f>
        <v>4.3156824051077125E-3</v>
      </c>
      <c r="T31" s="3">
        <f t="shared" si="13"/>
        <v>4.325021842802635E-3</v>
      </c>
      <c r="U31" s="9">
        <f t="shared" si="14"/>
        <v>231.21270512520584</v>
      </c>
      <c r="V31" s="32">
        <f t="shared" si="16"/>
        <v>2.1240445024500705E-3</v>
      </c>
    </row>
    <row r="32" spans="1:22" x14ac:dyDescent="0.25">
      <c r="A32" s="23">
        <f t="shared" si="4"/>
        <v>157.5</v>
      </c>
      <c r="B32" s="13">
        <f t="shared" si="5"/>
        <v>155</v>
      </c>
      <c r="C32" s="8"/>
      <c r="D32" s="3"/>
      <c r="E32" s="3"/>
      <c r="F32" s="32"/>
      <c r="G32" s="8"/>
      <c r="H32" s="3"/>
      <c r="I32" s="3"/>
      <c r="J32" s="13"/>
      <c r="K32" s="8"/>
      <c r="L32" s="3"/>
      <c r="M32" s="3"/>
      <c r="N32" s="13"/>
      <c r="O32" s="8">
        <f>1-GEVCUM(KVD!$D$51,KVD!$E$51,KVD!$F$51,$A32)</f>
        <v>1.9344754807408826E-3</v>
      </c>
      <c r="P32" s="3">
        <f t="shared" si="11"/>
        <v>1.936348995001849E-3</v>
      </c>
      <c r="Q32" s="3">
        <f t="shared" si="12"/>
        <v>516.43582979164614</v>
      </c>
      <c r="R32" s="13">
        <f t="shared" si="15"/>
        <v>2.8932993829875616E-3</v>
      </c>
      <c r="S32" s="8">
        <f>1-GEVCUM(KVD!$D$52,KVD!$E$52,KVD!$F$52,$A32)</f>
        <v>2.8666612650440904E-3</v>
      </c>
      <c r="T32" s="3">
        <f t="shared" si="13"/>
        <v>2.8707780078688142E-3</v>
      </c>
      <c r="U32" s="9">
        <f t="shared" si="14"/>
        <v>348.33762738149585</v>
      </c>
      <c r="V32" s="32">
        <f t="shared" si="16"/>
        <v>1.4542438349338209E-3</v>
      </c>
    </row>
    <row r="33" spans="1:22" x14ac:dyDescent="0.25">
      <c r="A33" s="23">
        <f t="shared" si="4"/>
        <v>162.5</v>
      </c>
      <c r="B33" s="13">
        <f t="shared" si="5"/>
        <v>160</v>
      </c>
      <c r="C33" s="8"/>
      <c r="D33" s="3"/>
      <c r="E33" s="3"/>
      <c r="F33" s="32"/>
      <c r="G33" s="8"/>
      <c r="H33" s="3"/>
      <c r="I33" s="3"/>
      <c r="J33" s="13"/>
      <c r="K33" s="8"/>
      <c r="L33" s="3"/>
      <c r="M33" s="3"/>
      <c r="N33" s="13"/>
      <c r="O33" s="8"/>
      <c r="P33" s="3"/>
      <c r="Q33" s="3"/>
      <c r="R33" s="13"/>
      <c r="S33" s="8">
        <f>1-GEVCUM(KVD!$D$52,KVD!$E$52,KVD!$F$52,$A33)</f>
        <v>1.8831460774328956E-3</v>
      </c>
      <c r="T33" s="3">
        <f t="shared" si="13"/>
        <v>1.884921426184849E-3</v>
      </c>
      <c r="U33" s="9">
        <f t="shared" si="14"/>
        <v>530.52609308178808</v>
      </c>
      <c r="V33" s="32">
        <f t="shared" si="16"/>
        <v>2.8707780078688142E-3</v>
      </c>
    </row>
    <row r="34" spans="1:22" x14ac:dyDescent="0.25">
      <c r="A34" s="23">
        <f t="shared" si="4"/>
        <v>167.5</v>
      </c>
      <c r="B34" s="13">
        <f t="shared" si="5"/>
        <v>165</v>
      </c>
      <c r="C34" s="8"/>
      <c r="D34" s="3"/>
      <c r="E34" s="3"/>
      <c r="F34" s="32"/>
      <c r="G34" s="8"/>
      <c r="H34" s="3"/>
      <c r="I34" s="3"/>
      <c r="J34" s="13"/>
      <c r="K34" s="8"/>
      <c r="L34" s="3"/>
      <c r="M34" s="3"/>
      <c r="N34" s="13"/>
      <c r="O34" s="8"/>
      <c r="P34" s="3"/>
      <c r="Q34" s="3"/>
      <c r="R34" s="13"/>
      <c r="S34" s="8"/>
      <c r="T34" s="3"/>
      <c r="U34" s="9"/>
      <c r="V34" s="32"/>
    </row>
    <row r="35" spans="1:22" x14ac:dyDescent="0.25">
      <c r="A35" s="23">
        <f t="shared" si="4"/>
        <v>172.5</v>
      </c>
      <c r="B35" s="13">
        <f t="shared" si="5"/>
        <v>170</v>
      </c>
      <c r="C35" s="8"/>
      <c r="D35" s="3"/>
      <c r="E35" s="3"/>
      <c r="F35" s="32"/>
      <c r="G35" s="8"/>
      <c r="H35" s="3"/>
      <c r="I35" s="3"/>
      <c r="J35" s="13"/>
      <c r="K35" s="8"/>
      <c r="L35" s="3"/>
      <c r="M35" s="3"/>
      <c r="N35" s="13"/>
      <c r="O35" s="8"/>
      <c r="P35" s="3"/>
      <c r="Q35" s="3"/>
      <c r="R35" s="13"/>
      <c r="S35" s="8"/>
      <c r="T35" s="3"/>
      <c r="U35" s="9"/>
      <c r="V35" s="32"/>
    </row>
    <row r="36" spans="1:22" x14ac:dyDescent="0.25">
      <c r="A36" s="23">
        <f t="shared" si="4"/>
        <v>177.5</v>
      </c>
      <c r="B36" s="13">
        <f t="shared" si="5"/>
        <v>175</v>
      </c>
      <c r="C36" s="8"/>
      <c r="D36" s="3"/>
      <c r="E36" s="3"/>
      <c r="F36" s="32"/>
      <c r="G36" s="8"/>
      <c r="H36" s="3"/>
      <c r="I36" s="3"/>
      <c r="J36" s="13"/>
      <c r="K36" s="8"/>
      <c r="L36" s="3"/>
      <c r="M36" s="3"/>
      <c r="N36" s="13"/>
      <c r="O36" s="8"/>
      <c r="P36" s="3"/>
      <c r="Q36" s="3"/>
      <c r="R36" s="13"/>
      <c r="S36" s="8"/>
      <c r="T36" s="3"/>
      <c r="U36" s="9"/>
      <c r="V36" s="32"/>
    </row>
    <row r="37" spans="1:22" x14ac:dyDescent="0.25">
      <c r="A37" s="14">
        <f t="shared" si="4"/>
        <v>182.5</v>
      </c>
      <c r="B37" s="15">
        <f t="shared" si="5"/>
        <v>180</v>
      </c>
      <c r="C37" s="10"/>
      <c r="D37" s="4"/>
      <c r="E37" s="4"/>
      <c r="F37" s="33"/>
      <c r="G37" s="10"/>
      <c r="H37" s="4"/>
      <c r="I37" s="4"/>
      <c r="J37" s="15"/>
      <c r="K37" s="10"/>
      <c r="L37" s="4"/>
      <c r="M37" s="4"/>
      <c r="N37" s="15"/>
      <c r="O37" s="8"/>
      <c r="P37" s="3"/>
      <c r="Q37" s="3"/>
      <c r="R37" s="13"/>
      <c r="S37" s="8"/>
      <c r="T37" s="3"/>
      <c r="U37" s="9"/>
      <c r="V37" s="32"/>
    </row>
    <row r="38" spans="1:22" x14ac:dyDescent="0.25">
      <c r="A38" s="14">
        <f t="shared" si="4"/>
        <v>187.5</v>
      </c>
      <c r="B38" s="15">
        <f t="shared" si="5"/>
        <v>185</v>
      </c>
      <c r="O38" s="8"/>
      <c r="P38" s="3"/>
      <c r="Q38" s="3"/>
      <c r="R38" s="13"/>
      <c r="S38" s="8"/>
      <c r="T38" s="3"/>
      <c r="U38" s="9"/>
      <c r="V38" s="32"/>
    </row>
    <row r="39" spans="1:22" x14ac:dyDescent="0.25">
      <c r="A39" s="14">
        <f t="shared" si="4"/>
        <v>192.5</v>
      </c>
      <c r="B39" s="15">
        <f t="shared" si="5"/>
        <v>190</v>
      </c>
      <c r="O39" s="8"/>
      <c r="P39" s="3"/>
      <c r="Q39" s="3"/>
      <c r="R39" s="13"/>
      <c r="S39" s="8"/>
      <c r="T39" s="3"/>
      <c r="U39" s="9"/>
      <c r="V39" s="32"/>
    </row>
    <row r="40" spans="1:22" x14ac:dyDescent="0.25">
      <c r="A40" s="14">
        <f t="shared" si="4"/>
        <v>197.5</v>
      </c>
      <c r="B40" s="15">
        <f t="shared" si="5"/>
        <v>195</v>
      </c>
      <c r="S40" s="8"/>
      <c r="T40" s="3"/>
      <c r="U40" s="9"/>
      <c r="V40" s="32"/>
    </row>
  </sheetData>
  <mergeCells count="11">
    <mergeCell ref="S2:U2"/>
    <mergeCell ref="A1:B2"/>
    <mergeCell ref="C1:F1"/>
    <mergeCell ref="G1:J1"/>
    <mergeCell ref="K1:N1"/>
    <mergeCell ref="O1:R1"/>
    <mergeCell ref="S1:V1"/>
    <mergeCell ref="C2:E2"/>
    <mergeCell ref="G2:I2"/>
    <mergeCell ref="K2:M2"/>
    <mergeCell ref="O2:Q2"/>
  </mergeCells>
  <pageMargins left="0.7" right="0.7" top="0.75" bottom="0.75" header="0.3" footer="0.3"/>
  <pageSetup paperSize="0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Blad14">
    <tabColor theme="6"/>
  </sheetPr>
  <dimension ref="A1:V40"/>
  <sheetViews>
    <sheetView workbookViewId="0">
      <selection activeCell="A5" sqref="A5"/>
    </sheetView>
  </sheetViews>
  <sheetFormatPr defaultColWidth="9.140625" defaultRowHeight="15" x14ac:dyDescent="0.25"/>
  <cols>
    <col min="1" max="1" width="11.42578125" bestFit="1" customWidth="1"/>
    <col min="2" max="2" width="14" bestFit="1" customWidth="1"/>
    <col min="4" max="4" width="12.28515625" style="19" bestFit="1" customWidth="1"/>
    <col min="5" max="5" width="12" style="19" bestFit="1" customWidth="1"/>
    <col min="6" max="6" width="14.7109375" bestFit="1" customWidth="1"/>
    <col min="8" max="8" width="12.28515625" bestFit="1" customWidth="1"/>
    <col min="9" max="9" width="12" bestFit="1" customWidth="1"/>
    <col min="10" max="10" width="13.7109375" bestFit="1" customWidth="1"/>
    <col min="12" max="12" width="12.28515625" bestFit="1" customWidth="1"/>
    <col min="13" max="13" width="18.85546875" bestFit="1" customWidth="1"/>
    <col min="14" max="14" width="14.7109375" bestFit="1" customWidth="1"/>
    <col min="15" max="15" width="7.7109375" bestFit="1" customWidth="1"/>
    <col min="16" max="16" width="12.28515625" bestFit="1" customWidth="1"/>
    <col min="17" max="17" width="16.42578125" bestFit="1" customWidth="1"/>
    <col min="18" max="18" width="14.7109375" bestFit="1" customWidth="1"/>
    <col min="19" max="19" width="7.7109375" bestFit="1" customWidth="1"/>
    <col min="20" max="20" width="12.28515625" bestFit="1" customWidth="1"/>
    <col min="21" max="21" width="11.42578125" bestFit="1" customWidth="1"/>
    <col min="22" max="22" width="14.7109375" bestFit="1" customWidth="1"/>
  </cols>
  <sheetData>
    <row r="1" spans="1:22" x14ac:dyDescent="0.25">
      <c r="A1" s="50" t="s">
        <v>15</v>
      </c>
      <c r="B1" s="51"/>
      <c r="C1" s="63">
        <v>24</v>
      </c>
      <c r="D1" s="64"/>
      <c r="E1" s="64"/>
      <c r="F1" s="65"/>
      <c r="G1" s="66">
        <v>48</v>
      </c>
      <c r="H1" s="67"/>
      <c r="I1" s="67"/>
      <c r="J1" s="68"/>
      <c r="K1" s="66">
        <v>96</v>
      </c>
      <c r="L1" s="67"/>
      <c r="M1" s="67"/>
      <c r="N1" s="68"/>
      <c r="O1" s="66">
        <v>192</v>
      </c>
      <c r="P1" s="67"/>
      <c r="Q1" s="67"/>
      <c r="R1" s="68"/>
      <c r="S1" s="60">
        <v>216</v>
      </c>
      <c r="T1" s="61"/>
      <c r="U1" s="61"/>
      <c r="V1" s="62"/>
    </row>
    <row r="2" spans="1:22" x14ac:dyDescent="0.25">
      <c r="A2" s="52"/>
      <c r="B2" s="53"/>
      <c r="C2" s="57" t="s">
        <v>9</v>
      </c>
      <c r="D2" s="58"/>
      <c r="E2" s="59"/>
      <c r="F2" s="30">
        <f>24/24*365.25</f>
        <v>365.25</v>
      </c>
      <c r="G2" s="54" t="s">
        <v>9</v>
      </c>
      <c r="H2" s="55"/>
      <c r="I2" s="56"/>
      <c r="J2" s="30">
        <f>24/48*365.25</f>
        <v>182.625</v>
      </c>
      <c r="K2" s="54" t="s">
        <v>9</v>
      </c>
      <c r="L2" s="55"/>
      <c r="M2" s="56"/>
      <c r="N2" s="30">
        <f>24/96*365.25</f>
        <v>91.3125</v>
      </c>
      <c r="O2" s="54" t="s">
        <v>9</v>
      </c>
      <c r="P2" s="55"/>
      <c r="Q2" s="56"/>
      <c r="R2" s="30">
        <f>24/192*365.25</f>
        <v>45.65625</v>
      </c>
      <c r="S2" s="54" t="s">
        <v>9</v>
      </c>
      <c r="T2" s="55"/>
      <c r="U2" s="56"/>
      <c r="V2" s="30">
        <f>24/216*365.25</f>
        <v>40.583333333333329</v>
      </c>
    </row>
    <row r="3" spans="1:22" x14ac:dyDescent="0.25">
      <c r="A3" s="24" t="s">
        <v>12</v>
      </c>
      <c r="B3" s="27" t="s">
        <v>14</v>
      </c>
      <c r="C3" s="24" t="s">
        <v>8</v>
      </c>
      <c r="D3" s="25" t="s">
        <v>10</v>
      </c>
      <c r="E3" s="26" t="s">
        <v>17</v>
      </c>
      <c r="F3" s="36" t="s">
        <v>13</v>
      </c>
      <c r="G3" s="24" t="s">
        <v>8</v>
      </c>
      <c r="H3" s="25" t="s">
        <v>10</v>
      </c>
      <c r="I3" s="26" t="s">
        <v>17</v>
      </c>
      <c r="J3" s="29" t="s">
        <v>13</v>
      </c>
      <c r="K3" s="24" t="s">
        <v>8</v>
      </c>
      <c r="L3" s="25" t="s">
        <v>10</v>
      </c>
      <c r="M3" s="26" t="s">
        <v>17</v>
      </c>
      <c r="N3" s="29" t="s">
        <v>13</v>
      </c>
      <c r="O3" s="24" t="s">
        <v>8</v>
      </c>
      <c r="P3" s="25" t="s">
        <v>10</v>
      </c>
      <c r="Q3" s="26" t="s">
        <v>17</v>
      </c>
      <c r="R3" s="29" t="s">
        <v>13</v>
      </c>
      <c r="S3" s="24" t="s">
        <v>8</v>
      </c>
      <c r="T3" s="25" t="s">
        <v>10</v>
      </c>
      <c r="U3" s="26" t="s">
        <v>17</v>
      </c>
      <c r="V3" s="29" t="s">
        <v>13</v>
      </c>
    </row>
    <row r="4" spans="1:22" x14ac:dyDescent="0.25">
      <c r="A4" s="34">
        <v>17.5</v>
      </c>
      <c r="B4" s="12">
        <f>A4-2.5</f>
        <v>15</v>
      </c>
      <c r="C4" s="8">
        <f>1-GEVCUM(KVD!$D$53,KVD!$E$53,KVD!$F$53,$A4)</f>
        <v>0.99953222841529343</v>
      </c>
      <c r="D4" s="3">
        <f t="shared" ref="D4:D22" si="0">-LN(1-C4)</f>
        <v>7.6675304480563389</v>
      </c>
      <c r="E4" s="3">
        <f t="shared" ref="E4:E22" si="1">1/D4</f>
        <v>0.13042008855060921</v>
      </c>
      <c r="F4" s="31">
        <f>KLASSEFREQUENTIEUITHERHALINGSTIJD(F$2,E3,E4,E5)</f>
        <v>357.58246955194369</v>
      </c>
      <c r="G4" s="8">
        <f>1-GEVCUM(KVD!$D$54,KVD!$E$54,KVD!$F$54,$A4)</f>
        <v>0.99999516073710903</v>
      </c>
      <c r="H4" s="2">
        <f t="shared" ref="H4:H23" si="2">-LN(1-G4)</f>
        <v>12.2387481440889</v>
      </c>
      <c r="I4" s="2">
        <f t="shared" ref="I4:I23" si="3">1/H4</f>
        <v>8.170770312672726E-2</v>
      </c>
      <c r="J4" s="12">
        <f>KLASSEFREQUENTIEUITHERHALINGSTIJD(J$2,I3,I4,I5)</f>
        <v>170.3862518559111</v>
      </c>
      <c r="K4" s="35"/>
      <c r="L4" s="2"/>
      <c r="M4" s="2"/>
      <c r="N4" s="12"/>
      <c r="O4" s="35"/>
      <c r="P4" s="2"/>
      <c r="Q4" s="2"/>
      <c r="R4" s="12"/>
      <c r="S4" s="35"/>
      <c r="T4" s="2"/>
      <c r="U4" s="37"/>
      <c r="V4" s="31"/>
    </row>
    <row r="5" spans="1:22" x14ac:dyDescent="0.25">
      <c r="A5" s="23">
        <f t="shared" ref="A5:A40" si="4">A4+5</f>
        <v>22.5</v>
      </c>
      <c r="B5" s="13">
        <f t="shared" ref="B5:B40" si="5">A5-2.5</f>
        <v>20</v>
      </c>
      <c r="C5" s="8">
        <f>1-GEVCUM(KVD!$D$53,KVD!$E$53,KVD!$F$53,$A5)</f>
        <v>0.98738948711286556</v>
      </c>
      <c r="D5" s="3">
        <f t="shared" si="0"/>
        <v>4.3732244567845013</v>
      </c>
      <c r="E5" s="3">
        <f t="shared" si="1"/>
        <v>0.22866422930765129</v>
      </c>
      <c r="F5" s="32">
        <f t="shared" ref="F5:F22" si="6">KLASSEFREQUENTIEUITHERHALINGSTIJD(F$2,E4,E5,E6)</f>
        <v>3.2943059912718367</v>
      </c>
      <c r="G5" s="8">
        <f>1-GEVCUM(KVD!$D$54,KVD!$E$54,KVD!$F$54,$A5)</f>
        <v>0.99951073302169957</v>
      </c>
      <c r="H5" s="3">
        <f t="shared" si="2"/>
        <v>7.6226022495811101</v>
      </c>
      <c r="I5" s="3">
        <f t="shared" si="3"/>
        <v>0.1311887944900908</v>
      </c>
      <c r="J5" s="13">
        <f t="shared" ref="J5:J23" si="7">KLASSEFREQUENTIEUITHERHALINGSTIJD(J$2,I4,I5,I6)</f>
        <v>4.6161458945077891</v>
      </c>
      <c r="K5" s="8">
        <f>1-GEVCUM(KVD!$D$55,KVD!$E$55,KVD!$F$55,$A5)</f>
        <v>0.99998934805171447</v>
      </c>
      <c r="L5" s="3">
        <f t="shared" ref="L5:L25" si="8">-LN(1-K5)</f>
        <v>11.449767744931073</v>
      </c>
      <c r="M5" s="3">
        <f t="shared" ref="M5:M25" si="9">1/L5</f>
        <v>8.7338016130738549E-2</v>
      </c>
      <c r="N5" s="13">
        <f>KLASSEFREQUENTIEUITHERHALINGSTIJD(N$2,M4,M5,M6)</f>
        <v>79.86273225506892</v>
      </c>
      <c r="O5" s="8">
        <f>1-GEVCUM(KVD!$D$56,KVD!$E$56,KVD!$F$56,$A5)</f>
        <v>0.99999768586649551</v>
      </c>
      <c r="P5" s="3">
        <f t="shared" ref="P5:P31" si="10">-LN(1-O5)</f>
        <v>12.97647523660963</v>
      </c>
      <c r="Q5" s="3">
        <f t="shared" ref="Q5:Q31" si="11">1/P5</f>
        <v>7.7062529058643692E-2</v>
      </c>
      <c r="R5" s="13">
        <f>KLASSEFREQUENTIEUITHERHALINGSTIJD(R$2,Q4,Q5,Q6)</f>
        <v>32.67977476339037</v>
      </c>
      <c r="S5" s="8">
        <f>1-GEVCUM(KVD!$D$57,KVD!$E$57,KVD!$F$57,$A5)</f>
        <v>0.99999726651205978</v>
      </c>
      <c r="T5" s="3">
        <f t="shared" ref="T5" si="12">-LN(1-S5)</f>
        <v>12.809932130466427</v>
      </c>
      <c r="U5" s="9">
        <f t="shared" ref="U5" si="13">1/T5</f>
        <v>7.8064426088695335E-2</v>
      </c>
      <c r="V5" s="32">
        <f>KLASSEFREQUENTIEUITHERHALINGSTIJD(V$2,U4,U5,U6)</f>
        <v>27.7734012028669</v>
      </c>
    </row>
    <row r="6" spans="1:22" x14ac:dyDescent="0.25">
      <c r="A6" s="23">
        <f t="shared" si="4"/>
        <v>27.5</v>
      </c>
      <c r="B6" s="13">
        <f t="shared" si="5"/>
        <v>25</v>
      </c>
      <c r="C6" s="8">
        <f>1-GEVCUM(KVD!$D$53,KVD!$E$53,KVD!$F$53,$A6)</f>
        <v>0.92192331085642931</v>
      </c>
      <c r="D6" s="3">
        <f t="shared" si="0"/>
        <v>2.5500637411629947</v>
      </c>
      <c r="E6" s="3">
        <f t="shared" si="1"/>
        <v>0.39214706042756997</v>
      </c>
      <c r="F6" s="32">
        <f t="shared" si="6"/>
        <v>1.8231607156215066</v>
      </c>
      <c r="G6" s="8">
        <f>1-GEVCUM(KVD!$D$54,KVD!$E$54,KVD!$F$54,$A6)</f>
        <v>0.99181927252774404</v>
      </c>
      <c r="H6" s="3">
        <f t="shared" si="2"/>
        <v>4.8059741992831642</v>
      </c>
      <c r="I6" s="3">
        <f t="shared" si="3"/>
        <v>0.20807435881556649</v>
      </c>
      <c r="J6" s="13">
        <f t="shared" si="7"/>
        <v>2.8166280502979451</v>
      </c>
      <c r="K6" s="8">
        <f>1-GEVCUM(KVD!$D$55,KVD!$E$55,KVD!$F$55,$A6)</f>
        <v>0.99968101010186705</v>
      </c>
      <c r="L6" s="3">
        <f t="shared" si="8"/>
        <v>8.0503511229756803</v>
      </c>
      <c r="M6" s="3">
        <f t="shared" si="9"/>
        <v>0.12421818436540025</v>
      </c>
      <c r="N6" s="13">
        <f t="shared" ref="N6:N25" si="14">KLASSEFREQUENTIEUITHERHALINGSTIJD(N$2,M5,M6,M7)</f>
        <v>3.3994166219553925</v>
      </c>
      <c r="O6" s="8">
        <f>1-GEVCUM(KVD!$D$56,KVD!$E$56,KVD!$F$56,$A6)</f>
        <v>0.99996763077250939</v>
      </c>
      <c r="P6" s="3">
        <f t="shared" si="10"/>
        <v>10.338302355290381</v>
      </c>
      <c r="Q6" s="3">
        <f t="shared" si="11"/>
        <v>9.6727679809855222E-2</v>
      </c>
      <c r="R6" s="13">
        <f t="shared" ref="R6:R31" si="15">KLASSEFREQUENTIEUITHERHALINGSTIJD(R$2,Q5,Q6,Q7)</f>
        <v>2.6381728813192513</v>
      </c>
      <c r="S6" s="8">
        <f>1-GEVCUM(KVD!$D$57,KVD!$E$57,KVD!$F$57,$A6)</f>
        <v>0.99997008510974861</v>
      </c>
      <c r="T6" s="3">
        <f t="shared" ref="T6:T32" si="16">-LN(1-S6)</f>
        <v>10.417154199810527</v>
      </c>
      <c r="U6" s="9">
        <f t="shared" ref="U6:U32" si="17">1/T6</f>
        <v>9.5995507104827973E-2</v>
      </c>
      <c r="V6" s="32">
        <f t="shared" ref="V6:V32" si="18">KLASSEFREQUENTIEUITHERHALINGSTIJD(V$2,U5,U6,U7)</f>
        <v>2.3927779306558996</v>
      </c>
    </row>
    <row r="7" spans="1:22" x14ac:dyDescent="0.25">
      <c r="A7" s="23">
        <f t="shared" si="4"/>
        <v>32.5</v>
      </c>
      <c r="B7" s="13">
        <f t="shared" si="5"/>
        <v>30</v>
      </c>
      <c r="C7" s="8">
        <f>1-GEVCUM(KVD!$D$53,KVD!$E$53,KVD!$F$53,$A7)</f>
        <v>0.780776538244215</v>
      </c>
      <c r="D7" s="3">
        <f t="shared" si="0"/>
        <v>1.5176636960785457</v>
      </c>
      <c r="E7" s="3">
        <f t="shared" si="1"/>
        <v>0.65890750538731058</v>
      </c>
      <c r="F7" s="32">
        <f t="shared" si="6"/>
        <v>1.032400045084449</v>
      </c>
      <c r="G7" s="8">
        <f>1-GEVCUM(KVD!$D$54,KVD!$E$54,KVD!$F$54,$A7)</f>
        <v>0.95337035757568556</v>
      </c>
      <c r="H7" s="3">
        <f t="shared" si="2"/>
        <v>3.0655188365525698</v>
      </c>
      <c r="I7" s="3">
        <f t="shared" si="3"/>
        <v>0.32620905410080042</v>
      </c>
      <c r="J7" s="13">
        <f t="shared" si="7"/>
        <v>1.7404553627305943</v>
      </c>
      <c r="K7" s="8">
        <f>1-GEVCUM(KVD!$D$55,KVD!$E$55,KVD!$F$55,$A7)</f>
        <v>0.99657128229887315</v>
      </c>
      <c r="L7" s="3">
        <f t="shared" si="8"/>
        <v>5.6755689357708734</v>
      </c>
      <c r="M7" s="3">
        <f t="shared" si="9"/>
        <v>0.17619378978861383</v>
      </c>
      <c r="N7" s="13">
        <f t="shared" si="14"/>
        <v>2.3747821872048069</v>
      </c>
      <c r="O7" s="8">
        <f>1-GEVCUM(KVD!$D$56,KVD!$E$56,KVD!$F$56,$A7)</f>
        <v>0.99972990214294699</v>
      </c>
      <c r="P7" s="3">
        <f t="shared" si="10"/>
        <v>8.216726231099404</v>
      </c>
      <c r="Q7" s="3">
        <f t="shared" si="11"/>
        <v>0.12170297170363424</v>
      </c>
      <c r="R7" s="13">
        <f t="shared" si="15"/>
        <v>2.1215761241909767</v>
      </c>
      <c r="S7" s="8">
        <f>1-GEVCUM(KVD!$D$57,KVD!$E$57,KVD!$F$57,$A7)</f>
        <v>0.99978572247429209</v>
      </c>
      <c r="T7" s="3">
        <f t="shared" si="16"/>
        <v>8.4482385340225381</v>
      </c>
      <c r="U7" s="9">
        <f t="shared" si="17"/>
        <v>0.11836786993795508</v>
      </c>
      <c r="V7" s="32">
        <f t="shared" si="18"/>
        <v>1.9689156657879892</v>
      </c>
    </row>
    <row r="8" spans="1:22" x14ac:dyDescent="0.25">
      <c r="A8" s="23">
        <f t="shared" si="4"/>
        <v>37.5</v>
      </c>
      <c r="B8" s="13">
        <f t="shared" si="5"/>
        <v>35</v>
      </c>
      <c r="C8" s="8">
        <f>1-GEVCUM(KVD!$D$53,KVD!$E$53,KVD!$F$53,$A8)</f>
        <v>0.60168308587179054</v>
      </c>
      <c r="D8" s="3">
        <f t="shared" si="0"/>
        <v>0.92050732389601064</v>
      </c>
      <c r="E8" s="3">
        <f t="shared" si="1"/>
        <v>1.0863574618478209</v>
      </c>
      <c r="F8" s="32">
        <f t="shared" si="6"/>
        <v>0.59715637218253514</v>
      </c>
      <c r="G8" s="8">
        <f>1-GEVCUM(KVD!$D$54,KVD!$E$54,KVD!$F$54,$A8)</f>
        <v>0.86152629088029808</v>
      </c>
      <c r="H8" s="3">
        <f t="shared" si="2"/>
        <v>1.9770747972244787</v>
      </c>
      <c r="I8" s="3">
        <f t="shared" si="3"/>
        <v>0.50579775808373684</v>
      </c>
      <c r="J8" s="13">
        <f t="shared" si="7"/>
        <v>1.088444039328091</v>
      </c>
      <c r="K8" s="8">
        <f>1-GEVCUM(KVD!$D$55,KVD!$E$55,KVD!$F$55,$A8)</f>
        <v>0.9819030923594172</v>
      </c>
      <c r="L8" s="3">
        <f t="shared" si="8"/>
        <v>4.0120142038932247</v>
      </c>
      <c r="M8" s="3">
        <f t="shared" si="9"/>
        <v>0.24925136083257343</v>
      </c>
      <c r="N8" s="13">
        <f t="shared" si="14"/>
        <v>1.6635547318776487</v>
      </c>
      <c r="O8" s="8">
        <f>1-GEVCUM(KVD!$D$56,KVD!$E$56,KVD!$F$56,$A8)</f>
        <v>0.99851825104006686</v>
      </c>
      <c r="P8" s="3">
        <f t="shared" si="10"/>
        <v>6.5145321592144825</v>
      </c>
      <c r="Q8" s="3">
        <f t="shared" si="11"/>
        <v>0.15350296468880725</v>
      </c>
      <c r="R8" s="13">
        <f t="shared" si="15"/>
        <v>1.7021940718849216</v>
      </c>
      <c r="S8" s="8">
        <f>1-GEVCUM(KVD!$D$57,KVD!$E$57,KVD!$F$57,$A8)</f>
        <v>0.99892161517932077</v>
      </c>
      <c r="T8" s="3">
        <f t="shared" si="16"/>
        <v>6.832290893684938</v>
      </c>
      <c r="U8" s="9">
        <f t="shared" si="17"/>
        <v>0.14636379152478657</v>
      </c>
      <c r="V8" s="32">
        <f t="shared" si="18"/>
        <v>1.6159476403376001</v>
      </c>
    </row>
    <row r="9" spans="1:22" x14ac:dyDescent="0.25">
      <c r="A9" s="23">
        <f t="shared" si="4"/>
        <v>42.5</v>
      </c>
      <c r="B9" s="13">
        <f t="shared" si="5"/>
        <v>40</v>
      </c>
      <c r="C9" s="8">
        <f>1-GEVCUM(KVD!$D$53,KVD!$E$53,KVD!$F$53,$A9)</f>
        <v>0.43347449079113243</v>
      </c>
      <c r="D9" s="3">
        <f t="shared" si="0"/>
        <v>0.56823317003296148</v>
      </c>
      <c r="E9" s="3">
        <f t="shared" si="1"/>
        <v>1.7598409468810015</v>
      </c>
      <c r="F9" s="32">
        <f t="shared" si="6"/>
        <v>0.35227415386304906</v>
      </c>
      <c r="G9" s="8">
        <f>1-GEVCUM(KVD!$D$54,KVD!$E$54,KVD!$F$54,$A9)</f>
        <v>0.72433591658125773</v>
      </c>
      <c r="H9" s="3">
        <f t="shared" si="2"/>
        <v>1.2885722435819176</v>
      </c>
      <c r="I9" s="3">
        <f t="shared" si="3"/>
        <v>0.7760527242308457</v>
      </c>
      <c r="J9" s="13">
        <f t="shared" si="7"/>
        <v>0.6885025536425613</v>
      </c>
      <c r="K9" s="8">
        <f>1-GEVCUM(KVD!$D$55,KVD!$E$55,KVD!$F$55,$A9)</f>
        <v>0.94177969362839276</v>
      </c>
      <c r="L9" s="3">
        <f t="shared" si="8"/>
        <v>2.8435210783698963</v>
      </c>
      <c r="M9" s="3">
        <f t="shared" si="9"/>
        <v>0.35167666158932409</v>
      </c>
      <c r="N9" s="13">
        <f t="shared" si="14"/>
        <v>1.1684931255233284</v>
      </c>
      <c r="O9" s="8">
        <f>1-GEVCUM(KVD!$D$56,KVD!$E$56,KVD!$F$56,$A9)</f>
        <v>0.99421243146119631</v>
      </c>
      <c r="P9" s="3">
        <f t="shared" si="10"/>
        <v>5.1520430170820344</v>
      </c>
      <c r="Q9" s="3">
        <f t="shared" si="11"/>
        <v>0.19409775824549899</v>
      </c>
      <c r="R9" s="13">
        <f t="shared" si="15"/>
        <v>1.3624891421324481</v>
      </c>
      <c r="S9" s="8">
        <f>1-GEVCUM(KVD!$D$57,KVD!$E$57,KVD!$F$57,$A9)</f>
        <v>0.99595209785517669</v>
      </c>
      <c r="T9" s="3">
        <f t="shared" si="16"/>
        <v>5.5095565209988173</v>
      </c>
      <c r="U9" s="9">
        <f t="shared" si="17"/>
        <v>0.18150281173968461</v>
      </c>
      <c r="V9" s="32">
        <f t="shared" si="18"/>
        <v>1.3227343726861207</v>
      </c>
    </row>
    <row r="10" spans="1:22" x14ac:dyDescent="0.25">
      <c r="A10" s="23">
        <f t="shared" si="4"/>
        <v>47.5</v>
      </c>
      <c r="B10" s="13">
        <f t="shared" si="5"/>
        <v>45</v>
      </c>
      <c r="C10" s="8">
        <f>1-GEVCUM(KVD!$D$53,KVD!$E$53,KVD!$F$53,$A10)</f>
        <v>0.2999313317813096</v>
      </c>
      <c r="D10" s="3">
        <f t="shared" si="0"/>
        <v>0.35657685129470107</v>
      </c>
      <c r="E10" s="3">
        <f t="shared" si="1"/>
        <v>2.8044445296128524</v>
      </c>
      <c r="F10" s="32">
        <f t="shared" si="6"/>
        <v>0.21165631873826041</v>
      </c>
      <c r="G10" s="8">
        <f>1-GEVCUM(KVD!$D$54,KVD!$E$54,KVD!$F$54,$A10)</f>
        <v>0.57185592057502155</v>
      </c>
      <c r="H10" s="3">
        <f t="shared" si="2"/>
        <v>0.84829550587839941</v>
      </c>
      <c r="I10" s="3">
        <f t="shared" si="3"/>
        <v>1.1788344899511314</v>
      </c>
      <c r="J10" s="13">
        <f t="shared" si="7"/>
        <v>0.44027673770351816</v>
      </c>
      <c r="K10" s="8">
        <f>1-GEVCUM(KVD!$D$55,KVD!$E$55,KVD!$F$55,$A10)</f>
        <v>0.86742032469325114</v>
      </c>
      <c r="L10" s="3">
        <f t="shared" si="8"/>
        <v>2.0205714912083299</v>
      </c>
      <c r="M10" s="3">
        <f t="shared" si="9"/>
        <v>0.49490948692044845</v>
      </c>
      <c r="N10" s="13">
        <f t="shared" si="14"/>
        <v>0.82294958716156641</v>
      </c>
      <c r="O10" s="8">
        <f>1-GEVCUM(KVD!$D$56,KVD!$E$56,KVD!$F$56,$A10)</f>
        <v>0.98282146530691505</v>
      </c>
      <c r="P10" s="3">
        <f t="shared" si="10"/>
        <v>4.0640946575021442</v>
      </c>
      <c r="Q10" s="3">
        <f t="shared" si="11"/>
        <v>0.24605726103205863</v>
      </c>
      <c r="R10" s="13">
        <f t="shared" si="15"/>
        <v>1.0879483595798902</v>
      </c>
      <c r="S10" s="8">
        <f>1-GEVCUM(KVD!$D$57,KVD!$E$57,KVD!$F$57,$A10)</f>
        <v>0.9880829542047187</v>
      </c>
      <c r="T10" s="3">
        <f t="shared" si="16"/>
        <v>4.4297854840276756</v>
      </c>
      <c r="U10" s="9">
        <f t="shared" si="17"/>
        <v>0.2257445656467261</v>
      </c>
      <c r="V10" s="32">
        <f t="shared" si="18"/>
        <v>1.0797710369711417</v>
      </c>
    </row>
    <row r="11" spans="1:22" x14ac:dyDescent="0.25">
      <c r="A11" s="23">
        <f t="shared" si="4"/>
        <v>52.5</v>
      </c>
      <c r="B11" s="13">
        <f t="shared" si="5"/>
        <v>50</v>
      </c>
      <c r="C11" s="8">
        <f>1-GEVCUM(KVD!$D$53,KVD!$E$53,KVD!$F$53,$A11)</f>
        <v>0.20325091920187932</v>
      </c>
      <c r="D11" s="3">
        <f t="shared" si="0"/>
        <v>0.22721547937456832</v>
      </c>
      <c r="E11" s="3">
        <f t="shared" si="1"/>
        <v>4.4011085985540808</v>
      </c>
      <c r="F11" s="32">
        <f t="shared" si="6"/>
        <v>0.12936137192013275</v>
      </c>
      <c r="G11" s="8">
        <f>1-GEVCUM(KVD!$D$54,KVD!$E$54,KVD!$F$54,$A11)</f>
        <v>0.43096778946872893</v>
      </c>
      <c r="H11" s="3">
        <f t="shared" si="2"/>
        <v>0.56381823743998505</v>
      </c>
      <c r="I11" s="3">
        <f t="shared" si="3"/>
        <v>1.7736212374762776</v>
      </c>
      <c r="J11" s="13">
        <f t="shared" si="7"/>
        <v>0.28447726843841437</v>
      </c>
      <c r="K11" s="8">
        <f>1-GEVCUM(KVD!$D$55,KVD!$E$55,KVD!$F$55,$A11)</f>
        <v>0.76294379457292716</v>
      </c>
      <c r="L11" s="3">
        <f t="shared" si="8"/>
        <v>1.4394580122627703</v>
      </c>
      <c r="M11" s="3">
        <f t="shared" si="9"/>
        <v>0.6947059181170836</v>
      </c>
      <c r="N11" s="13">
        <f t="shared" si="14"/>
        <v>0.58111347894555965</v>
      </c>
      <c r="O11" s="8">
        <f>1-GEVCUM(KVD!$D$56,KVD!$E$56,KVD!$F$56,$A11)</f>
        <v>0.95913610854610598</v>
      </c>
      <c r="P11" s="3">
        <f t="shared" si="10"/>
        <v>3.197508455412601</v>
      </c>
      <c r="Q11" s="3">
        <f t="shared" si="11"/>
        <v>0.31274350449558441</v>
      </c>
      <c r="R11" s="13">
        <f t="shared" si="15"/>
        <v>0.86658620208954318</v>
      </c>
      <c r="S11" s="8">
        <f>1-GEVCUM(KVD!$D$57,KVD!$E$57,KVD!$F$57,$A11)</f>
        <v>0.97129891900988874</v>
      </c>
      <c r="T11" s="3">
        <f t="shared" si="16"/>
        <v>3.5508204917652049</v>
      </c>
      <c r="U11" s="9">
        <f t="shared" si="17"/>
        <v>0.28162505041274954</v>
      </c>
      <c r="V11" s="32">
        <f t="shared" si="18"/>
        <v>0.87896499226247071</v>
      </c>
    </row>
    <row r="12" spans="1:22" x14ac:dyDescent="0.25">
      <c r="A12" s="23">
        <f t="shared" si="4"/>
        <v>57.5</v>
      </c>
      <c r="B12" s="13">
        <f t="shared" si="5"/>
        <v>55</v>
      </c>
      <c r="C12" s="8">
        <f>1-GEVCUM(KVD!$D$53,KVD!$E$53,KVD!$F$53,$A12)</f>
        <v>0.13660067702900047</v>
      </c>
      <c r="D12" s="3">
        <f t="shared" si="0"/>
        <v>0.14687798000399124</v>
      </c>
      <c r="E12" s="3">
        <f t="shared" si="1"/>
        <v>6.8083725005805915</v>
      </c>
      <c r="F12" s="32">
        <f t="shared" si="6"/>
        <v>8.0337499370577076E-2</v>
      </c>
      <c r="G12" s="8">
        <f>1-GEVCUM(KVD!$D$54,KVD!$E$54,KVD!$F$54,$A12)</f>
        <v>0.3148929947749306</v>
      </c>
      <c r="H12" s="3">
        <f t="shared" si="2"/>
        <v>0.37818024091233632</v>
      </c>
      <c r="I12" s="3">
        <f t="shared" si="3"/>
        <v>2.644241797476151</v>
      </c>
      <c r="J12" s="13">
        <f t="shared" si="7"/>
        <v>0.18563799652764873</v>
      </c>
      <c r="K12" s="8">
        <f>1-GEVCUM(KVD!$D$55,KVD!$E$55,KVD!$F$55,$A12)</f>
        <v>0.64229633198813152</v>
      </c>
      <c r="L12" s="3">
        <f t="shared" si="8"/>
        <v>1.0280503783334303</v>
      </c>
      <c r="M12" s="3">
        <f t="shared" si="9"/>
        <v>0.97271497688770592</v>
      </c>
      <c r="N12" s="13">
        <f t="shared" si="14"/>
        <v>0.41140763392933999</v>
      </c>
      <c r="O12" s="8">
        <f>1-GEVCUM(KVD!$D$56,KVD!$E$56,KVD!$F$56,$A12)</f>
        <v>0.91864910119816701</v>
      </c>
      <c r="P12" s="3">
        <f t="shared" si="10"/>
        <v>2.5089833967999695</v>
      </c>
      <c r="Q12" s="3">
        <f t="shared" si="11"/>
        <v>0.39856780290990729</v>
      </c>
      <c r="R12" s="13">
        <f t="shared" si="15"/>
        <v>0.68852505861263147</v>
      </c>
      <c r="S12" s="8">
        <f>1-GEVCUM(KVD!$D$57,KVD!$E$57,KVD!$F$57,$A12)</f>
        <v>0.94142101898074182</v>
      </c>
      <c r="T12" s="3">
        <f t="shared" si="16"/>
        <v>2.8373793324204524</v>
      </c>
      <c r="U12" s="9">
        <f t="shared" si="17"/>
        <v>0.35243789526969621</v>
      </c>
      <c r="V12" s="32">
        <f t="shared" si="18"/>
        <v>0.7134411593447525</v>
      </c>
    </row>
    <row r="13" spans="1:22" x14ac:dyDescent="0.25">
      <c r="A13" s="23">
        <f t="shared" si="4"/>
        <v>62.5</v>
      </c>
      <c r="B13" s="13">
        <f t="shared" si="5"/>
        <v>60</v>
      </c>
      <c r="C13" s="8">
        <f>1-GEVCUM(KVD!$D$53,KVD!$E$53,KVD!$F$53,$A13)</f>
        <v>9.1747740333666172E-2</v>
      </c>
      <c r="D13" s="3">
        <f t="shared" si="0"/>
        <v>9.6233119949614185E-2</v>
      </c>
      <c r="E13" s="3">
        <f t="shared" si="1"/>
        <v>10.391432809448357</v>
      </c>
      <c r="F13" s="32">
        <f t="shared" si="6"/>
        <v>5.0644860054377072E-2</v>
      </c>
      <c r="G13" s="8">
        <f>1-GEVCUM(KVD!$D$54,KVD!$E$54,KVD!$F$54,$A13)</f>
        <v>0.22577259351578716</v>
      </c>
      <c r="H13" s="3">
        <f t="shared" si="2"/>
        <v>0.25588964171803524</v>
      </c>
      <c r="I13" s="3">
        <f t="shared" si="3"/>
        <v>3.9079346599808829</v>
      </c>
      <c r="J13" s="13">
        <f t="shared" si="7"/>
        <v>0.12229059919430108</v>
      </c>
      <c r="K13" s="8">
        <f>1-GEVCUM(KVD!$D$55,KVD!$E$55,KVD!$F$55,$A13)</f>
        <v>0.52099536882621578</v>
      </c>
      <c r="L13" s="3">
        <f t="shared" si="8"/>
        <v>0.73604501319669924</v>
      </c>
      <c r="M13" s="3">
        <f t="shared" si="9"/>
        <v>1.3586125604695347</v>
      </c>
      <c r="N13" s="13">
        <f t="shared" si="14"/>
        <v>0.29200536513673103</v>
      </c>
      <c r="O13" s="8">
        <f>1-GEVCUM(KVD!$D$56,KVD!$E$56,KVD!$F$56,$A13)</f>
        <v>0.85961148044469582</v>
      </c>
      <c r="P13" s="3">
        <f t="shared" si="10"/>
        <v>1.9633415602828537</v>
      </c>
      <c r="Q13" s="3">
        <f t="shared" si="11"/>
        <v>0.50933572651308445</v>
      </c>
      <c r="R13" s="13">
        <f t="shared" si="15"/>
        <v>0.54564183651711606</v>
      </c>
      <c r="S13" s="8">
        <f>1-GEVCUM(KVD!$D$57,KVD!$E$57,KVD!$F$57,$A13)</f>
        <v>0.89565027293328903</v>
      </c>
      <c r="T13" s="3">
        <f t="shared" si="16"/>
        <v>2.2600072610185435</v>
      </c>
      <c r="U13" s="9">
        <f t="shared" si="17"/>
        <v>0.44247645450011452</v>
      </c>
      <c r="V13" s="32">
        <f t="shared" si="18"/>
        <v>0.57737207140190883</v>
      </c>
    </row>
    <row r="14" spans="1:22" x14ac:dyDescent="0.25">
      <c r="A14" s="23">
        <f t="shared" si="4"/>
        <v>67.5</v>
      </c>
      <c r="B14" s="13">
        <f t="shared" si="5"/>
        <v>65</v>
      </c>
      <c r="C14" s="8">
        <f>1-GEVCUM(KVD!$D$53,KVD!$E$53,KVD!$F$53,$A14)</f>
        <v>6.1858470391008336E-2</v>
      </c>
      <c r="D14" s="3">
        <f t="shared" si="0"/>
        <v>6.3854456913271282E-2</v>
      </c>
      <c r="E14" s="3">
        <f t="shared" si="1"/>
        <v>15.660613970270314</v>
      </c>
      <c r="F14" s="32">
        <f t="shared" si="6"/>
        <v>3.2378663036342889E-2</v>
      </c>
      <c r="G14" s="8">
        <f>1-GEVCUM(KVD!$D$54,KVD!$E$54,KVD!$F$54,$A14)</f>
        <v>0.16020511799819115</v>
      </c>
      <c r="H14" s="3">
        <f t="shared" si="2"/>
        <v>0.17459760505662922</v>
      </c>
      <c r="I14" s="3">
        <f t="shared" si="3"/>
        <v>5.7274554234329766</v>
      </c>
      <c r="J14" s="13">
        <f t="shared" si="7"/>
        <v>8.1292036661406025E-2</v>
      </c>
      <c r="K14" s="8">
        <f>1-GEVCUM(KVD!$D$55,KVD!$E$55,KVD!$F$55,$A14)</f>
        <v>0.41037392769733871</v>
      </c>
      <c r="L14" s="3">
        <f t="shared" si="8"/>
        <v>0.52826671876132592</v>
      </c>
      <c r="M14" s="3">
        <f t="shared" si="9"/>
        <v>1.8929831550713418</v>
      </c>
      <c r="N14" s="13">
        <f t="shared" si="14"/>
        <v>0.20777829443537332</v>
      </c>
      <c r="O14" s="8">
        <f>1-GEVCUM(KVD!$D$56,KVD!$E$56,KVD!$F$56,$A14)</f>
        <v>0.78391225129987585</v>
      </c>
      <c r="P14" s="3">
        <f t="shared" si="10"/>
        <v>1.532070709810661</v>
      </c>
      <c r="Q14" s="3">
        <f t="shared" si="11"/>
        <v>0.65271138831678577</v>
      </c>
      <c r="R14" s="13">
        <f t="shared" si="15"/>
        <v>0.43127085047219227</v>
      </c>
      <c r="S14" s="8">
        <f>1-GEVCUM(KVD!$D$57,KVD!$E$57,KVD!$F$57,$A14)</f>
        <v>0.83373585343202183</v>
      </c>
      <c r="T14" s="3">
        <f t="shared" si="16"/>
        <v>1.7941775109280895</v>
      </c>
      <c r="U14" s="9">
        <f t="shared" si="17"/>
        <v>0.55735845194198286</v>
      </c>
      <c r="V14" s="32">
        <f t="shared" si="18"/>
        <v>0.46582975009045402</v>
      </c>
    </row>
    <row r="15" spans="1:22" x14ac:dyDescent="0.25">
      <c r="A15" s="23">
        <f t="shared" si="4"/>
        <v>72.5</v>
      </c>
      <c r="B15" s="13">
        <f t="shared" si="5"/>
        <v>70</v>
      </c>
      <c r="C15" s="8">
        <f>1-GEVCUM(KVD!$D$53,KVD!$E$53,KVD!$F$53,$A15)</f>
        <v>4.1971960368889616E-2</v>
      </c>
      <c r="D15" s="3">
        <f t="shared" si="0"/>
        <v>4.2878232513600678E-2</v>
      </c>
      <c r="E15" s="3">
        <f t="shared" si="1"/>
        <v>23.321856834532696</v>
      </c>
      <c r="F15" s="32">
        <f t="shared" si="6"/>
        <v>2.0976224399670604E-2</v>
      </c>
      <c r="G15" s="8">
        <f>1-GEVCUM(KVD!$D$54,KVD!$E$54,KVD!$F$54,$A15)</f>
        <v>0.11315851911307662</v>
      </c>
      <c r="H15" s="3">
        <f t="shared" si="2"/>
        <v>0.1200890264127363</v>
      </c>
      <c r="I15" s="3">
        <f t="shared" si="3"/>
        <v>8.3271555267929358</v>
      </c>
      <c r="J15" s="13">
        <f t="shared" si="7"/>
        <v>5.4508578643892913E-2</v>
      </c>
      <c r="K15" s="8">
        <f>1-GEVCUM(KVD!$D$55,KVD!$E$55,KVD!$F$55,$A15)</f>
        <v>0.31617574291540695</v>
      </c>
      <c r="L15" s="3">
        <f t="shared" si="8"/>
        <v>0.38005432845965631</v>
      </c>
      <c r="M15" s="3">
        <f t="shared" si="9"/>
        <v>2.6312027652808392</v>
      </c>
      <c r="N15" s="13">
        <f t="shared" si="14"/>
        <v>0.14821239030166961</v>
      </c>
      <c r="O15" s="8">
        <f>1-GEVCUM(KVD!$D$56,KVD!$E$56,KVD!$F$56,$A15)</f>
        <v>0.69642184775038762</v>
      </c>
      <c r="P15" s="3">
        <f t="shared" si="10"/>
        <v>1.192116198337251</v>
      </c>
      <c r="Q15" s="3">
        <f t="shared" si="11"/>
        <v>0.83884440241210356</v>
      </c>
      <c r="R15" s="13">
        <f t="shared" si="15"/>
        <v>0.33995451147341016</v>
      </c>
      <c r="S15" s="8">
        <f>1-GEVCUM(KVD!$D$57,KVD!$E$57,KVD!$F$57,$A15)</f>
        <v>0.75817009134287505</v>
      </c>
      <c r="T15" s="3">
        <f t="shared" si="16"/>
        <v>1.4195206567338232</v>
      </c>
      <c r="U15" s="9">
        <f t="shared" si="17"/>
        <v>0.70446315469681242</v>
      </c>
      <c r="V15" s="32">
        <f t="shared" si="18"/>
        <v>0.37465685419426631</v>
      </c>
    </row>
    <row r="16" spans="1:22" x14ac:dyDescent="0.25">
      <c r="A16" s="23">
        <f t="shared" si="4"/>
        <v>77.5</v>
      </c>
      <c r="B16" s="13">
        <f t="shared" si="5"/>
        <v>75</v>
      </c>
      <c r="C16" s="8">
        <f>1-GEVCUM(KVD!$D$53,KVD!$E$53,KVD!$F$53,$A16)</f>
        <v>2.8698634216856256E-2</v>
      </c>
      <c r="D16" s="3">
        <f t="shared" si="0"/>
        <v>2.9118492435497908E-2</v>
      </c>
      <c r="E16" s="3">
        <f t="shared" si="1"/>
        <v>34.342437274702974</v>
      </c>
      <c r="F16" s="32">
        <f t="shared" si="6"/>
        <v>1.3759740078102767E-2</v>
      </c>
      <c r="G16" s="8">
        <f>1-GEVCUM(KVD!$D$54,KVD!$E$54,KVD!$F$54,$A16)</f>
        <v>7.986493099713432E-2</v>
      </c>
      <c r="H16" s="3">
        <f t="shared" si="2"/>
        <v>8.3234805581641591E-2</v>
      </c>
      <c r="I16" s="3">
        <f t="shared" si="3"/>
        <v>12.0142047910371</v>
      </c>
      <c r="J16" s="13">
        <f t="shared" si="7"/>
        <v>3.6854220831094714E-2</v>
      </c>
      <c r="K16" s="8">
        <f>1-GEVCUM(KVD!$D$55,KVD!$E$55,KVD!$F$55,$A16)</f>
        <v>0.23972362239034284</v>
      </c>
      <c r="L16" s="3">
        <f t="shared" si="8"/>
        <v>0.27407325705857372</v>
      </c>
      <c r="M16" s="3">
        <f t="shared" si="9"/>
        <v>3.6486595253118201</v>
      </c>
      <c r="N16" s="13">
        <f t="shared" si="14"/>
        <v>0.10598107140108259</v>
      </c>
      <c r="O16" s="8">
        <f>1-GEVCUM(KVD!$D$56,KVD!$E$56,KVD!$F$56,$A16)</f>
        <v>0.60342165253836044</v>
      </c>
      <c r="P16" s="3">
        <f t="shared" si="10"/>
        <v>0.92488165979368431</v>
      </c>
      <c r="Q16" s="3">
        <f t="shared" si="11"/>
        <v>1.0812194072732209</v>
      </c>
      <c r="R16" s="13">
        <f t="shared" si="15"/>
        <v>0.26723453854356671</v>
      </c>
      <c r="S16" s="8">
        <f>1-GEVCUM(KVD!$D$57,KVD!$E$57,KVD!$F$57,$A16)</f>
        <v>0.67344792231955153</v>
      </c>
      <c r="T16" s="3">
        <f t="shared" si="16"/>
        <v>1.1191658401351128</v>
      </c>
      <c r="U16" s="9">
        <f t="shared" si="17"/>
        <v>0.89352262563631646</v>
      </c>
      <c r="V16" s="32">
        <f t="shared" si="18"/>
        <v>0.30035481659871044</v>
      </c>
    </row>
    <row r="17" spans="1:22" x14ac:dyDescent="0.25">
      <c r="A17" s="23">
        <f t="shared" si="4"/>
        <v>82.5</v>
      </c>
      <c r="B17" s="13">
        <f t="shared" si="5"/>
        <v>80</v>
      </c>
      <c r="C17" s="8">
        <f>1-GEVCUM(KVD!$D$53,KVD!$E$53,KVD!$F$53,$A17)</f>
        <v>1.9787280600170765E-2</v>
      </c>
      <c r="D17" s="3">
        <f t="shared" si="0"/>
        <v>1.9985670259695051E-2</v>
      </c>
      <c r="E17" s="3">
        <f t="shared" si="1"/>
        <v>50.035850036848274</v>
      </c>
      <c r="F17" s="32">
        <f t="shared" si="6"/>
        <v>9.1328221758028606E-3</v>
      </c>
      <c r="G17" s="8">
        <f>1-GEVCUM(KVD!$D$54,KVD!$E$54,KVD!$F$54,$A17)</f>
        <v>5.6461184332435854E-2</v>
      </c>
      <c r="H17" s="3">
        <f t="shared" si="2"/>
        <v>5.8117774937553164E-2</v>
      </c>
      <c r="I17" s="3">
        <f t="shared" si="3"/>
        <v>17.206439872732357</v>
      </c>
      <c r="J17" s="13">
        <f t="shared" si="7"/>
        <v>2.5117030644088427E-2</v>
      </c>
      <c r="K17" s="8">
        <f>1-GEVCUM(KVD!$D$55,KVD!$E$55,KVD!$F$55,$A17)</f>
        <v>0.17971854784472852</v>
      </c>
      <c r="L17" s="3">
        <f t="shared" si="8"/>
        <v>0.19810776327957061</v>
      </c>
      <c r="M17" s="3">
        <f t="shared" si="9"/>
        <v>5.0477577629746655</v>
      </c>
      <c r="N17" s="13">
        <f t="shared" si="14"/>
        <v>7.5965493779003079E-2</v>
      </c>
      <c r="O17" s="8">
        <f>1-GEVCUM(KVD!$D$56,KVD!$E$56,KVD!$F$56,$A17)</f>
        <v>0.51100557987025264</v>
      </c>
      <c r="P17" s="3">
        <f t="shared" si="10"/>
        <v>0.7154042003499812</v>
      </c>
      <c r="Q17" s="3">
        <f t="shared" si="11"/>
        <v>1.3978111947215188</v>
      </c>
      <c r="R17" s="13">
        <f t="shared" si="15"/>
        <v>0.20947745944370311</v>
      </c>
      <c r="S17" s="8">
        <f>1-GEVCUM(KVD!$D$57,KVD!$E$57,KVD!$F$57,$A17)</f>
        <v>0.58487637488613631</v>
      </c>
      <c r="T17" s="3">
        <f t="shared" si="16"/>
        <v>0.87917891127176806</v>
      </c>
      <c r="U17" s="9">
        <f t="shared" si="17"/>
        <v>1.1374249167936243</v>
      </c>
      <c r="V17" s="32">
        <f t="shared" si="18"/>
        <v>0.23998692886334472</v>
      </c>
    </row>
    <row r="18" spans="1:22" x14ac:dyDescent="0.25">
      <c r="A18" s="23">
        <f t="shared" si="4"/>
        <v>87.5</v>
      </c>
      <c r="B18" s="13">
        <f t="shared" si="5"/>
        <v>85</v>
      </c>
      <c r="C18" s="8">
        <f>1-GEVCUM(KVD!$D$53,KVD!$E$53,KVD!$F$53,$A18)</f>
        <v>1.3760494923187427E-2</v>
      </c>
      <c r="D18" s="3">
        <f t="shared" si="0"/>
        <v>1.385604811891219E-2</v>
      </c>
      <c r="E18" s="3">
        <f t="shared" si="1"/>
        <v>72.170650059672852</v>
      </c>
      <c r="F18" s="32">
        <f t="shared" si="6"/>
        <v>6.1296221407828606E-3</v>
      </c>
      <c r="G18" s="8">
        <f>1-GEVCUM(KVD!$D$54,KVD!$E$54,KVD!$F$54,$A18)</f>
        <v>4.0044676348259367E-2</v>
      </c>
      <c r="H18" s="3">
        <f t="shared" si="2"/>
        <v>4.0868533465945239E-2</v>
      </c>
      <c r="I18" s="3">
        <f t="shared" si="3"/>
        <v>24.468702818349865</v>
      </c>
      <c r="J18" s="13">
        <f t="shared" si="7"/>
        <v>1.7249241471607925E-2</v>
      </c>
      <c r="K18" s="8">
        <f>1-GEVCUM(KVD!$D$55,KVD!$E$55,KVD!$F$55,$A18)</f>
        <v>0.13370321996121115</v>
      </c>
      <c r="L18" s="3">
        <f t="shared" si="8"/>
        <v>0.14352772700534905</v>
      </c>
      <c r="M18" s="3">
        <f t="shared" si="9"/>
        <v>6.967294897401473</v>
      </c>
      <c r="N18" s="13">
        <f t="shared" si="14"/>
        <v>5.4580036274221588E-2</v>
      </c>
      <c r="O18" s="8">
        <f>1-GEVCUM(KVD!$D$56,KVD!$E$56,KVD!$F$56,$A18)</f>
        <v>0.42401584660381808</v>
      </c>
      <c r="P18" s="3">
        <f t="shared" si="10"/>
        <v>0.55167513012965508</v>
      </c>
      <c r="Q18" s="3">
        <f t="shared" si="11"/>
        <v>1.8126610125872074</v>
      </c>
      <c r="R18" s="13">
        <f t="shared" si="15"/>
        <v>0.16372907022032612</v>
      </c>
      <c r="S18" s="8">
        <f>1-GEVCUM(KVD!$D$57,KVD!$E$57,KVD!$F$57,$A18)</f>
        <v>0.49746216986995451</v>
      </c>
      <c r="T18" s="3">
        <f t="shared" si="16"/>
        <v>0.68808435804170576</v>
      </c>
      <c r="U18" s="9">
        <f t="shared" si="17"/>
        <v>1.4533101767434577</v>
      </c>
      <c r="V18" s="32">
        <f t="shared" si="18"/>
        <v>0.1910945532300623</v>
      </c>
    </row>
    <row r="19" spans="1:22" x14ac:dyDescent="0.25">
      <c r="A19" s="23">
        <f t="shared" si="4"/>
        <v>92.5</v>
      </c>
      <c r="B19" s="13">
        <f t="shared" si="5"/>
        <v>90</v>
      </c>
      <c r="C19" s="8">
        <f>1-GEVCUM(KVD!$D$53,KVD!$E$53,KVD!$F$53,$A19)</f>
        <v>9.6515908182666088E-3</v>
      </c>
      <c r="D19" s="3">
        <f t="shared" si="0"/>
        <v>9.698469299401432E-3</v>
      </c>
      <c r="E19" s="3">
        <f t="shared" si="1"/>
        <v>103.10905454551656</v>
      </c>
      <c r="F19" s="32">
        <f t="shared" si="6"/>
        <v>4.1575788195107582E-3</v>
      </c>
      <c r="G19" s="8">
        <f>1-GEVCUM(KVD!$D$54,KVD!$E$54,KVD!$F$54,$A19)</f>
        <v>2.8520568531025803E-2</v>
      </c>
      <c r="H19" s="3">
        <f t="shared" si="2"/>
        <v>2.8935182319831814E-2</v>
      </c>
      <c r="I19" s="3">
        <f t="shared" si="3"/>
        <v>34.560003422360069</v>
      </c>
      <c r="J19" s="13">
        <f t="shared" si="7"/>
        <v>1.1933351146113425E-2</v>
      </c>
      <c r="K19" s="8">
        <f>1-GEVCUM(KVD!$D$55,KVD!$E$55,KVD!$F$55,$A19)</f>
        <v>9.8973913889978449E-2</v>
      </c>
      <c r="L19" s="3">
        <f t="shared" si="8"/>
        <v>0.10422106939555149</v>
      </c>
      <c r="M19" s="3">
        <f t="shared" si="9"/>
        <v>9.5949888616541426</v>
      </c>
      <c r="N19" s="13">
        <f t="shared" si="14"/>
        <v>3.9306657609797555E-2</v>
      </c>
      <c r="O19" s="8">
        <f>1-GEVCUM(KVD!$D$56,KVD!$E$56,KVD!$F$56,$A19)</f>
        <v>0.34562966476492585</v>
      </c>
      <c r="P19" s="3">
        <f t="shared" si="10"/>
        <v>0.42408182596333766</v>
      </c>
      <c r="Q19" s="3">
        <f t="shared" si="11"/>
        <v>2.3580354987587966</v>
      </c>
      <c r="R19" s="13">
        <f t="shared" si="15"/>
        <v>0.12759330416631748</v>
      </c>
      <c r="S19" s="8">
        <f>1-GEVCUM(KVD!$D$57,KVD!$E$57,KVD!$F$57,$A19)</f>
        <v>0.41518488046722746</v>
      </c>
      <c r="T19" s="3">
        <f t="shared" si="16"/>
        <v>0.53645951668657477</v>
      </c>
      <c r="U19" s="9">
        <f t="shared" si="17"/>
        <v>1.8640735580132279</v>
      </c>
      <c r="V19" s="32">
        <f t="shared" si="18"/>
        <v>0.15162484135513099</v>
      </c>
    </row>
    <row r="20" spans="1:22" x14ac:dyDescent="0.25">
      <c r="A20" s="23">
        <f t="shared" si="4"/>
        <v>97.5</v>
      </c>
      <c r="B20" s="13">
        <f t="shared" si="5"/>
        <v>95</v>
      </c>
      <c r="C20" s="8">
        <f>1-GEVCUM(KVD!$D$53,KVD!$E$53,KVD!$F$53,$A20)</f>
        <v>6.826736940731104E-3</v>
      </c>
      <c r="D20" s="3">
        <f t="shared" si="0"/>
        <v>6.8501457071838464E-3</v>
      </c>
      <c r="E20" s="3">
        <f t="shared" si="1"/>
        <v>145.98229625266009</v>
      </c>
      <c r="F20" s="32">
        <f t="shared" si="6"/>
        <v>2.8483235922175856E-3</v>
      </c>
      <c r="G20" s="8">
        <f>1-GEVCUM(KVD!$D$54,KVD!$E$54,KVD!$F$54,$A20)</f>
        <v>2.0409774381320522E-2</v>
      </c>
      <c r="H20" s="3">
        <f t="shared" si="2"/>
        <v>2.0620931885019535E-2</v>
      </c>
      <c r="I20" s="3">
        <f t="shared" si="3"/>
        <v>48.494413616994137</v>
      </c>
      <c r="J20" s="13">
        <f t="shared" si="7"/>
        <v>8.3142504348122787E-3</v>
      </c>
      <c r="K20" s="8">
        <f>1-GEVCUM(KVD!$D$55,KVD!$E$55,KVD!$F$55,$A20)</f>
        <v>7.3043349705204097E-2</v>
      </c>
      <c r="L20" s="3">
        <f t="shared" si="8"/>
        <v>7.5848477945760093E-2</v>
      </c>
      <c r="M20" s="3">
        <f t="shared" si="9"/>
        <v>13.184180185067243</v>
      </c>
      <c r="N20" s="13">
        <f t="shared" si="14"/>
        <v>2.8372591449791401E-2</v>
      </c>
      <c r="O20" s="8">
        <f>1-GEVCUM(KVD!$D$56,KVD!$E$56,KVD!$F$56,$A20)</f>
        <v>0.27743665756130709</v>
      </c>
      <c r="P20" s="3">
        <f t="shared" si="10"/>
        <v>0.32495019164302175</v>
      </c>
      <c r="Q20" s="3">
        <f t="shared" si="11"/>
        <v>3.0773947076127994</v>
      </c>
      <c r="R20" s="13">
        <f t="shared" si="15"/>
        <v>9.9131634320315853E-2</v>
      </c>
      <c r="S20" s="8">
        <f>1-GEVCUM(KVD!$D$57,KVD!$E$57,KVD!$F$57,$A20)</f>
        <v>0.34070948374618348</v>
      </c>
      <c r="T20" s="3">
        <f t="shared" si="16"/>
        <v>0.41659099753510198</v>
      </c>
      <c r="U20" s="9">
        <f t="shared" si="17"/>
        <v>2.4004359333658907</v>
      </c>
      <c r="V20" s="32">
        <f t="shared" si="18"/>
        <v>0.11986851915147279</v>
      </c>
    </row>
    <row r="21" spans="1:22" x14ac:dyDescent="0.25">
      <c r="A21" s="23">
        <f t="shared" si="4"/>
        <v>102.5</v>
      </c>
      <c r="B21" s="13">
        <f t="shared" si="5"/>
        <v>100</v>
      </c>
      <c r="C21" s="8">
        <f>1-GEVCUM(KVD!$D$53,KVD!$E$53,KVD!$F$53,$A21)</f>
        <v>4.8682762966338888E-3</v>
      </c>
      <c r="D21" s="3">
        <f t="shared" si="0"/>
        <v>4.880164954224951E-3</v>
      </c>
      <c r="E21" s="3">
        <f t="shared" si="1"/>
        <v>204.91110636214472</v>
      </c>
      <c r="F21" s="32">
        <f t="shared" si="6"/>
        <v>1.9699807529588954E-3</v>
      </c>
      <c r="G21" s="8">
        <f>1-GEVCUM(KVD!$D$54,KVD!$E$54,KVD!$F$54,$A21)</f>
        <v>1.4679861285583407E-2</v>
      </c>
      <c r="H21" s="3">
        <f t="shared" si="2"/>
        <v>1.4788676692366361E-2</v>
      </c>
      <c r="I21" s="3">
        <f t="shared" si="3"/>
        <v>67.619302308243803</v>
      </c>
      <c r="J21" s="13">
        <f t="shared" si="7"/>
        <v>5.8322551926531744E-3</v>
      </c>
      <c r="K21" s="8">
        <f>1-GEVCUM(KVD!$D$55,KVD!$E$55,KVD!$F$55,$A21)</f>
        <v>5.3819387873289992E-2</v>
      </c>
      <c r="L21" s="3">
        <f t="shared" si="8"/>
        <v>5.5321806243685712E-2</v>
      </c>
      <c r="M21" s="3">
        <f t="shared" si="9"/>
        <v>18.076054776576232</v>
      </c>
      <c r="N21" s="13">
        <f t="shared" si="14"/>
        <v>2.0526671702074374E-2</v>
      </c>
      <c r="O21" s="8">
        <f>1-GEVCUM(KVD!$D$56,KVD!$E$56,KVD!$F$56,$A21)</f>
        <v>0.21977307955153169</v>
      </c>
      <c r="P21" s="3">
        <f t="shared" si="10"/>
        <v>0.248170477956697</v>
      </c>
      <c r="Q21" s="3">
        <f t="shared" si="11"/>
        <v>4.0294881495714767</v>
      </c>
      <c r="R21" s="13">
        <f t="shared" si="15"/>
        <v>7.6779713686324746E-2</v>
      </c>
      <c r="S21" s="8">
        <f>1-GEVCUM(KVD!$D$57,KVD!$E$57,KVD!$F$57,$A21)</f>
        <v>0.27543553171222435</v>
      </c>
      <c r="T21" s="3">
        <f t="shared" si="16"/>
        <v>0.32218453803623737</v>
      </c>
      <c r="U21" s="9">
        <f t="shared" si="17"/>
        <v>3.1038112694518136</v>
      </c>
      <c r="V21" s="32">
        <f t="shared" si="18"/>
        <v>9.4406459498864614E-2</v>
      </c>
    </row>
    <row r="22" spans="1:22" x14ac:dyDescent="0.25">
      <c r="A22" s="23">
        <f t="shared" si="4"/>
        <v>107.5</v>
      </c>
      <c r="B22" s="13">
        <f t="shared" si="5"/>
        <v>105</v>
      </c>
      <c r="C22" s="8">
        <f>1-GEVCUM(KVD!$D$53,KVD!$E$53,KVD!$F$53,$A22)</f>
        <v>3.4991754330643277E-3</v>
      </c>
      <c r="D22" s="3">
        <f t="shared" si="0"/>
        <v>3.5053118665736203E-3</v>
      </c>
      <c r="E22" s="3">
        <f t="shared" si="1"/>
        <v>285.28132105331963</v>
      </c>
      <c r="F22" s="32">
        <f t="shared" si="6"/>
        <v>4.880164954224951E-3</v>
      </c>
      <c r="G22" s="8">
        <f>1-GEVCUM(KVD!$D$54,KVD!$E$54,KVD!$F$54,$A22)</f>
        <v>1.061387936520064E-2</v>
      </c>
      <c r="H22" s="3">
        <f t="shared" si="2"/>
        <v>1.0670608349587912E-2</v>
      </c>
      <c r="I22" s="3">
        <f t="shared" si="3"/>
        <v>93.715369099702642</v>
      </c>
      <c r="J22" s="13">
        <f t="shared" si="7"/>
        <v>4.1180683427784488E-3</v>
      </c>
      <c r="K22" s="8">
        <f>1-GEVCUM(KVD!$D$55,KVD!$E$55,KVD!$F$55,$A22)</f>
        <v>3.9631391781391856E-2</v>
      </c>
      <c r="L22" s="3">
        <f t="shared" si="8"/>
        <v>4.0438101322295583E-2</v>
      </c>
      <c r="M22" s="3">
        <f t="shared" si="9"/>
        <v>24.729153132831414</v>
      </c>
      <c r="N22" s="13">
        <f t="shared" si="14"/>
        <v>1.4883704921390135E-2</v>
      </c>
      <c r="O22" s="8">
        <f>1-GEVCUM(KVD!$D$56,KVD!$E$56,KVD!$F$56,$A22)</f>
        <v>0.17212410569899994</v>
      </c>
      <c r="P22" s="3">
        <f t="shared" si="10"/>
        <v>0.18889202194082622</v>
      </c>
      <c r="Q22" s="3">
        <f t="shared" si="11"/>
        <v>5.2940298363329914</v>
      </c>
      <c r="R22" s="13">
        <f t="shared" si="15"/>
        <v>5.9278456015870784E-2</v>
      </c>
      <c r="S22" s="8">
        <f>1-GEVCUM(KVD!$D$57,KVD!$E$57,KVD!$F$57,$A22)</f>
        <v>0.21973418375640286</v>
      </c>
      <c r="T22" s="3">
        <f t="shared" si="16"/>
        <v>0.24812062729834744</v>
      </c>
      <c r="U22" s="9">
        <f t="shared" si="17"/>
        <v>4.0302977261038881</v>
      </c>
      <c r="V22" s="32">
        <f t="shared" si="18"/>
        <v>7.4063910737889926E-2</v>
      </c>
    </row>
    <row r="23" spans="1:22" x14ac:dyDescent="0.25">
      <c r="A23" s="23">
        <f t="shared" si="4"/>
        <v>112.5</v>
      </c>
      <c r="B23" s="13">
        <f t="shared" si="5"/>
        <v>110</v>
      </c>
      <c r="C23" s="8"/>
      <c r="D23" s="3"/>
      <c r="E23" s="3"/>
      <c r="F23" s="32"/>
      <c r="G23" s="8">
        <f>1-GEVCUM(KVD!$D$54,KVD!$E$54,KVD!$F$54,$A23)</f>
        <v>7.7145845159920512E-3</v>
      </c>
      <c r="H23" s="3">
        <f t="shared" si="2"/>
        <v>7.7444958581444285E-3</v>
      </c>
      <c r="I23" s="3">
        <f t="shared" si="3"/>
        <v>129.12396343376685</v>
      </c>
      <c r="J23" s="13">
        <f t="shared" si="7"/>
        <v>1.0670608349587912E-2</v>
      </c>
      <c r="K23" s="8">
        <f>1-GEVCUM(KVD!$D$55,KVD!$E$55,KVD!$F$55,$A23)</f>
        <v>2.9187751874968471E-2</v>
      </c>
      <c r="L23" s="3">
        <f t="shared" si="8"/>
        <v>2.9622188681639877E-2</v>
      </c>
      <c r="M23" s="3">
        <f t="shared" si="9"/>
        <v>33.758477833874906</v>
      </c>
      <c r="N23" s="13">
        <f t="shared" si="14"/>
        <v>1.0815912640655703E-2</v>
      </c>
      <c r="O23" s="8">
        <f>1-GEVCUM(KVD!$D$56,KVD!$E$56,KVD!$F$56,$A23)</f>
        <v>0.13348411189318199</v>
      </c>
      <c r="P23" s="3">
        <f t="shared" si="10"/>
        <v>0.14327483403748845</v>
      </c>
      <c r="Q23" s="3">
        <f t="shared" si="11"/>
        <v>6.9795927995166682</v>
      </c>
      <c r="R23" s="13">
        <f t="shared" si="15"/>
        <v>4.5617187903337769E-2</v>
      </c>
      <c r="S23" s="8">
        <f>1-GEVCUM(KVD!$D$57,KVD!$E$57,KVD!$F$57,$A23)</f>
        <v>0.17324695752571351</v>
      </c>
      <c r="T23" s="3">
        <f t="shared" si="16"/>
        <v>0.19024924708553481</v>
      </c>
      <c r="U23" s="9">
        <f t="shared" si="17"/>
        <v>5.2562625887838941</v>
      </c>
      <c r="V23" s="32">
        <f t="shared" si="18"/>
        <v>5.7871380212812601E-2</v>
      </c>
    </row>
    <row r="24" spans="1:22" x14ac:dyDescent="0.25">
      <c r="A24" s="23">
        <f t="shared" si="4"/>
        <v>117.5</v>
      </c>
      <c r="B24" s="13">
        <f t="shared" si="5"/>
        <v>115</v>
      </c>
      <c r="C24" s="8"/>
      <c r="D24" s="3"/>
      <c r="E24" s="3"/>
      <c r="F24" s="32"/>
      <c r="G24" s="8"/>
      <c r="H24" s="3"/>
      <c r="I24" s="3"/>
      <c r="J24" s="13"/>
      <c r="K24" s="8">
        <f>1-GEVCUM(KVD!$D$55,KVD!$E$55,KVD!$F$55,$A24)</f>
        <v>2.1510449726232395E-2</v>
      </c>
      <c r="L24" s="3">
        <f t="shared" si="8"/>
        <v>2.1745171534898147E-2</v>
      </c>
      <c r="M24" s="3">
        <f t="shared" si="9"/>
        <v>45.987220583435324</v>
      </c>
      <c r="N24" s="13">
        <f t="shared" si="14"/>
        <v>7.8770171467417334E-3</v>
      </c>
      <c r="O24" s="8">
        <f>1-GEVCUM(KVD!$D$56,KVD!$E$56,KVD!$F$56,$A24)</f>
        <v>0.10263085130849525</v>
      </c>
      <c r="P24" s="3">
        <f t="shared" si="10"/>
        <v>0.10828796457867507</v>
      </c>
      <c r="Q24" s="3">
        <f t="shared" si="11"/>
        <v>9.2346365904168817</v>
      </c>
      <c r="R24" s="13">
        <f t="shared" si="15"/>
        <v>3.498686945881338E-2</v>
      </c>
      <c r="S24" s="8">
        <f>1-GEVCUM(KVD!$D$57,KVD!$E$57,KVD!$F$57,$A24)</f>
        <v>0.13516622410769341</v>
      </c>
      <c r="T24" s="3">
        <f t="shared" si="16"/>
        <v>0.14521795711511379</v>
      </c>
      <c r="U24" s="9">
        <f t="shared" si="17"/>
        <v>6.8862007141947563</v>
      </c>
      <c r="V24" s="32">
        <f t="shared" si="18"/>
        <v>4.5031289970421051E-2</v>
      </c>
    </row>
    <row r="25" spans="1:22" x14ac:dyDescent="0.25">
      <c r="A25" s="23">
        <f t="shared" si="4"/>
        <v>122.5</v>
      </c>
      <c r="B25" s="13">
        <f t="shared" si="5"/>
        <v>120</v>
      </c>
      <c r="C25" s="8"/>
      <c r="D25" s="3"/>
      <c r="E25" s="3"/>
      <c r="F25" s="32"/>
      <c r="G25" s="8"/>
      <c r="H25" s="3"/>
      <c r="I25" s="3"/>
      <c r="J25" s="13"/>
      <c r="K25" s="8">
        <f>1-GEVCUM(KVD!$D$55,KVD!$E$55,KVD!$F$55,$A25)</f>
        <v>1.586888924627472E-2</v>
      </c>
      <c r="L25" s="3">
        <f t="shared" si="8"/>
        <v>1.599614816999553E-2</v>
      </c>
      <c r="M25" s="3">
        <f t="shared" si="9"/>
        <v>62.515049834042607</v>
      </c>
      <c r="N25" s="13">
        <f t="shared" si="14"/>
        <v>2.1745171534898147E-2</v>
      </c>
      <c r="O25" s="8">
        <f>1-GEVCUM(KVD!$D$56,KVD!$E$56,KVD!$F$56,$A25)</f>
        <v>7.8309938124102252E-2</v>
      </c>
      <c r="P25" s="3">
        <f t="shared" si="10"/>
        <v>8.1546270425483652E-2</v>
      </c>
      <c r="Q25" s="3">
        <f t="shared" si="11"/>
        <v>12.262976525870576</v>
      </c>
      <c r="R25" s="13">
        <f t="shared" si="15"/>
        <v>2.6741694153191414E-2</v>
      </c>
      <c r="S25" s="8">
        <f>1-GEVCUM(KVD!$D$57,KVD!$E$57,KVD!$F$57,$A25)</f>
        <v>0.10445994551308369</v>
      </c>
      <c r="T25" s="3">
        <f t="shared" si="16"/>
        <v>0.11032832985306026</v>
      </c>
      <c r="U25" s="9">
        <f t="shared" si="17"/>
        <v>9.0638551433873822</v>
      </c>
      <c r="V25" s="32">
        <f t="shared" si="18"/>
        <v>3.4889627262053524E-2</v>
      </c>
    </row>
    <row r="26" spans="1:22" x14ac:dyDescent="0.25">
      <c r="A26" s="23">
        <f t="shared" si="4"/>
        <v>127.5</v>
      </c>
      <c r="B26" s="13">
        <f t="shared" si="5"/>
        <v>125</v>
      </c>
      <c r="C26" s="8"/>
      <c r="D26" s="3"/>
      <c r="E26" s="3"/>
      <c r="F26" s="32"/>
      <c r="G26" s="8"/>
      <c r="H26" s="3"/>
      <c r="I26" s="3"/>
      <c r="J26" s="13"/>
      <c r="K26" s="8"/>
      <c r="L26" s="3"/>
      <c r="M26" s="3"/>
      <c r="N26" s="13"/>
      <c r="O26" s="8">
        <f>1-GEVCUM(KVD!$D$56,KVD!$E$56,KVD!$F$56,$A26)</f>
        <v>5.9344799440081752E-2</v>
      </c>
      <c r="P26" s="3">
        <f t="shared" si="10"/>
        <v>6.1178624652757946E-2</v>
      </c>
      <c r="Q26" s="3">
        <f t="shared" si="11"/>
        <v>16.345578307388767</v>
      </c>
      <c r="R26" s="13">
        <f t="shared" si="15"/>
        <v>2.03676457727257E-2</v>
      </c>
      <c r="S26" s="8">
        <f>1-GEVCUM(KVD!$D$57,KVD!$E$57,KVD!$F$57,$A26)</f>
        <v>8.003202838248169E-2</v>
      </c>
      <c r="T26" s="3">
        <f t="shared" si="16"/>
        <v>8.3416423004272822E-2</v>
      </c>
      <c r="U26" s="9">
        <f t="shared" si="17"/>
        <v>11.98804700542934</v>
      </c>
      <c r="V26" s="32">
        <f t="shared" si="18"/>
        <v>2.6911906848787442E-2</v>
      </c>
    </row>
    <row r="27" spans="1:22" x14ac:dyDescent="0.25">
      <c r="A27" s="23">
        <f t="shared" si="4"/>
        <v>132.5</v>
      </c>
      <c r="B27" s="13">
        <f t="shared" si="5"/>
        <v>130</v>
      </c>
      <c r="C27" s="8"/>
      <c r="D27" s="3"/>
      <c r="E27" s="3"/>
      <c r="F27" s="32"/>
      <c r="G27" s="8"/>
      <c r="H27" s="3"/>
      <c r="I27" s="3"/>
      <c r="J27" s="13"/>
      <c r="K27" s="8"/>
      <c r="L27" s="3"/>
      <c r="M27" s="3"/>
      <c r="N27" s="13"/>
      <c r="O27" s="8">
        <f>1-GEVCUM(KVD!$D$56,KVD!$E$56,KVD!$F$56,$A27)</f>
        <v>4.4692314463939509E-2</v>
      </c>
      <c r="P27" s="3">
        <f t="shared" si="10"/>
        <v>4.5721806584071371E-2</v>
      </c>
      <c r="Q27" s="3">
        <f t="shared" si="11"/>
        <v>21.871401738276489</v>
      </c>
      <c r="R27" s="13">
        <f t="shared" si="15"/>
        <v>1.5456818068686581E-2</v>
      </c>
      <c r="S27" s="8">
        <f>1-GEVCUM(KVD!$D$57,KVD!$E$57,KVD!$F$57,$A27)</f>
        <v>6.0825120250144415E-2</v>
      </c>
      <c r="T27" s="3">
        <f t="shared" si="16"/>
        <v>6.2753576699285621E-2</v>
      </c>
      <c r="U27" s="9">
        <f t="shared" si="17"/>
        <v>15.935346678197927</v>
      </c>
      <c r="V27" s="32">
        <f t="shared" si="18"/>
        <v>2.0662846304987201E-2</v>
      </c>
    </row>
    <row r="28" spans="1:22" x14ac:dyDescent="0.25">
      <c r="A28" s="23">
        <f t="shared" si="4"/>
        <v>137.5</v>
      </c>
      <c r="B28" s="13">
        <f t="shared" si="5"/>
        <v>135</v>
      </c>
      <c r="C28" s="8"/>
      <c r="D28" s="3"/>
      <c r="E28" s="3"/>
      <c r="F28" s="32"/>
      <c r="G28" s="8"/>
      <c r="H28" s="3"/>
      <c r="I28" s="3"/>
      <c r="J28" s="13"/>
      <c r="K28" s="8"/>
      <c r="L28" s="3"/>
      <c r="M28" s="3"/>
      <c r="N28" s="13"/>
      <c r="O28" s="8">
        <f>1-GEVCUM(KVD!$D$56,KVD!$E$56,KVD!$F$56,$A28)</f>
        <v>3.3462624830307375E-2</v>
      </c>
      <c r="P28" s="3">
        <f t="shared" si="10"/>
        <v>3.4035310445442654E-2</v>
      </c>
      <c r="Q28" s="3">
        <f t="shared" si="11"/>
        <v>29.381251027604495</v>
      </c>
      <c r="R28" s="13">
        <f t="shared" si="15"/>
        <v>1.1686496138628717E-2</v>
      </c>
      <c r="S28" s="8">
        <f>1-GEVCUM(KVD!$D$57,KVD!$E$57,KVD!$F$57,$A28)</f>
        <v>4.5878584958913393E-2</v>
      </c>
      <c r="T28" s="3">
        <f t="shared" si="16"/>
        <v>4.6964346196816734E-2</v>
      </c>
      <c r="U28" s="9">
        <f t="shared" si="17"/>
        <v>21.2927482437258</v>
      </c>
      <c r="V28" s="32">
        <f t="shared" si="18"/>
        <v>1.5789230502468887E-2</v>
      </c>
    </row>
    <row r="29" spans="1:22" x14ac:dyDescent="0.25">
      <c r="A29" s="23">
        <f t="shared" si="4"/>
        <v>142.5</v>
      </c>
      <c r="B29" s="13">
        <f t="shared" si="5"/>
        <v>140</v>
      </c>
      <c r="C29" s="8"/>
      <c r="D29" s="3"/>
      <c r="E29" s="3"/>
      <c r="F29" s="32"/>
      <c r="G29" s="8"/>
      <c r="H29" s="3"/>
      <c r="I29" s="3"/>
      <c r="J29" s="13"/>
      <c r="K29" s="8"/>
      <c r="L29" s="3"/>
      <c r="M29" s="3"/>
      <c r="N29" s="13"/>
      <c r="O29" s="8">
        <f>1-GEVCUM(KVD!$D$56,KVD!$E$56,KVD!$F$56,$A29)</f>
        <v>2.4917452850121702E-2</v>
      </c>
      <c r="P29" s="3">
        <f t="shared" si="10"/>
        <v>2.5233147824597409E-2</v>
      </c>
      <c r="Q29" s="3">
        <f t="shared" si="11"/>
        <v>39.630410242561751</v>
      </c>
      <c r="R29" s="13">
        <f t="shared" si="15"/>
        <v>8.8021626208452421E-3</v>
      </c>
      <c r="S29" s="8">
        <f>1-GEVCUM(KVD!$D$57,KVD!$E$57,KVD!$F$57,$A29)</f>
        <v>3.4354836756763985E-2</v>
      </c>
      <c r="T29" s="3">
        <f t="shared" si="16"/>
        <v>3.4958838085438482E-2</v>
      </c>
      <c r="U29" s="9">
        <f t="shared" si="17"/>
        <v>28.605069698141175</v>
      </c>
      <c r="V29" s="32">
        <f t="shared" si="18"/>
        <v>1.2005508111378252E-2</v>
      </c>
    </row>
    <row r="30" spans="1:22" x14ac:dyDescent="0.25">
      <c r="A30" s="23">
        <f t="shared" si="4"/>
        <v>147.5</v>
      </c>
      <c r="B30" s="13">
        <f t="shared" si="5"/>
        <v>145</v>
      </c>
      <c r="C30" s="8"/>
      <c r="D30" s="3"/>
      <c r="E30" s="3"/>
      <c r="F30" s="32"/>
      <c r="G30" s="8"/>
      <c r="H30" s="3"/>
      <c r="I30" s="3"/>
      <c r="J30" s="13"/>
      <c r="K30" s="8"/>
      <c r="L30" s="3"/>
      <c r="M30" s="3"/>
      <c r="N30" s="13"/>
      <c r="O30" s="8">
        <f>1-GEVCUM(KVD!$D$56,KVD!$E$56,KVD!$F$56,$A30)</f>
        <v>1.8456962211375605E-2</v>
      </c>
      <c r="P30" s="3">
        <f t="shared" si="10"/>
        <v>1.8629417231927882E-2</v>
      </c>
      <c r="Q30" s="3">
        <f t="shared" si="11"/>
        <v>53.678544398380737</v>
      </c>
      <c r="R30" s="13">
        <f t="shared" si="15"/>
        <v>6.6037305926695301E-3</v>
      </c>
      <c r="S30" s="8">
        <f>1-GEVCUM(KVD!$D$57,KVD!$E$57,KVD!$F$57,$A30)</f>
        <v>2.5545172847589503E-2</v>
      </c>
      <c r="T30" s="3">
        <f t="shared" si="16"/>
        <v>2.5877116006418132E-2</v>
      </c>
      <c r="U30" s="9">
        <f t="shared" si="17"/>
        <v>38.644182750194283</v>
      </c>
      <c r="V30" s="32">
        <f t="shared" si="18"/>
        <v>9.0817220790203497E-3</v>
      </c>
    </row>
    <row r="31" spans="1:22" x14ac:dyDescent="0.25">
      <c r="A31" s="23">
        <f t="shared" si="4"/>
        <v>152.5</v>
      </c>
      <c r="B31" s="13">
        <f t="shared" si="5"/>
        <v>150</v>
      </c>
      <c r="C31" s="8"/>
      <c r="D31" s="3"/>
      <c r="E31" s="3"/>
      <c r="F31" s="32"/>
      <c r="G31" s="8"/>
      <c r="H31" s="3"/>
      <c r="I31" s="3"/>
      <c r="J31" s="13"/>
      <c r="K31" s="8"/>
      <c r="L31" s="3"/>
      <c r="M31" s="3"/>
      <c r="N31" s="13"/>
      <c r="O31" s="8">
        <f>1-GEVCUM(KVD!$D$56,KVD!$E$56,KVD!$F$56,$A31)</f>
        <v>1.3601645157276687E-2</v>
      </c>
      <c r="P31" s="3">
        <f t="shared" si="10"/>
        <v>1.3694994973292674E-2</v>
      </c>
      <c r="Q31" s="3">
        <f t="shared" si="11"/>
        <v>73.019376929319961</v>
      </c>
      <c r="R31" s="13">
        <f t="shared" si="15"/>
        <v>1.8629417231927882E-2</v>
      </c>
      <c r="S31" s="8">
        <f>1-GEVCUM(KVD!$D$57,KVD!$E$57,KVD!$F$57,$A31)</f>
        <v>1.8863502214867101E-2</v>
      </c>
      <c r="T31" s="3">
        <f t="shared" si="16"/>
        <v>1.9043687622928671E-2</v>
      </c>
      <c r="U31" s="9">
        <f t="shared" si="17"/>
        <v>52.510838226310554</v>
      </c>
      <c r="V31" s="32">
        <f t="shared" si="18"/>
        <v>6.8334283834894614E-3</v>
      </c>
    </row>
    <row r="32" spans="1:22" x14ac:dyDescent="0.25">
      <c r="A32" s="23">
        <f t="shared" si="4"/>
        <v>157.5</v>
      </c>
      <c r="B32" s="13">
        <f t="shared" si="5"/>
        <v>155</v>
      </c>
      <c r="C32" s="8"/>
      <c r="D32" s="3"/>
      <c r="E32" s="3"/>
      <c r="F32" s="32"/>
      <c r="G32" s="8"/>
      <c r="H32" s="3"/>
      <c r="I32" s="3"/>
      <c r="J32" s="13"/>
      <c r="K32" s="8"/>
      <c r="L32" s="3"/>
      <c r="M32" s="3"/>
      <c r="N32" s="13"/>
      <c r="O32" s="8"/>
      <c r="P32" s="3"/>
      <c r="Q32" s="3"/>
      <c r="R32" s="13"/>
      <c r="S32" s="8">
        <f>1-GEVCUM(KVD!$D$57,KVD!$E$57,KVD!$F$57,$A32)</f>
        <v>1.3833805220523909E-2</v>
      </c>
      <c r="T32" s="3">
        <f t="shared" si="16"/>
        <v>1.3930384040143387E-2</v>
      </c>
      <c r="U32" s="9">
        <f t="shared" si="17"/>
        <v>71.785529897688804</v>
      </c>
      <c r="V32" s="32">
        <f t="shared" si="18"/>
        <v>1.9043687622928671E-2</v>
      </c>
    </row>
    <row r="33" spans="1:22" x14ac:dyDescent="0.25">
      <c r="A33" s="23">
        <f t="shared" si="4"/>
        <v>162.5</v>
      </c>
      <c r="B33" s="13">
        <f t="shared" si="5"/>
        <v>160</v>
      </c>
      <c r="C33" s="8"/>
      <c r="D33" s="3"/>
      <c r="E33" s="3"/>
      <c r="F33" s="32"/>
      <c r="G33" s="8"/>
      <c r="H33" s="3"/>
      <c r="I33" s="3"/>
      <c r="J33" s="13"/>
      <c r="K33" s="8"/>
      <c r="L33" s="3"/>
      <c r="M33" s="3"/>
      <c r="N33" s="13"/>
      <c r="O33" s="8"/>
      <c r="P33" s="3"/>
      <c r="Q33" s="3"/>
      <c r="R33" s="13"/>
      <c r="S33" s="8"/>
      <c r="T33" s="3"/>
      <c r="U33" s="9"/>
      <c r="V33" s="32"/>
    </row>
    <row r="34" spans="1:22" x14ac:dyDescent="0.25">
      <c r="A34" s="23">
        <f t="shared" si="4"/>
        <v>167.5</v>
      </c>
      <c r="B34" s="13">
        <f t="shared" si="5"/>
        <v>165</v>
      </c>
      <c r="C34" s="8"/>
      <c r="D34" s="3"/>
      <c r="E34" s="3"/>
      <c r="F34" s="32"/>
      <c r="G34" s="8"/>
      <c r="H34" s="3"/>
      <c r="I34" s="3"/>
      <c r="J34" s="13"/>
      <c r="K34" s="8"/>
      <c r="L34" s="3"/>
      <c r="M34" s="3"/>
      <c r="N34" s="13"/>
      <c r="O34" s="8"/>
      <c r="P34" s="3"/>
      <c r="Q34" s="3"/>
      <c r="R34" s="13"/>
      <c r="S34" s="8"/>
      <c r="T34" s="3"/>
      <c r="U34" s="9"/>
      <c r="V34" s="32"/>
    </row>
    <row r="35" spans="1:22" x14ac:dyDescent="0.25">
      <c r="A35" s="23">
        <f t="shared" si="4"/>
        <v>172.5</v>
      </c>
      <c r="B35" s="13">
        <f t="shared" si="5"/>
        <v>170</v>
      </c>
      <c r="C35" s="8"/>
      <c r="D35" s="3"/>
      <c r="E35" s="3"/>
      <c r="F35" s="32"/>
      <c r="G35" s="8"/>
      <c r="H35" s="3"/>
      <c r="I35" s="3"/>
      <c r="J35" s="13"/>
      <c r="K35" s="8"/>
      <c r="L35" s="3"/>
      <c r="M35" s="3"/>
      <c r="N35" s="13"/>
      <c r="O35" s="8"/>
      <c r="P35" s="3"/>
      <c r="Q35" s="3"/>
      <c r="R35" s="13"/>
      <c r="S35" s="8"/>
      <c r="T35" s="3"/>
      <c r="U35" s="9"/>
      <c r="V35" s="32"/>
    </row>
    <row r="36" spans="1:22" x14ac:dyDescent="0.25">
      <c r="A36" s="23">
        <f t="shared" si="4"/>
        <v>177.5</v>
      </c>
      <c r="B36" s="13">
        <f t="shared" si="5"/>
        <v>175</v>
      </c>
      <c r="C36" s="8"/>
      <c r="D36" s="3"/>
      <c r="E36" s="3"/>
      <c r="F36" s="32"/>
      <c r="G36" s="8"/>
      <c r="H36" s="3"/>
      <c r="I36" s="3"/>
      <c r="J36" s="13"/>
      <c r="K36" s="8"/>
      <c r="L36" s="3"/>
      <c r="M36" s="3"/>
      <c r="N36" s="13"/>
      <c r="O36" s="8"/>
      <c r="P36" s="3"/>
      <c r="Q36" s="3"/>
      <c r="R36" s="13"/>
      <c r="S36" s="8"/>
      <c r="T36" s="3"/>
      <c r="U36" s="9"/>
      <c r="V36" s="32"/>
    </row>
    <row r="37" spans="1:22" x14ac:dyDescent="0.25">
      <c r="A37" s="14">
        <f t="shared" si="4"/>
        <v>182.5</v>
      </c>
      <c r="B37" s="15">
        <f t="shared" si="5"/>
        <v>180</v>
      </c>
      <c r="C37" s="10"/>
      <c r="D37" s="4"/>
      <c r="E37" s="4"/>
      <c r="F37" s="33"/>
      <c r="G37" s="10"/>
      <c r="H37" s="4"/>
      <c r="I37" s="4"/>
      <c r="J37" s="15"/>
      <c r="K37" s="10"/>
      <c r="L37" s="4"/>
      <c r="M37" s="4"/>
      <c r="N37" s="15"/>
      <c r="O37" s="8"/>
      <c r="P37" s="3"/>
      <c r="Q37" s="3"/>
      <c r="R37" s="13"/>
      <c r="S37" s="8"/>
      <c r="T37" s="3"/>
      <c r="U37" s="9"/>
      <c r="V37" s="32"/>
    </row>
    <row r="38" spans="1:22" x14ac:dyDescent="0.25">
      <c r="A38" s="14">
        <f t="shared" si="4"/>
        <v>187.5</v>
      </c>
      <c r="B38" s="15">
        <f t="shared" si="5"/>
        <v>185</v>
      </c>
      <c r="O38" s="8"/>
      <c r="P38" s="3"/>
      <c r="Q38" s="3"/>
      <c r="R38" s="13"/>
      <c r="S38" s="8"/>
      <c r="T38" s="3"/>
      <c r="U38" s="9"/>
      <c r="V38" s="32"/>
    </row>
    <row r="39" spans="1:22" x14ac:dyDescent="0.25">
      <c r="A39" s="14">
        <f t="shared" si="4"/>
        <v>192.5</v>
      </c>
      <c r="B39" s="15">
        <f t="shared" si="5"/>
        <v>190</v>
      </c>
      <c r="O39" s="8"/>
      <c r="P39" s="3"/>
      <c r="Q39" s="3"/>
      <c r="R39" s="13"/>
      <c r="S39" s="8"/>
      <c r="T39" s="3"/>
      <c r="U39" s="9"/>
      <c r="V39" s="32"/>
    </row>
    <row r="40" spans="1:22" x14ac:dyDescent="0.25">
      <c r="A40" s="14">
        <f t="shared" si="4"/>
        <v>197.5</v>
      </c>
      <c r="B40" s="15">
        <f t="shared" si="5"/>
        <v>195</v>
      </c>
      <c r="S40" s="8"/>
      <c r="T40" s="3"/>
      <c r="U40" s="9"/>
      <c r="V40" s="32"/>
    </row>
  </sheetData>
  <mergeCells count="11">
    <mergeCell ref="S2:U2"/>
    <mergeCell ref="A1:B2"/>
    <mergeCell ref="C1:F1"/>
    <mergeCell ref="G1:J1"/>
    <mergeCell ref="K1:N1"/>
    <mergeCell ref="O1:R1"/>
    <mergeCell ref="S1:V1"/>
    <mergeCell ref="C2:E2"/>
    <mergeCell ref="G2:I2"/>
    <mergeCell ref="K2:M2"/>
    <mergeCell ref="O2:Q2"/>
  </mergeCells>
  <pageMargins left="0.7" right="0.7" top="0.75" bottom="0.75" header="0.3" footer="0.3"/>
  <pageSetup paperSize="0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Blad15">
    <tabColor theme="6"/>
  </sheetPr>
  <dimension ref="A1:V40"/>
  <sheetViews>
    <sheetView topLeftCell="H1" workbookViewId="0">
      <selection activeCell="V6" sqref="V6:V33"/>
    </sheetView>
  </sheetViews>
  <sheetFormatPr defaultColWidth="9.140625" defaultRowHeight="15" x14ac:dyDescent="0.25"/>
  <cols>
    <col min="1" max="1" width="11.42578125" bestFit="1" customWidth="1"/>
    <col min="2" max="2" width="14" bestFit="1" customWidth="1"/>
    <col min="4" max="4" width="12.28515625" style="19" bestFit="1" customWidth="1"/>
    <col min="5" max="5" width="12" style="19" bestFit="1" customWidth="1"/>
    <col min="6" max="6" width="14.7109375" bestFit="1" customWidth="1"/>
    <col min="8" max="8" width="12.28515625" bestFit="1" customWidth="1"/>
    <col min="9" max="9" width="12" bestFit="1" customWidth="1"/>
    <col min="10" max="10" width="13.7109375" bestFit="1" customWidth="1"/>
    <col min="12" max="12" width="12.28515625" bestFit="1" customWidth="1"/>
    <col min="13" max="13" width="18.85546875" bestFit="1" customWidth="1"/>
    <col min="14" max="14" width="14.7109375" bestFit="1" customWidth="1"/>
    <col min="15" max="15" width="7.7109375" bestFit="1" customWidth="1"/>
    <col min="16" max="16" width="12.28515625" bestFit="1" customWidth="1"/>
    <col min="17" max="17" width="16.42578125" bestFit="1" customWidth="1"/>
    <col min="18" max="18" width="14.7109375" bestFit="1" customWidth="1"/>
    <col min="19" max="19" width="7.7109375" bestFit="1" customWidth="1"/>
    <col min="20" max="20" width="12.28515625" bestFit="1" customWidth="1"/>
    <col min="21" max="21" width="11.42578125" bestFit="1" customWidth="1"/>
    <col min="22" max="22" width="14.7109375" bestFit="1" customWidth="1"/>
  </cols>
  <sheetData>
    <row r="1" spans="1:22" x14ac:dyDescent="0.25">
      <c r="A1" s="50" t="s">
        <v>15</v>
      </c>
      <c r="B1" s="51"/>
      <c r="C1" s="63">
        <v>24</v>
      </c>
      <c r="D1" s="64"/>
      <c r="E1" s="64"/>
      <c r="F1" s="65"/>
      <c r="G1" s="66">
        <v>48</v>
      </c>
      <c r="H1" s="67"/>
      <c r="I1" s="67"/>
      <c r="J1" s="68"/>
      <c r="K1" s="66">
        <v>96</v>
      </c>
      <c r="L1" s="67"/>
      <c r="M1" s="67"/>
      <c r="N1" s="68"/>
      <c r="O1" s="66">
        <v>192</v>
      </c>
      <c r="P1" s="67"/>
      <c r="Q1" s="67"/>
      <c r="R1" s="68"/>
      <c r="S1" s="60">
        <v>216</v>
      </c>
      <c r="T1" s="61"/>
      <c r="U1" s="61"/>
      <c r="V1" s="62"/>
    </row>
    <row r="2" spans="1:22" x14ac:dyDescent="0.25">
      <c r="A2" s="52"/>
      <c r="B2" s="53"/>
      <c r="C2" s="57" t="s">
        <v>9</v>
      </c>
      <c r="D2" s="58"/>
      <c r="E2" s="59"/>
      <c r="F2" s="30">
        <f>24/24*365.25</f>
        <v>365.25</v>
      </c>
      <c r="G2" s="54" t="s">
        <v>9</v>
      </c>
      <c r="H2" s="55"/>
      <c r="I2" s="56"/>
      <c r="J2" s="30">
        <f>24/48*365.25</f>
        <v>182.625</v>
      </c>
      <c r="K2" s="54" t="s">
        <v>9</v>
      </c>
      <c r="L2" s="55"/>
      <c r="M2" s="56"/>
      <c r="N2" s="30">
        <f>24/96*365.25</f>
        <v>91.3125</v>
      </c>
      <c r="O2" s="54" t="s">
        <v>9</v>
      </c>
      <c r="P2" s="55"/>
      <c r="Q2" s="56"/>
      <c r="R2" s="30">
        <f>24/192*365.25</f>
        <v>45.65625</v>
      </c>
      <c r="S2" s="54" t="s">
        <v>9</v>
      </c>
      <c r="T2" s="55"/>
      <c r="U2" s="56"/>
      <c r="V2" s="30">
        <f>24/216*365.25</f>
        <v>40.583333333333329</v>
      </c>
    </row>
    <row r="3" spans="1:22" x14ac:dyDescent="0.25">
      <c r="A3" s="24" t="s">
        <v>12</v>
      </c>
      <c r="B3" s="27" t="s">
        <v>14</v>
      </c>
      <c r="C3" s="24" t="s">
        <v>8</v>
      </c>
      <c r="D3" s="25" t="s">
        <v>10</v>
      </c>
      <c r="E3" s="26" t="s">
        <v>17</v>
      </c>
      <c r="F3" s="36" t="s">
        <v>13</v>
      </c>
      <c r="G3" s="24" t="s">
        <v>8</v>
      </c>
      <c r="H3" s="25" t="s">
        <v>10</v>
      </c>
      <c r="I3" s="26" t="s">
        <v>17</v>
      </c>
      <c r="J3" s="29" t="s">
        <v>13</v>
      </c>
      <c r="K3" s="24" t="s">
        <v>8</v>
      </c>
      <c r="L3" s="25" t="s">
        <v>10</v>
      </c>
      <c r="M3" s="26" t="s">
        <v>17</v>
      </c>
      <c r="N3" s="29" t="s">
        <v>13</v>
      </c>
      <c r="O3" s="24" t="s">
        <v>8</v>
      </c>
      <c r="P3" s="25" t="s">
        <v>10</v>
      </c>
      <c r="Q3" s="26" t="s">
        <v>17</v>
      </c>
      <c r="R3" s="29" t="s">
        <v>13</v>
      </c>
      <c r="S3" s="24" t="s">
        <v>8</v>
      </c>
      <c r="T3" s="25" t="s">
        <v>10</v>
      </c>
      <c r="U3" s="26" t="s">
        <v>17</v>
      </c>
      <c r="V3" s="29" t="s">
        <v>13</v>
      </c>
    </row>
    <row r="4" spans="1:22" x14ac:dyDescent="0.25">
      <c r="A4" s="34">
        <v>17.5</v>
      </c>
      <c r="B4" s="12">
        <f>A4-2.5</f>
        <v>15</v>
      </c>
      <c r="C4" s="8">
        <f>1-GEVCUM(KVD!$D$58,KVD!$E$58,KVD!$F$58,$A4)</f>
        <v>0.99592116146443455</v>
      </c>
      <c r="D4" s="3">
        <f t="shared" ref="D4:D20" si="0">-LN(1-C4)</f>
        <v>5.5019430037485444</v>
      </c>
      <c r="E4" s="3">
        <f t="shared" ref="E4:E20" si="1">1/D4</f>
        <v>0.18175397297258208</v>
      </c>
      <c r="F4" s="31">
        <f>KLASSEFREQUENTIEUITHERHALINGSTIJD(F$2,E3,E4,E5)</f>
        <v>359.74805699625148</v>
      </c>
      <c r="G4" s="8">
        <f>1-GEVCUM(KVD!$D$59,KVD!$E$59,KVD!$F$59,$A4)</f>
        <v>0.99999118270451559</v>
      </c>
      <c r="H4" s="2">
        <f t="shared" ref="H4:H22" si="2">-LN(1-G4)</f>
        <v>11.638795369388268</v>
      </c>
      <c r="I4" s="2">
        <f t="shared" ref="I4:I22" si="3">1/H4</f>
        <v>8.5919544786408578E-2</v>
      </c>
      <c r="J4" s="12">
        <f>KLASSEFREQUENTIEUITHERHALINGSTIJD(J$2,I3,I4,I5)</f>
        <v>170.98620463061172</v>
      </c>
      <c r="K4" s="35"/>
      <c r="L4" s="2"/>
      <c r="M4" s="2"/>
      <c r="N4" s="12"/>
      <c r="O4" s="35"/>
      <c r="P4" s="2"/>
      <c r="Q4" s="2"/>
      <c r="R4" s="12"/>
      <c r="S4" s="35"/>
      <c r="T4" s="2"/>
      <c r="U4" s="37"/>
      <c r="V4" s="31"/>
    </row>
    <row r="5" spans="1:22" x14ac:dyDescent="0.25">
      <c r="A5" s="23">
        <f t="shared" ref="A5:A40" si="4">A4+5</f>
        <v>22.5</v>
      </c>
      <c r="B5" s="13">
        <f t="shared" ref="B5:B40" si="5">A5-2.5</f>
        <v>20</v>
      </c>
      <c r="C5" s="8">
        <f>1-GEVCUM(KVD!$D$58,KVD!$E$58,KVD!$F$58,$A5)</f>
        <v>0.90623761983195628</v>
      </c>
      <c r="D5" s="3">
        <f t="shared" si="0"/>
        <v>2.3669915677243276</v>
      </c>
      <c r="E5" s="3">
        <f t="shared" si="1"/>
        <v>0.42247721269299648</v>
      </c>
      <c r="F5" s="32">
        <f t="shared" ref="F5:F20" si="6">KLASSEFREQUENTIEUITHERHALINGSTIJD(F$2,E4,E5,E6)</f>
        <v>3.1349514360242168</v>
      </c>
      <c r="G5" s="8">
        <f>1-GEVCUM(KVD!$D$59,KVD!$E$59,KVD!$F$59,$A5)</f>
        <v>0.99779239339996073</v>
      </c>
      <c r="H5" s="3">
        <f t="shared" si="2"/>
        <v>6.1158463367135667</v>
      </c>
      <c r="I5" s="3">
        <f t="shared" si="3"/>
        <v>0.16350966733695987</v>
      </c>
      <c r="J5" s="13">
        <f t="shared" ref="J5:J22" si="7">KLASSEFREQUENTIEUITHERHALINGSTIJD(J$2,I4,I5,I6)</f>
        <v>5.5229490326747008</v>
      </c>
      <c r="K5" s="8">
        <f>1-GEVCUM(KVD!$D$60,KVD!$E$60,KVD!$F$60,$A5)</f>
        <v>0.99999364812507952</v>
      </c>
      <c r="L5" s="3">
        <f t="shared" ref="L5:L25" si="8">-LN(1-K5)</f>
        <v>11.96676052557274</v>
      </c>
      <c r="M5" s="3">
        <f t="shared" ref="M5:M25" si="9">1/L5</f>
        <v>8.3564804180966012E-2</v>
      </c>
      <c r="N5" s="13">
        <f>KLASSEFREQUENTIEUITHERHALINGSTIJD(N$2,M4,M5,M6)</f>
        <v>79.345739474427262</v>
      </c>
      <c r="O5" s="8"/>
      <c r="P5" s="3"/>
      <c r="Q5" s="3"/>
      <c r="R5" s="13"/>
      <c r="S5" s="8"/>
      <c r="T5" s="3"/>
      <c r="U5" s="9"/>
      <c r="V5" s="32"/>
    </row>
    <row r="6" spans="1:22" x14ac:dyDescent="0.25">
      <c r="A6" s="23">
        <f t="shared" si="4"/>
        <v>27.5</v>
      </c>
      <c r="B6" s="13">
        <f t="shared" si="5"/>
        <v>25</v>
      </c>
      <c r="C6" s="8">
        <f>1-GEVCUM(KVD!$D$58,KVD!$E$58,KVD!$F$58,$A6)</f>
        <v>0.65677768831041305</v>
      </c>
      <c r="D6" s="3">
        <f t="shared" si="0"/>
        <v>1.0693769027308924</v>
      </c>
      <c r="E6" s="3">
        <f t="shared" si="1"/>
        <v>0.93512399365114118</v>
      </c>
      <c r="F6" s="32">
        <f t="shared" si="6"/>
        <v>1.2976146649934353</v>
      </c>
      <c r="G6" s="8">
        <f>1-GEVCUM(KVD!$D$59,KVD!$E$59,KVD!$F$59,$A6)</f>
        <v>0.96261324510484481</v>
      </c>
      <c r="H6" s="3">
        <f t="shared" si="2"/>
        <v>3.2864387844749396</v>
      </c>
      <c r="I6" s="3">
        <f t="shared" si="3"/>
        <v>0.30428073230025665</v>
      </c>
      <c r="J6" s="13">
        <f t="shared" si="7"/>
        <v>2.8294075522386271</v>
      </c>
      <c r="K6" s="8">
        <f>1-GEVCUM(KVD!$D$60,KVD!$E$60,KVD!$F$60,$A6)</f>
        <v>0.99955644186780568</v>
      </c>
      <c r="L6" s="3">
        <f t="shared" si="8"/>
        <v>7.7206816888306768</v>
      </c>
      <c r="M6" s="3">
        <f t="shared" si="9"/>
        <v>0.12952224172726559</v>
      </c>
      <c r="N6" s="13">
        <f t="shared" ref="N6:N25" si="10">KLASSEFREQUENTIEUITHERHALINGSTIJD(N$2,M5,M6,M7)</f>
        <v>4.2460788367420639</v>
      </c>
      <c r="O6" s="8">
        <f>1-GEVCUM(KVD!$D$61,KVD!$E$61,KVD!$F$61,$A6)</f>
        <v>0.99999497829362238</v>
      </c>
      <c r="P6" s="3">
        <f t="shared" ref="P6:P32" si="11">-LN(1-O6)</f>
        <v>12.201740766158983</v>
      </c>
      <c r="Q6" s="3">
        <f t="shared" ref="Q6:Q32" si="12">1/P6</f>
        <v>8.1955519229965787E-2</v>
      </c>
      <c r="R6" s="13">
        <f>KLASSEFREQUENTIEUITHERHALINGSTIJD(R$2,Q5,Q6,Q7)</f>
        <v>33.454509233841016</v>
      </c>
      <c r="S6" s="8">
        <f>1-GEVCUM(KVD!$D$62,KVD!$E$62,KVD!$F$62,$A6)</f>
        <v>0.99999656418548322</v>
      </c>
      <c r="T6" s="3">
        <f t="shared" ref="T6:T33" si="13">-LN(1-S6)</f>
        <v>12.581256537609191</v>
      </c>
      <c r="U6" s="9">
        <f t="shared" ref="U6:U33" si="14">1/T6</f>
        <v>7.9483316869876766E-2</v>
      </c>
      <c r="V6" s="32">
        <f>KLASSEFREQUENTIEUITHERHALINGSTIJD(V$2,U5,U6,U7)</f>
        <v>28.002076795724136</v>
      </c>
    </row>
    <row r="7" spans="1:22" x14ac:dyDescent="0.25">
      <c r="A7" s="23">
        <f t="shared" si="4"/>
        <v>32.5</v>
      </c>
      <c r="B7" s="13">
        <f t="shared" si="5"/>
        <v>30</v>
      </c>
      <c r="C7" s="8">
        <f>1-GEVCUM(KVD!$D$58,KVD!$E$58,KVD!$F$58,$A7)</f>
        <v>0.39628072297899386</v>
      </c>
      <c r="D7" s="3">
        <f t="shared" si="0"/>
        <v>0.50464596223186686</v>
      </c>
      <c r="E7" s="3">
        <f t="shared" si="1"/>
        <v>1.9815872410379767</v>
      </c>
      <c r="F7" s="32">
        <f t="shared" si="6"/>
        <v>0.5647309404990255</v>
      </c>
      <c r="G7" s="8">
        <f>1-GEVCUM(KVD!$D$59,KVD!$E$59,KVD!$F$59,$A7)</f>
        <v>0.83524120679625014</v>
      </c>
      <c r="H7" s="3">
        <f t="shared" si="2"/>
        <v>1.8032727340116701</v>
      </c>
      <c r="I7" s="3">
        <f t="shared" si="3"/>
        <v>0.55454728568725109</v>
      </c>
      <c r="J7" s="13">
        <f t="shared" si="7"/>
        <v>1.4831660504632695</v>
      </c>
      <c r="K7" s="8">
        <f>1-GEVCUM(KVD!$D$60,KVD!$E$60,KVD!$F$60,$A7)</f>
        <v>0.99327616570393085</v>
      </c>
      <c r="L7" s="3">
        <f t="shared" si="8"/>
        <v>5.0020967073936289</v>
      </c>
      <c r="M7" s="3">
        <f t="shared" si="9"/>
        <v>0.19991616685896818</v>
      </c>
      <c r="N7" s="13">
        <f t="shared" si="10"/>
        <v>2.7185849814370471</v>
      </c>
      <c r="O7" s="8">
        <f>1-GEVCUM(KVD!$D$61,KVD!$E$61,KVD!$F$61,$A7)</f>
        <v>0.99991196150708905</v>
      </c>
      <c r="P7" s="3">
        <f t="shared" si="11"/>
        <v>9.3377364196834858</v>
      </c>
      <c r="Q7" s="3">
        <f t="shared" si="12"/>
        <v>0.10709233534286206</v>
      </c>
      <c r="R7" s="13">
        <f t="shared" ref="R7:R32" si="15">KLASSEFREQUENTIEUITHERHALINGSTIJD(R$2,Q6,Q7,Q8)</f>
        <v>2.8640043464754967</v>
      </c>
      <c r="S7" s="8">
        <f>1-GEVCUM(KVD!$D$62,KVD!$E$62,KVD!$F$62,$A7)</f>
        <v>0.99994888799838699</v>
      </c>
      <c r="T7" s="3">
        <f t="shared" si="13"/>
        <v>9.8814912231059431</v>
      </c>
      <c r="U7" s="9">
        <f t="shared" si="14"/>
        <v>0.10119930053286844</v>
      </c>
      <c r="V7" s="32">
        <f t="shared" ref="V7:V33" si="16">KLASSEFREQUENTIEUITHERHALINGSTIJD(V$2,U6,U7,U8)</f>
        <v>2.6997653145032476</v>
      </c>
    </row>
    <row r="8" spans="1:22" x14ac:dyDescent="0.25">
      <c r="A8" s="23">
        <f t="shared" si="4"/>
        <v>37.5</v>
      </c>
      <c r="B8" s="13">
        <f t="shared" si="5"/>
        <v>35</v>
      </c>
      <c r="C8" s="8">
        <f>1-GEVCUM(KVD!$D$58,KVD!$E$58,KVD!$F$58,$A8)</f>
        <v>0.2193484692369172</v>
      </c>
      <c r="D8" s="3">
        <f t="shared" si="0"/>
        <v>0.24762641211382638</v>
      </c>
      <c r="E8" s="3">
        <f t="shared" si="1"/>
        <v>4.0383414332245389</v>
      </c>
      <c r="F8" s="32">
        <f t="shared" si="6"/>
        <v>0.25701955011804045</v>
      </c>
      <c r="G8" s="8">
        <f>1-GEVCUM(KVD!$D$59,KVD!$E$59,KVD!$F$59,$A8)</f>
        <v>0.63540240467119613</v>
      </c>
      <c r="H8" s="3">
        <f t="shared" si="2"/>
        <v>1.008961012127388</v>
      </c>
      <c r="I8" s="3">
        <f t="shared" si="3"/>
        <v>0.99111857443481022</v>
      </c>
      <c r="J8" s="13">
        <f t="shared" si="7"/>
        <v>0.79431172188428212</v>
      </c>
      <c r="K8" s="8">
        <f>1-GEVCUM(KVD!$D$60,KVD!$E$60,KVD!$F$60,$A8)</f>
        <v>0.96138462424610438</v>
      </c>
      <c r="L8" s="3">
        <f t="shared" si="8"/>
        <v>3.2541047462327617</v>
      </c>
      <c r="M8" s="3">
        <f t="shared" si="9"/>
        <v>0.30730418286556022</v>
      </c>
      <c r="N8" s="13">
        <f t="shared" si="10"/>
        <v>1.7479919611608672</v>
      </c>
      <c r="O8" s="8">
        <f>1-GEVCUM(KVD!$D$61,KVD!$E$61,KVD!$F$61,$A8)</f>
        <v>0.99919300734435412</v>
      </c>
      <c r="P8" s="3">
        <f t="shared" si="11"/>
        <v>7.1221959905462988</v>
      </c>
      <c r="Q8" s="3">
        <f t="shared" si="12"/>
        <v>0.14040613335091559</v>
      </c>
      <c r="R8" s="13">
        <f t="shared" si="15"/>
        <v>2.215540429137187</v>
      </c>
      <c r="S8" s="8">
        <f>1-GEVCUM(KVD!$D$62,KVD!$E$62,KVD!$F$62,$A8)</f>
        <v>0.99956149710428988</v>
      </c>
      <c r="T8" s="3">
        <f t="shared" si="13"/>
        <v>7.7321441425019488</v>
      </c>
      <c r="U8" s="9">
        <f t="shared" si="14"/>
        <v>0.12933023254225345</v>
      </c>
      <c r="V8" s="32">
        <f t="shared" si="16"/>
        <v>2.1493470806039943</v>
      </c>
    </row>
    <row r="9" spans="1:22" x14ac:dyDescent="0.25">
      <c r="A9" s="23">
        <f t="shared" si="4"/>
        <v>42.5</v>
      </c>
      <c r="B9" s="13">
        <f t="shared" si="5"/>
        <v>40</v>
      </c>
      <c r="C9" s="8">
        <f>1-GEVCUM(KVD!$D$58,KVD!$E$58,KVD!$F$58,$A9)</f>
        <v>0.11826111614351276</v>
      </c>
      <c r="D9" s="3">
        <f t="shared" si="0"/>
        <v>0.12585931685614687</v>
      </c>
      <c r="E9" s="3">
        <f t="shared" si="1"/>
        <v>7.9453792137054711</v>
      </c>
      <c r="F9" s="32">
        <f t="shared" si="6"/>
        <v>0.12176709525767951</v>
      </c>
      <c r="G9" s="8">
        <f>1-GEVCUM(KVD!$D$59,KVD!$E$59,KVD!$F$59,$A9)</f>
        <v>0.43726723877450058</v>
      </c>
      <c r="H9" s="3">
        <f t="shared" si="2"/>
        <v>0.57495043276001245</v>
      </c>
      <c r="I9" s="3">
        <f t="shared" si="3"/>
        <v>1.739280367525883</v>
      </c>
      <c r="J9" s="13">
        <f t="shared" si="7"/>
        <v>0.43401057936737553</v>
      </c>
      <c r="K9" s="8">
        <f>1-GEVCUM(KVD!$D$60,KVD!$E$60,KVD!$F$60,$A9)</f>
        <v>0.88062641628364458</v>
      </c>
      <c r="L9" s="3">
        <f t="shared" si="8"/>
        <v>2.1254973444078074</v>
      </c>
      <c r="M9" s="3">
        <f t="shared" si="9"/>
        <v>0.47047812251142268</v>
      </c>
      <c r="N9" s="13">
        <f t="shared" si="10"/>
        <v>1.1286074018249543</v>
      </c>
      <c r="O9" s="8">
        <f>1-GEVCUM(KVD!$D$61,KVD!$E$61,KVD!$F$61,$A9)</f>
        <v>0.99554531925043932</v>
      </c>
      <c r="P9" s="3">
        <f t="shared" si="11"/>
        <v>5.4137998817807551</v>
      </c>
      <c r="Q9" s="3">
        <f t="shared" si="12"/>
        <v>0.18471314452633059</v>
      </c>
      <c r="R9" s="13">
        <f t="shared" si="15"/>
        <v>1.7083961087655437</v>
      </c>
      <c r="S9" s="8">
        <f>1-GEVCUM(KVD!$D$62,KVD!$E$62,KVD!$F$62,$A9)</f>
        <v>0.99758742259499533</v>
      </c>
      <c r="T9" s="3">
        <f t="shared" si="13"/>
        <v>6.0270596402898171</v>
      </c>
      <c r="U9" s="9">
        <f t="shared" si="14"/>
        <v>0.16591838469876399</v>
      </c>
      <c r="V9" s="32">
        <f t="shared" si="16"/>
        <v>1.7050845022121317</v>
      </c>
    </row>
    <row r="10" spans="1:22" x14ac:dyDescent="0.25">
      <c r="A10" s="23">
        <f t="shared" si="4"/>
        <v>47.5</v>
      </c>
      <c r="B10" s="13">
        <f t="shared" si="5"/>
        <v>45</v>
      </c>
      <c r="C10" s="8">
        <f>1-GEVCUM(KVD!$D$58,KVD!$E$58,KVD!$F$58,$A10)</f>
        <v>6.3907416165559505E-2</v>
      </c>
      <c r="D10" s="3">
        <f t="shared" si="0"/>
        <v>6.604089304321234E-2</v>
      </c>
      <c r="E10" s="3">
        <f t="shared" si="1"/>
        <v>15.142133213517766</v>
      </c>
      <c r="F10" s="32">
        <f t="shared" si="6"/>
        <v>5.9818423812934535E-2</v>
      </c>
      <c r="G10" s="8">
        <f>1-GEVCUM(KVD!$D$59,KVD!$E$59,KVD!$F$59,$A10)</f>
        <v>0.28344977884880174</v>
      </c>
      <c r="H10" s="3">
        <f t="shared" si="2"/>
        <v>0.33330694184479415</v>
      </c>
      <c r="I10" s="3">
        <f t="shared" si="3"/>
        <v>3.0002375422041299</v>
      </c>
      <c r="J10" s="13">
        <f t="shared" si="7"/>
        <v>0.24164349091521831</v>
      </c>
      <c r="K10" s="8">
        <f>1-GEVCUM(KVD!$D$60,KVD!$E$60,KVD!$F$60,$A10)</f>
        <v>0.7518743666714176</v>
      </c>
      <c r="L10" s="3">
        <f t="shared" si="8"/>
        <v>1.3938200750861769</v>
      </c>
      <c r="M10" s="3">
        <f t="shared" si="9"/>
        <v>0.7174527170862941</v>
      </c>
      <c r="N10" s="13">
        <f t="shared" si="10"/>
        <v>0.73167726932163046</v>
      </c>
      <c r="O10" s="8">
        <f>1-GEVCUM(KVD!$D$61,KVD!$E$61,KVD!$F$61,$A10)</f>
        <v>0.98344056648829259</v>
      </c>
      <c r="P10" s="3">
        <f t="shared" si="11"/>
        <v>4.1007993388403667</v>
      </c>
      <c r="Q10" s="3">
        <f t="shared" si="12"/>
        <v>0.24385489690475376</v>
      </c>
      <c r="R10" s="13">
        <f t="shared" si="15"/>
        <v>1.3130005429403884</v>
      </c>
      <c r="S10" s="8">
        <f>1-GEVCUM(KVD!$D$62,KVD!$E$62,KVD!$F$62,$A10)</f>
        <v>0.99071498093675969</v>
      </c>
      <c r="T10" s="3">
        <f t="shared" si="13"/>
        <v>4.6793530310573024</v>
      </c>
      <c r="U10" s="9">
        <f t="shared" si="14"/>
        <v>0.21370475648298104</v>
      </c>
      <c r="V10" s="32">
        <f t="shared" si="16"/>
        <v>1.3477066092325147</v>
      </c>
    </row>
    <row r="11" spans="1:22" x14ac:dyDescent="0.25">
      <c r="A11" s="23">
        <f t="shared" si="4"/>
        <v>52.5</v>
      </c>
      <c r="B11" s="13">
        <f t="shared" si="5"/>
        <v>50</v>
      </c>
      <c r="C11" s="8">
        <f>1-GEVCUM(KVD!$D$58,KVD!$E$58,KVD!$F$58,$A11)</f>
        <v>3.5043834274200325E-2</v>
      </c>
      <c r="D11" s="3">
        <f t="shared" si="0"/>
        <v>3.5672602793199941E-2</v>
      </c>
      <c r="E11" s="3">
        <f t="shared" si="1"/>
        <v>28.032717595549943</v>
      </c>
      <c r="F11" s="32">
        <f t="shared" si="6"/>
        <v>3.0368290250012399E-2</v>
      </c>
      <c r="G11" s="8">
        <f>1-GEVCUM(KVD!$D$59,KVD!$E$59,KVD!$F$59,$A11)</f>
        <v>0.17829152510152757</v>
      </c>
      <c r="H11" s="3">
        <f t="shared" si="2"/>
        <v>0.19636960023853478</v>
      </c>
      <c r="I11" s="3">
        <f t="shared" si="3"/>
        <v>5.0924379271805638</v>
      </c>
      <c r="J11" s="13">
        <f t="shared" si="7"/>
        <v>0.13693734160625937</v>
      </c>
      <c r="K11" s="8">
        <f>1-GEVCUM(KVD!$D$60,KVD!$E$60,KVD!$F$60,$A11)</f>
        <v>0.60051068888183479</v>
      </c>
      <c r="L11" s="3">
        <f t="shared" si="8"/>
        <v>0.91756826978289485</v>
      </c>
      <c r="M11" s="3">
        <f t="shared" si="9"/>
        <v>1.0898371630010804</v>
      </c>
      <c r="N11" s="13">
        <f t="shared" si="10"/>
        <v>0.47625180530328204</v>
      </c>
      <c r="O11" s="8">
        <f>1-GEVCUM(KVD!$D$61,KVD!$E$61,KVD!$F$61,$A11)</f>
        <v>0.95472912739389826</v>
      </c>
      <c r="P11" s="3">
        <f t="shared" si="11"/>
        <v>3.0950914421268951</v>
      </c>
      <c r="Q11" s="3">
        <f t="shared" si="12"/>
        <v>0.32309223126306624</v>
      </c>
      <c r="R11" s="13">
        <f t="shared" si="15"/>
        <v>1.0057078967134716</v>
      </c>
      <c r="S11" s="8">
        <f>1-GEVCUM(KVD!$D$62,KVD!$E$62,KVD!$F$62,$A11)</f>
        <v>0.97316737853111179</v>
      </c>
      <c r="T11" s="3">
        <f t="shared" si="13"/>
        <v>3.6181369126873886</v>
      </c>
      <c r="U11" s="9">
        <f t="shared" si="14"/>
        <v>0.27638533978451502</v>
      </c>
      <c r="V11" s="32">
        <f t="shared" si="16"/>
        <v>1.0612161183699138</v>
      </c>
    </row>
    <row r="12" spans="1:22" x14ac:dyDescent="0.25">
      <c r="A12" s="23">
        <f t="shared" si="4"/>
        <v>57.5</v>
      </c>
      <c r="B12" s="13">
        <f t="shared" si="5"/>
        <v>55</v>
      </c>
      <c r="C12" s="8">
        <f>1-GEVCUM(KVD!$D$58,KVD!$E$58,KVD!$F$58,$A12)</f>
        <v>1.9591936704396407E-2</v>
      </c>
      <c r="D12" s="3">
        <f t="shared" si="0"/>
        <v>1.9786402866280823E-2</v>
      </c>
      <c r="E12" s="3">
        <f t="shared" si="1"/>
        <v>50.539757365607827</v>
      </c>
      <c r="F12" s="32">
        <f t="shared" si="6"/>
        <v>1.5886199926919118E-2</v>
      </c>
      <c r="G12" s="8">
        <f>1-GEVCUM(KVD!$D$59,KVD!$E$59,KVD!$F$59,$A12)</f>
        <v>0.1108302405514533</v>
      </c>
      <c r="H12" s="3">
        <f t="shared" si="2"/>
        <v>0.11746710618773896</v>
      </c>
      <c r="I12" s="3">
        <f t="shared" si="3"/>
        <v>8.5130214955817003</v>
      </c>
      <c r="J12" s="13">
        <f t="shared" si="7"/>
        <v>7.8902494050795816E-2</v>
      </c>
      <c r="K12" s="8">
        <f>1-GEVCUM(KVD!$D$60,KVD!$E$60,KVD!$F$60,$A12)</f>
        <v>0.45466340014705897</v>
      </c>
      <c r="L12" s="3">
        <f t="shared" si="8"/>
        <v>0.60635206055511315</v>
      </c>
      <c r="M12" s="3">
        <f t="shared" si="9"/>
        <v>1.6492068965420907</v>
      </c>
      <c r="N12" s="13">
        <f t="shared" si="10"/>
        <v>0.3112162092277817</v>
      </c>
      <c r="O12" s="8">
        <f>1-GEVCUM(KVD!$D$61,KVD!$E$61,KVD!$F$61,$A12)</f>
        <v>0.9024536300946514</v>
      </c>
      <c r="P12" s="3">
        <f t="shared" si="11"/>
        <v>2.3274274252620257</v>
      </c>
      <c r="Q12" s="3">
        <f t="shared" si="12"/>
        <v>0.42965893980020381</v>
      </c>
      <c r="R12" s="13">
        <f t="shared" si="15"/>
        <v>0.7676640168648694</v>
      </c>
      <c r="S12" s="8">
        <f>1-GEVCUM(KVD!$D$62,KVD!$E$62,KVD!$F$62,$A12)</f>
        <v>0.93831807298478698</v>
      </c>
      <c r="T12" s="3">
        <f t="shared" si="13"/>
        <v>2.7857643080747994</v>
      </c>
      <c r="U12" s="9">
        <f t="shared" si="14"/>
        <v>0.35896791307915249</v>
      </c>
      <c r="V12" s="32">
        <f t="shared" si="16"/>
        <v>0.83237260461258922</v>
      </c>
    </row>
    <row r="13" spans="1:22" x14ac:dyDescent="0.25">
      <c r="A13" s="23">
        <f t="shared" si="4"/>
        <v>62.5</v>
      </c>
      <c r="B13" s="13">
        <f t="shared" si="5"/>
        <v>60</v>
      </c>
      <c r="C13" s="8">
        <f>1-GEVCUM(KVD!$D$58,KVD!$E$58,KVD!$F$58,$A13)</f>
        <v>1.1182004703668147E-2</v>
      </c>
      <c r="D13" s="3">
        <f t="shared" si="0"/>
        <v>1.1244993317763618E-2</v>
      </c>
      <c r="E13" s="3">
        <f t="shared" si="1"/>
        <v>88.928465472745884</v>
      </c>
      <c r="F13" s="32">
        <f t="shared" si="6"/>
        <v>8.5414095485172054E-3</v>
      </c>
      <c r="G13" s="8">
        <f>1-GEVCUM(KVD!$D$59,KVD!$E$59,KVD!$F$59,$A13)</f>
        <v>6.8803890173172344E-2</v>
      </c>
      <c r="H13" s="3">
        <f t="shared" si="2"/>
        <v>7.1285379605154978E-2</v>
      </c>
      <c r="I13" s="3">
        <f t="shared" si="3"/>
        <v>14.028121973102117</v>
      </c>
      <c r="J13" s="13">
        <f t="shared" si="7"/>
        <v>4.6181726582583987E-2</v>
      </c>
      <c r="K13" s="8">
        <f>1-GEVCUM(KVD!$D$60,KVD!$E$60,KVD!$F$60,$A13)</f>
        <v>0.33114942614646137</v>
      </c>
      <c r="L13" s="3">
        <f t="shared" si="8"/>
        <v>0.40219460127045503</v>
      </c>
      <c r="M13" s="3">
        <f t="shared" si="9"/>
        <v>2.4863585857224169</v>
      </c>
      <c r="N13" s="13">
        <f t="shared" si="10"/>
        <v>0.20415745928465812</v>
      </c>
      <c r="O13" s="8">
        <f>1-GEVCUM(KVD!$D$61,KVD!$E$61,KVD!$F$61,$A13)</f>
        <v>0.82510125647338506</v>
      </c>
      <c r="P13" s="3">
        <f t="shared" si="11"/>
        <v>1.7435480809364161</v>
      </c>
      <c r="Q13" s="3">
        <f t="shared" si="12"/>
        <v>0.57354311643813405</v>
      </c>
      <c r="R13" s="13">
        <f t="shared" si="15"/>
        <v>0.58387934432560984</v>
      </c>
      <c r="S13" s="8">
        <f>1-GEVCUM(KVD!$D$62,KVD!$E$62,KVD!$F$62,$A13)</f>
        <v>0.88181610454400883</v>
      </c>
      <c r="T13" s="3">
        <f t="shared" si="13"/>
        <v>2.1355134315500419</v>
      </c>
      <c r="U13" s="9">
        <f t="shared" si="14"/>
        <v>0.4682714635394073</v>
      </c>
      <c r="V13" s="32">
        <f t="shared" si="16"/>
        <v>0.65025087652475744</v>
      </c>
    </row>
    <row r="14" spans="1:22" x14ac:dyDescent="0.25">
      <c r="A14" s="23">
        <f t="shared" si="4"/>
        <v>67.5</v>
      </c>
      <c r="B14" s="13">
        <f t="shared" si="5"/>
        <v>65</v>
      </c>
      <c r="C14" s="8">
        <f>1-GEVCUM(KVD!$D$58,KVD!$E$58,KVD!$F$58,$A14)</f>
        <v>6.5141317303881729E-3</v>
      </c>
      <c r="D14" s="3">
        <f t="shared" si="0"/>
        <v>6.5354412790378513E-3</v>
      </c>
      <c r="E14" s="3">
        <f t="shared" si="1"/>
        <v>153.01185601765826</v>
      </c>
      <c r="F14" s="32">
        <f t="shared" si="6"/>
        <v>4.7095520387257662E-3</v>
      </c>
      <c r="G14" s="8">
        <f>1-GEVCUM(KVD!$D$59,KVD!$E$59,KVD!$F$59,$A14)</f>
        <v>4.2904181437629862E-2</v>
      </c>
      <c r="H14" s="3">
        <f t="shared" si="2"/>
        <v>4.3851768651620909E-2</v>
      </c>
      <c r="I14" s="3">
        <f t="shared" si="3"/>
        <v>22.804097320326363</v>
      </c>
      <c r="J14" s="13">
        <f t="shared" si="7"/>
        <v>2.7433610953534068E-2</v>
      </c>
      <c r="K14" s="8">
        <f>1-GEVCUM(KVD!$D$60,KVD!$E$60,KVD!$F$60,$A14)</f>
        <v>0.23490755095603955</v>
      </c>
      <c r="L14" s="3">
        <f t="shared" si="8"/>
        <v>0.26775860403370599</v>
      </c>
      <c r="M14" s="3">
        <f t="shared" si="9"/>
        <v>3.7347072509913368</v>
      </c>
      <c r="N14" s="13">
        <f t="shared" si="10"/>
        <v>0.13443599723674904</v>
      </c>
      <c r="O14" s="8">
        <f>1-GEVCUM(KVD!$D$61,KVD!$E$61,KVD!$F$61,$A14)</f>
        <v>0.72776117976250565</v>
      </c>
      <c r="P14" s="3">
        <f t="shared" si="11"/>
        <v>1.3010755823373192</v>
      </c>
      <c r="Q14" s="3">
        <f t="shared" si="12"/>
        <v>0.76859485611400724</v>
      </c>
      <c r="R14" s="13">
        <f t="shared" si="15"/>
        <v>0.44247249859909665</v>
      </c>
      <c r="S14" s="8">
        <f>1-GEVCUM(KVD!$D$62,KVD!$E$62,KVD!$F$62,$A14)</f>
        <v>0.80400161527943792</v>
      </c>
      <c r="T14" s="3">
        <f t="shared" si="13"/>
        <v>1.6296488610072009</v>
      </c>
      <c r="U14" s="9">
        <f t="shared" si="14"/>
        <v>0.61362912215454335</v>
      </c>
      <c r="V14" s="32">
        <f t="shared" si="16"/>
        <v>0.50586457054284129</v>
      </c>
    </row>
    <row r="15" spans="1:22" x14ac:dyDescent="0.25">
      <c r="A15" s="23">
        <f t="shared" si="4"/>
        <v>72.5</v>
      </c>
      <c r="B15" s="13">
        <f t="shared" si="5"/>
        <v>70</v>
      </c>
      <c r="C15" s="8">
        <f>1-GEVCUM(KVD!$D$58,KVD!$E$58,KVD!$F$58,$A15)</f>
        <v>3.870178602386698E-3</v>
      </c>
      <c r="D15" s="3">
        <f t="shared" si="0"/>
        <v>3.8776871227313697E-3</v>
      </c>
      <c r="E15" s="3">
        <f t="shared" si="1"/>
        <v>257.88568503577949</v>
      </c>
      <c r="F15" s="32">
        <f t="shared" si="6"/>
        <v>2.6577541563064817E-3</v>
      </c>
      <c r="G15" s="8">
        <f>1-GEVCUM(KVD!$D$59,KVD!$E$59,KVD!$F$59,$A15)</f>
        <v>2.6955252267314544E-2</v>
      </c>
      <c r="H15" s="3">
        <f t="shared" si="2"/>
        <v>2.7325208405838831E-2</v>
      </c>
      <c r="I15" s="3">
        <f t="shared" si="3"/>
        <v>36.596244213322109</v>
      </c>
      <c r="J15" s="13">
        <f t="shared" si="7"/>
        <v>1.6526560245782078E-2</v>
      </c>
      <c r="K15" s="8">
        <f>1-GEVCUM(KVD!$D$60,KVD!$E$60,KVD!$F$60,$A15)</f>
        <v>0.1638131719772391</v>
      </c>
      <c r="L15" s="3">
        <f t="shared" si="8"/>
        <v>0.17890321236890933</v>
      </c>
      <c r="M15" s="3">
        <f t="shared" si="9"/>
        <v>5.5896145561541903</v>
      </c>
      <c r="N15" s="13">
        <f t="shared" si="10"/>
        <v>8.8855391664796668E-2</v>
      </c>
      <c r="O15" s="8">
        <f>1-GEVCUM(KVD!$D$61,KVD!$E$61,KVD!$F$61,$A15)</f>
        <v>0.61978592430111445</v>
      </c>
      <c r="P15" s="3">
        <f t="shared" si="11"/>
        <v>0.96702082778541498</v>
      </c>
      <c r="Q15" s="3">
        <f t="shared" si="12"/>
        <v>1.0341038902854978</v>
      </c>
      <c r="R15" s="13">
        <f t="shared" si="15"/>
        <v>0.33405475455190425</v>
      </c>
      <c r="S15" s="8">
        <f>1-GEVCUM(KVD!$D$62,KVD!$E$62,KVD!$F$62,$A15)</f>
        <v>0.70997921524372842</v>
      </c>
      <c r="T15" s="3">
        <f t="shared" si="13"/>
        <v>1.2378026869965515</v>
      </c>
      <c r="U15" s="9">
        <f t="shared" si="14"/>
        <v>0.80788320344208941</v>
      </c>
      <c r="V15" s="32">
        <f t="shared" si="16"/>
        <v>0.39184617401064914</v>
      </c>
    </row>
    <row r="16" spans="1:22" x14ac:dyDescent="0.25">
      <c r="A16" s="23">
        <f t="shared" si="4"/>
        <v>77.5</v>
      </c>
      <c r="B16" s="13">
        <f t="shared" si="5"/>
        <v>75</v>
      </c>
      <c r="C16" s="8">
        <f>1-GEVCUM(KVD!$D$58,KVD!$E$58,KVD!$F$58,$A16)</f>
        <v>2.3425237403662535E-3</v>
      </c>
      <c r="D16" s="3">
        <f t="shared" si="0"/>
        <v>2.3452717414473184E-3</v>
      </c>
      <c r="E16" s="3">
        <f t="shared" si="1"/>
        <v>426.38982183910088</v>
      </c>
      <c r="F16" s="32">
        <f t="shared" si="6"/>
        <v>1.5324153812840513E-3</v>
      </c>
      <c r="G16" s="8">
        <f>1-GEVCUM(KVD!$D$59,KVD!$E$59,KVD!$F$59,$A16)</f>
        <v>1.7088488226365328E-2</v>
      </c>
      <c r="H16" s="3">
        <f t="shared" si="2"/>
        <v>1.7236181428454633E-2</v>
      </c>
      <c r="I16" s="3">
        <f t="shared" si="3"/>
        <v>58.017490947799701</v>
      </c>
      <c r="J16" s="13">
        <f t="shared" si="7"/>
        <v>1.0089026977384199E-2</v>
      </c>
      <c r="K16" s="8">
        <f>1-GEVCUM(KVD!$D$60,KVD!$E$60,KVD!$F$60,$A16)</f>
        <v>0.11304318494155008</v>
      </c>
      <c r="L16" s="3">
        <f t="shared" si="8"/>
        <v>0.11995898437587935</v>
      </c>
      <c r="M16" s="3">
        <f t="shared" si="9"/>
        <v>8.3361826144392914</v>
      </c>
      <c r="N16" s="13">
        <f t="shared" si="10"/>
        <v>5.894422799302998E-2</v>
      </c>
      <c r="O16" s="8">
        <f>1-GEVCUM(KVD!$D$61,KVD!$E$61,KVD!$F$61,$A16)</f>
        <v>0.51119434054998525</v>
      </c>
      <c r="P16" s="3">
        <f t="shared" si="11"/>
        <v>0.71579029293888463</v>
      </c>
      <c r="Q16" s="3">
        <f t="shared" si="12"/>
        <v>1.3970572245317969</v>
      </c>
      <c r="R16" s="13">
        <f t="shared" si="15"/>
        <v>0.25123053484653035</v>
      </c>
      <c r="S16" s="8">
        <f>1-GEVCUM(KVD!$D$62,KVD!$E$62,KVD!$F$62,$A16)</f>
        <v>0.6076601821717118</v>
      </c>
      <c r="T16" s="3">
        <f t="shared" si="13"/>
        <v>0.93562693250203244</v>
      </c>
      <c r="U16" s="9">
        <f t="shared" si="14"/>
        <v>1.0688020676423053</v>
      </c>
      <c r="V16" s="32">
        <f t="shared" si="16"/>
        <v>0.30217575449451894</v>
      </c>
    </row>
    <row r="17" spans="1:22" x14ac:dyDescent="0.25">
      <c r="A17" s="23">
        <f t="shared" si="4"/>
        <v>82.5</v>
      </c>
      <c r="B17" s="13">
        <f t="shared" si="5"/>
        <v>80</v>
      </c>
      <c r="C17" s="8">
        <f>1-GEVCUM(KVD!$D$58,KVD!$E$58,KVD!$F$58,$A17)</f>
        <v>1.4428897186437029E-3</v>
      </c>
      <c r="D17" s="3">
        <f t="shared" si="0"/>
        <v>1.4439316864308012E-3</v>
      </c>
      <c r="E17" s="3">
        <f t="shared" si="1"/>
        <v>692.55353933804258</v>
      </c>
      <c r="F17" s="32">
        <f t="shared" si="6"/>
        <v>9.0134005501651721E-4</v>
      </c>
      <c r="G17" s="8">
        <f>1-GEVCUM(KVD!$D$59,KVD!$E$59,KVD!$F$59,$A17)</f>
        <v>1.093872953223185E-2</v>
      </c>
      <c r="H17" s="3">
        <f t="shared" si="2"/>
        <v>1.0998997339268832E-2</v>
      </c>
      <c r="I17" s="3">
        <f t="shared" si="3"/>
        <v>90.917378116801686</v>
      </c>
      <c r="J17" s="13">
        <f t="shared" si="7"/>
        <v>6.2371840891858009E-3</v>
      </c>
      <c r="K17" s="8">
        <f>1-GEVCUM(KVD!$D$60,KVD!$E$60,KVD!$F$60,$A17)</f>
        <v>7.7544519420444935E-2</v>
      </c>
      <c r="L17" s="3">
        <f t="shared" si="8"/>
        <v>8.0716163766341248E-2</v>
      </c>
      <c r="M17" s="3">
        <f t="shared" si="9"/>
        <v>12.389092262794103</v>
      </c>
      <c r="N17" s="13">
        <f t="shared" si="10"/>
        <v>3.9242820609538098E-2</v>
      </c>
      <c r="O17" s="8">
        <f>1-GEVCUM(KVD!$D$61,KVD!$E$61,KVD!$F$61,$A17)</f>
        <v>0.40997897462914501</v>
      </c>
      <c r="P17" s="3">
        <f t="shared" si="11"/>
        <v>0.52759710649553881</v>
      </c>
      <c r="Q17" s="3">
        <f t="shared" si="12"/>
        <v>1.895385679126077</v>
      </c>
      <c r="R17" s="13">
        <f t="shared" si="15"/>
        <v>0.18819318644334582</v>
      </c>
      <c r="S17" s="8">
        <f>1-GEVCUM(KVD!$D$62,KVD!$E$62,KVD!$F$62,$A17)</f>
        <v>0.50523644976481885</v>
      </c>
      <c r="T17" s="3">
        <f t="shared" si="13"/>
        <v>0.7036753068296745</v>
      </c>
      <c r="U17" s="9">
        <f t="shared" si="14"/>
        <v>1.4211099782730492</v>
      </c>
      <c r="V17" s="32">
        <f t="shared" si="16"/>
        <v>0.23195162567235805</v>
      </c>
    </row>
    <row r="18" spans="1:22" x14ac:dyDescent="0.25">
      <c r="A18" s="23">
        <f t="shared" si="4"/>
        <v>87.5</v>
      </c>
      <c r="B18" s="13">
        <f t="shared" si="5"/>
        <v>85</v>
      </c>
      <c r="C18" s="8">
        <f>1-GEVCUM(KVD!$D$58,KVD!$E$58,KVD!$F$58,$A18)</f>
        <v>9.0345794418289493E-4</v>
      </c>
      <c r="D18" s="3">
        <f t="shared" si="0"/>
        <v>9.0386630828973957E-4</v>
      </c>
      <c r="E18" s="3">
        <f t="shared" si="1"/>
        <v>1106.3583085557873</v>
      </c>
      <c r="F18" s="32">
        <f t="shared" si="6"/>
        <v>5.400653781410616E-4</v>
      </c>
      <c r="G18" s="8">
        <f>1-GEVCUM(KVD!$D$59,KVD!$E$59,KVD!$F$59,$A18)</f>
        <v>7.0715139105043123E-3</v>
      </c>
      <c r="H18" s="3">
        <f t="shared" si="2"/>
        <v>7.0966355671494294E-3</v>
      </c>
      <c r="I18" s="3">
        <f t="shared" si="3"/>
        <v>140.91184344156468</v>
      </c>
      <c r="J18" s="13">
        <f t="shared" si="7"/>
        <v>3.9023617721194023E-3</v>
      </c>
      <c r="K18" s="8">
        <f>1-GEVCUM(KVD!$D$60,KVD!$E$60,KVD!$F$60,$A18)</f>
        <v>5.3038958104535627E-2</v>
      </c>
      <c r="L18" s="3">
        <f t="shared" si="8"/>
        <v>5.4497325084227201E-2</v>
      </c>
      <c r="M18" s="3">
        <f t="shared" si="9"/>
        <v>18.349524466649893</v>
      </c>
      <c r="N18" s="13">
        <f t="shared" si="10"/>
        <v>2.6218838682114047E-2</v>
      </c>
      <c r="O18" s="8">
        <f>1-GEVCUM(KVD!$D$61,KVD!$E$61,KVD!$F$61,$A18)</f>
        <v>0.3210435556318747</v>
      </c>
      <c r="P18" s="3">
        <f t="shared" si="11"/>
        <v>0.38719830021417756</v>
      </c>
      <c r="Q18" s="3">
        <f t="shared" si="12"/>
        <v>2.5826559658109374</v>
      </c>
      <c r="R18" s="13">
        <f t="shared" si="15"/>
        <v>0.14039880628136125</v>
      </c>
      <c r="S18" s="8">
        <f>1-GEVCUM(KVD!$D$62,KVD!$E$62,KVD!$F$62,$A18)</f>
        <v>0.40931847302740532</v>
      </c>
      <c r="T18" s="3">
        <f t="shared" si="13"/>
        <v>0.52647827827021021</v>
      </c>
      <c r="U18" s="9">
        <f t="shared" si="14"/>
        <v>1.8994135964841441</v>
      </c>
      <c r="V18" s="32">
        <f t="shared" si="16"/>
        <v>0.17719702855946429</v>
      </c>
    </row>
    <row r="19" spans="1:22" x14ac:dyDescent="0.25">
      <c r="A19" s="23">
        <f t="shared" si="4"/>
        <v>92.5</v>
      </c>
      <c r="B19" s="13">
        <f t="shared" si="5"/>
        <v>90</v>
      </c>
      <c r="C19" s="8">
        <f>1-GEVCUM(KVD!$D$58,KVD!$E$58,KVD!$F$58,$A19)</f>
        <v>5.74466286571651E-4</v>
      </c>
      <c r="D19" s="3">
        <f t="shared" si="0"/>
        <v>5.7463135554959056E-4</v>
      </c>
      <c r="E19" s="3">
        <f t="shared" si="1"/>
        <v>1740.2461427528212</v>
      </c>
      <c r="F19" s="32">
        <f t="shared" si="6"/>
        <v>3.2923495274014901E-4</v>
      </c>
      <c r="G19" s="8">
        <f>1-GEVCUM(KVD!$D$59,KVD!$E$59,KVD!$F$59,$A19)</f>
        <v>4.6164225815557014E-3</v>
      </c>
      <c r="H19" s="3">
        <f t="shared" si="2"/>
        <v>4.6271111683231511E-3</v>
      </c>
      <c r="I19" s="3">
        <f t="shared" si="3"/>
        <v>216.11756528477713</v>
      </c>
      <c r="J19" s="13">
        <f t="shared" si="7"/>
        <v>2.4695243988262783E-3</v>
      </c>
      <c r="K19" s="8">
        <f>1-GEVCUM(KVD!$D$60,KVD!$E$60,KVD!$F$60,$A19)</f>
        <v>3.6245917822184781E-2</v>
      </c>
      <c r="L19" s="3">
        <f t="shared" si="8"/>
        <v>3.6919118390802988E-2</v>
      </c>
      <c r="M19" s="3">
        <f t="shared" si="9"/>
        <v>27.0862372555763</v>
      </c>
      <c r="N19" s="13">
        <f t="shared" si="10"/>
        <v>1.7578206693424213E-2</v>
      </c>
      <c r="O19" s="8">
        <f>1-GEVCUM(KVD!$D$61,KVD!$E$61,KVD!$F$61,$A19)</f>
        <v>0.2464006935851244</v>
      </c>
      <c r="P19" s="3">
        <f t="shared" si="11"/>
        <v>0.28289447608283352</v>
      </c>
      <c r="Q19" s="3">
        <f t="shared" si="12"/>
        <v>3.5348869792254014</v>
      </c>
      <c r="R19" s="13">
        <f t="shared" si="15"/>
        <v>0.10430382413134404</v>
      </c>
      <c r="S19" s="8">
        <f>1-GEVCUM(KVD!$D$62,KVD!$E$62,KVD!$F$62,$A19)</f>
        <v>0.32414763201140417</v>
      </c>
      <c r="T19" s="3">
        <f t="shared" si="13"/>
        <v>0.39178061733927605</v>
      </c>
      <c r="U19" s="9">
        <f t="shared" si="14"/>
        <v>2.5524488852750347</v>
      </c>
      <c r="V19" s="32">
        <f t="shared" si="16"/>
        <v>0.13469766093093416</v>
      </c>
    </row>
    <row r="20" spans="1:22" x14ac:dyDescent="0.25">
      <c r="A20" s="23">
        <f t="shared" si="4"/>
        <v>97.5</v>
      </c>
      <c r="B20" s="13">
        <f t="shared" si="5"/>
        <v>95</v>
      </c>
      <c r="C20" s="8">
        <f>1-GEVCUM(KVD!$D$58,KVD!$E$58,KVD!$F$58,$A20)</f>
        <v>3.7058752045360244E-4</v>
      </c>
      <c r="D20" s="3">
        <f t="shared" si="0"/>
        <v>3.706562049783697E-4</v>
      </c>
      <c r="E20" s="3">
        <f t="shared" si="1"/>
        <v>2697.9178725966744</v>
      </c>
      <c r="F20" s="32">
        <f t="shared" si="6"/>
        <v>5.7463135554959056E-4</v>
      </c>
      <c r="G20" s="8">
        <f>1-GEVCUM(KVD!$D$59,KVD!$E$59,KVD!$F$59,$A20)</f>
        <v>3.0426402098702177E-3</v>
      </c>
      <c r="H20" s="3">
        <f t="shared" si="2"/>
        <v>3.0472784503142217E-3</v>
      </c>
      <c r="I20" s="3">
        <f t="shared" si="3"/>
        <v>328.16167485346949</v>
      </c>
      <c r="J20" s="13">
        <f t="shared" si="7"/>
        <v>1.5798327180089294E-3</v>
      </c>
      <c r="K20" s="8">
        <f>1-GEVCUM(KVD!$D$60,KVD!$E$60,KVD!$F$60,$A20)</f>
        <v>2.4781435796251028E-2</v>
      </c>
      <c r="L20" s="3">
        <f t="shared" si="8"/>
        <v>2.5093664692173005E-2</v>
      </c>
      <c r="M20" s="3">
        <f t="shared" si="9"/>
        <v>39.850695873525048</v>
      </c>
      <c r="N20" s="13">
        <f t="shared" si="10"/>
        <v>1.1825453698629983E-2</v>
      </c>
      <c r="O20" s="8">
        <f>1-GEVCUM(KVD!$D$61,KVD!$E$61,KVD!$F$61,$A20)</f>
        <v>0.18595526258118433</v>
      </c>
      <c r="P20" s="3">
        <f t="shared" si="11"/>
        <v>0.20573995451586577</v>
      </c>
      <c r="Q20" s="3">
        <f t="shared" si="12"/>
        <v>4.8605046227075173</v>
      </c>
      <c r="R20" s="13">
        <f t="shared" si="15"/>
        <v>7.7154521566967726E-2</v>
      </c>
      <c r="S20" s="8">
        <f>1-GEVCUM(KVD!$D$62,KVD!$E$62,KVD!$F$62,$A20)</f>
        <v>0.25167287273194039</v>
      </c>
      <c r="T20" s="3">
        <f t="shared" si="13"/>
        <v>0.28991506069127454</v>
      </c>
      <c r="U20" s="9">
        <f t="shared" si="14"/>
        <v>3.4492861378625737</v>
      </c>
      <c r="V20" s="32">
        <f t="shared" si="16"/>
        <v>0.10186555664800151</v>
      </c>
    </row>
    <row r="21" spans="1:22" x14ac:dyDescent="0.25">
      <c r="A21" s="23">
        <f t="shared" si="4"/>
        <v>102.5</v>
      </c>
      <c r="B21" s="13">
        <f t="shared" si="5"/>
        <v>100</v>
      </c>
      <c r="C21" s="8"/>
      <c r="D21" s="3"/>
      <c r="E21" s="3"/>
      <c r="F21" s="32"/>
      <c r="G21" s="8">
        <f>1-GEVCUM(KVD!$D$59,KVD!$E$59,KVD!$F$59,$A21)</f>
        <v>2.0240470925171339E-3</v>
      </c>
      <c r="H21" s="3">
        <f t="shared" si="2"/>
        <v>2.0260982440523743E-3</v>
      </c>
      <c r="I21" s="3">
        <f t="shared" si="3"/>
        <v>493.55948209101263</v>
      </c>
      <c r="J21" s="13">
        <f t="shared" si="7"/>
        <v>1.0211802062618475E-3</v>
      </c>
      <c r="K21" s="8">
        <f>1-GEVCUM(KVD!$D$60,KVD!$E$60,KVD!$F$60,$A21)</f>
        <v>1.6965976609628397E-2</v>
      </c>
      <c r="L21" s="3">
        <f t="shared" si="8"/>
        <v>1.7111547643129246E-2</v>
      </c>
      <c r="M21" s="3">
        <f t="shared" si="9"/>
        <v>58.440067541262252</v>
      </c>
      <c r="N21" s="13">
        <f t="shared" si="10"/>
        <v>7.982117049043759E-3</v>
      </c>
      <c r="O21" s="8">
        <f>1-GEVCUM(KVD!$D$61,KVD!$E$61,KVD!$F$61,$A21)</f>
        <v>0.13836300701747761</v>
      </c>
      <c r="P21" s="3">
        <f t="shared" si="11"/>
        <v>0.14892121884516454</v>
      </c>
      <c r="Q21" s="3">
        <f t="shared" si="12"/>
        <v>6.7149598140189406</v>
      </c>
      <c r="R21" s="13">
        <f t="shared" si="15"/>
        <v>5.6818735670701254E-2</v>
      </c>
      <c r="S21" s="8">
        <f>1-GEVCUM(KVD!$D$62,KVD!$E$62,KVD!$F$62,$A21)</f>
        <v>0.19207791302583399</v>
      </c>
      <c r="T21" s="3">
        <f t="shared" si="13"/>
        <v>0.21328965212259568</v>
      </c>
      <c r="U21" s="9">
        <f t="shared" si="14"/>
        <v>4.6884599887912755</v>
      </c>
      <c r="V21" s="32">
        <f t="shared" si="16"/>
        <v>7.662540856867886E-2</v>
      </c>
    </row>
    <row r="22" spans="1:22" x14ac:dyDescent="0.25">
      <c r="A22" s="23">
        <f t="shared" si="4"/>
        <v>107.5</v>
      </c>
      <c r="B22" s="13">
        <f t="shared" si="5"/>
        <v>105</v>
      </c>
      <c r="C22" s="8"/>
      <c r="D22" s="3"/>
      <c r="E22" s="3"/>
      <c r="F22" s="32"/>
      <c r="G22" s="8">
        <f>1-GEVCUM(KVD!$D$59,KVD!$E$59,KVD!$F$59,$A22)</f>
        <v>1.3585465818100051E-3</v>
      </c>
      <c r="H22" s="3">
        <f t="shared" si="2"/>
        <v>1.3594702428699733E-3</v>
      </c>
      <c r="I22" s="3">
        <f t="shared" si="3"/>
        <v>735.5806463912761</v>
      </c>
      <c r="J22" s="13">
        <f t="shared" si="7"/>
        <v>2.0260982440523743E-3</v>
      </c>
      <c r="K22" s="8">
        <f>1-GEVCUM(KVD!$D$60,KVD!$E$60,KVD!$F$60,$A22)</f>
        <v>1.1637613018964377E-2</v>
      </c>
      <c r="L22" s="3">
        <f t="shared" si="8"/>
        <v>1.1705860042362255E-2</v>
      </c>
      <c r="M22" s="3">
        <f t="shared" si="9"/>
        <v>85.427298496744967</v>
      </c>
      <c r="N22" s="13">
        <f t="shared" si="10"/>
        <v>5.405687600766991E-3</v>
      </c>
      <c r="O22" s="8">
        <f>1-GEVCUM(KVD!$D$61,KVD!$E$61,KVD!$F$61,$A22)</f>
        <v>0.10171644122812462</v>
      </c>
      <c r="P22" s="3">
        <f t="shared" si="11"/>
        <v>0.10726949351730349</v>
      </c>
      <c r="Q22" s="3">
        <f t="shared" si="12"/>
        <v>9.3223149211447662</v>
      </c>
      <c r="R22" s="13">
        <f t="shared" si="15"/>
        <v>4.1651725327861058E-2</v>
      </c>
      <c r="S22" s="8">
        <f>1-GEVCUM(KVD!$D$62,KVD!$E$62,KVD!$F$62,$A22)</f>
        <v>0.14441488632226562</v>
      </c>
      <c r="T22" s="3">
        <f t="shared" si="13"/>
        <v>0.15596970061887061</v>
      </c>
      <c r="U22" s="9">
        <f t="shared" si="14"/>
        <v>6.4115016957275035</v>
      </c>
      <c r="V22" s="32">
        <f t="shared" si="16"/>
        <v>5.731995150372507E-2</v>
      </c>
    </row>
    <row r="23" spans="1:22" x14ac:dyDescent="0.25">
      <c r="A23" s="23">
        <f t="shared" si="4"/>
        <v>112.5</v>
      </c>
      <c r="B23" s="13">
        <f t="shared" si="5"/>
        <v>110</v>
      </c>
      <c r="C23" s="8"/>
      <c r="D23" s="3"/>
      <c r="E23" s="3"/>
      <c r="F23" s="32"/>
      <c r="G23" s="8"/>
      <c r="H23" s="3"/>
      <c r="I23" s="3"/>
      <c r="J23" s="13"/>
      <c r="K23" s="8">
        <f>1-GEVCUM(KVD!$D$60,KVD!$E$60,KVD!$F$60,$A23)</f>
        <v>8.0009212026732612E-3</v>
      </c>
      <c r="L23" s="3">
        <f t="shared" si="8"/>
        <v>8.0331003294225149E-3</v>
      </c>
      <c r="M23" s="3">
        <f t="shared" si="9"/>
        <v>124.48493844118192</v>
      </c>
      <c r="N23" s="13">
        <f t="shared" si="10"/>
        <v>3.6727597129397396E-3</v>
      </c>
      <c r="O23" s="8">
        <f>1-GEVCUM(KVD!$D$61,KVD!$E$61,KVD!$F$61,$A23)</f>
        <v>7.3998916693723715E-2</v>
      </c>
      <c r="P23" s="3">
        <f t="shared" si="11"/>
        <v>7.6879874459453768E-2</v>
      </c>
      <c r="Q23" s="3">
        <f t="shared" si="12"/>
        <v>13.007305319253573</v>
      </c>
      <c r="R23" s="13">
        <f t="shared" si="15"/>
        <v>3.0389619057849718E-2</v>
      </c>
      <c r="S23" s="8">
        <f>1-GEVCUM(KVD!$D$62,KVD!$E$62,KVD!$F$62,$A23)</f>
        <v>0.10715136871967179</v>
      </c>
      <c r="T23" s="3">
        <f t="shared" si="13"/>
        <v>0.11333821831847458</v>
      </c>
      <c r="U23" s="9">
        <f t="shared" si="14"/>
        <v>8.8231491092444312</v>
      </c>
      <c r="V23" s="32">
        <f t="shared" si="16"/>
        <v>4.2631482300396012E-2</v>
      </c>
    </row>
    <row r="24" spans="1:22" x14ac:dyDescent="0.25">
      <c r="A24" s="23">
        <f t="shared" si="4"/>
        <v>117.5</v>
      </c>
      <c r="B24" s="13">
        <f t="shared" si="5"/>
        <v>115</v>
      </c>
      <c r="C24" s="8"/>
      <c r="D24" s="3"/>
      <c r="E24" s="3"/>
      <c r="F24" s="32"/>
      <c r="G24" s="8"/>
      <c r="H24" s="3"/>
      <c r="I24" s="3"/>
      <c r="J24" s="13"/>
      <c r="K24" s="8">
        <f>1-GEVCUM(KVD!$D$60,KVD!$E$60,KVD!$F$60,$A24)</f>
        <v>5.5145010181681942E-3</v>
      </c>
      <c r="L24" s="3">
        <f t="shared" si="8"/>
        <v>5.5297620092669775E-3</v>
      </c>
      <c r="M24" s="3">
        <f t="shared" si="9"/>
        <v>180.83960906891895</v>
      </c>
      <c r="N24" s="13">
        <f t="shared" si="10"/>
        <v>2.5033383201555374E-3</v>
      </c>
      <c r="O24" s="8">
        <f>1-GEVCUM(KVD!$D$61,KVD!$E$61,KVD!$F$61,$A24)</f>
        <v>5.3339559381627932E-2</v>
      </c>
      <c r="P24" s="3">
        <f t="shared" si="11"/>
        <v>5.4814813328201144E-2</v>
      </c>
      <c r="Q24" s="3">
        <f t="shared" si="12"/>
        <v>18.243243738011959</v>
      </c>
      <c r="R24" s="13">
        <f t="shared" si="15"/>
        <v>2.2065061131252624E-2</v>
      </c>
      <c r="S24" s="8">
        <f>1-GEVCUM(KVD!$D$62,KVD!$E$62,KVD!$F$62,$A24)</f>
        <v>7.8563320925134295E-2</v>
      </c>
      <c r="T24" s="3">
        <f t="shared" si="13"/>
        <v>8.182121929036483E-2</v>
      </c>
      <c r="U24" s="9">
        <f t="shared" si="14"/>
        <v>12.221768493222134</v>
      </c>
      <c r="V24" s="32">
        <f t="shared" si="16"/>
        <v>3.1516999028109768E-2</v>
      </c>
    </row>
    <row r="25" spans="1:22" x14ac:dyDescent="0.25">
      <c r="A25" s="23">
        <f t="shared" si="4"/>
        <v>122.5</v>
      </c>
      <c r="B25" s="13">
        <f t="shared" si="5"/>
        <v>120</v>
      </c>
      <c r="C25" s="8"/>
      <c r="D25" s="3"/>
      <c r="E25" s="3"/>
      <c r="F25" s="32"/>
      <c r="G25" s="8"/>
      <c r="H25" s="3"/>
      <c r="I25" s="3"/>
      <c r="J25" s="13"/>
      <c r="K25" s="8">
        <f>1-GEVCUM(KVD!$D$60,KVD!$E$60,KVD!$F$60,$A25)</f>
        <v>3.8108543344163026E-3</v>
      </c>
      <c r="L25" s="3">
        <f t="shared" si="8"/>
        <v>3.8181341405345718E-3</v>
      </c>
      <c r="M25" s="3">
        <f t="shared" si="9"/>
        <v>261.90803235110837</v>
      </c>
      <c r="N25" s="13">
        <f t="shared" si="10"/>
        <v>5.5297620092669775E-3</v>
      </c>
      <c r="O25" s="8">
        <f>1-GEVCUM(KVD!$D$61,KVD!$E$61,KVD!$F$61,$A25)</f>
        <v>3.8128244728031779E-2</v>
      </c>
      <c r="P25" s="3">
        <f t="shared" si="11"/>
        <v>3.8874147731168374E-2</v>
      </c>
      <c r="Q25" s="3">
        <f t="shared" si="12"/>
        <v>25.724036624942485</v>
      </c>
      <c r="R25" s="13">
        <f t="shared" si="15"/>
        <v>1.594066559703277E-2</v>
      </c>
      <c r="S25" s="8">
        <f>1-GEVCUM(KVD!$D$62,KVD!$E$62,KVD!$F$62,$A25)</f>
        <v>5.6978713111547563E-2</v>
      </c>
      <c r="T25" s="3">
        <f t="shared" si="13"/>
        <v>5.8666423020794736E-2</v>
      </c>
      <c r="U25" s="9">
        <f t="shared" si="14"/>
        <v>17.045525336452553</v>
      </c>
      <c r="V25" s="32">
        <f t="shared" si="16"/>
        <v>2.3154796269570094E-2</v>
      </c>
    </row>
    <row r="26" spans="1:22" x14ac:dyDescent="0.25">
      <c r="A26" s="23">
        <f t="shared" si="4"/>
        <v>127.5</v>
      </c>
      <c r="B26" s="13">
        <f t="shared" si="5"/>
        <v>125</v>
      </c>
      <c r="C26" s="8"/>
      <c r="D26" s="3"/>
      <c r="E26" s="3"/>
      <c r="F26" s="32"/>
      <c r="G26" s="8"/>
      <c r="H26" s="3"/>
      <c r="I26" s="3"/>
      <c r="J26" s="13"/>
      <c r="K26" s="8"/>
      <c r="L26" s="3"/>
      <c r="M26" s="3"/>
      <c r="N26" s="13"/>
      <c r="O26" s="8">
        <f>1-GEVCUM(KVD!$D$61,KVD!$E$61,KVD!$F$61,$A26)</f>
        <v>2.7044992796451339E-2</v>
      </c>
      <c r="P26" s="3">
        <f t="shared" si="11"/>
        <v>2.741743917716629E-2</v>
      </c>
      <c r="Q26" s="3">
        <f t="shared" si="12"/>
        <v>36.47313644203566</v>
      </c>
      <c r="R26" s="13">
        <f t="shared" si="15"/>
        <v>1.1456708554002083E-2</v>
      </c>
      <c r="S26" s="8">
        <f>1-GEVCUM(KVD!$D$62,KVD!$E$62,KVD!$F$62,$A26)</f>
        <v>4.0905586491079893E-2</v>
      </c>
      <c r="T26" s="3">
        <f t="shared" si="13"/>
        <v>4.1765758987413991E-2</v>
      </c>
      <c r="U26" s="9">
        <f t="shared" si="14"/>
        <v>23.943058243029835</v>
      </c>
      <c r="V26" s="32">
        <f t="shared" si="16"/>
        <v>1.6900664033380745E-2</v>
      </c>
    </row>
    <row r="27" spans="1:22" x14ac:dyDescent="0.25">
      <c r="A27" s="23">
        <f t="shared" si="4"/>
        <v>132.5</v>
      </c>
      <c r="B27" s="13">
        <f t="shared" si="5"/>
        <v>130</v>
      </c>
      <c r="C27" s="8"/>
      <c r="D27" s="3"/>
      <c r="E27" s="3"/>
      <c r="F27" s="32"/>
      <c r="G27" s="8"/>
      <c r="H27" s="3"/>
      <c r="I27" s="3"/>
      <c r="J27" s="13"/>
      <c r="K27" s="8"/>
      <c r="L27" s="3"/>
      <c r="M27" s="3"/>
      <c r="N27" s="13"/>
      <c r="O27" s="8">
        <f>1-GEVCUM(KVD!$D$61,KVD!$E$61,KVD!$F$61,$A27)</f>
        <v>1.9043608714263027E-2</v>
      </c>
      <c r="P27" s="3">
        <f t="shared" si="11"/>
        <v>1.9227273732337659E-2</v>
      </c>
      <c r="Q27" s="3">
        <f t="shared" si="12"/>
        <v>52.009453546091457</v>
      </c>
      <c r="R27" s="13">
        <f t="shared" si="15"/>
        <v>8.1901654448286315E-3</v>
      </c>
      <c r="S27" s="8">
        <f>1-GEVCUM(KVD!$D$62,KVD!$E$62,KVD!$F$62,$A27)</f>
        <v>2.9082375792235826E-2</v>
      </c>
      <c r="T27" s="3">
        <f t="shared" si="13"/>
        <v>2.9513650326910345E-2</v>
      </c>
      <c r="U27" s="9">
        <f t="shared" si="14"/>
        <v>33.882626815843473</v>
      </c>
      <c r="V27" s="32">
        <f t="shared" si="16"/>
        <v>1.2252108660503643E-2</v>
      </c>
    </row>
    <row r="28" spans="1:22" x14ac:dyDescent="0.25">
      <c r="A28" s="23">
        <f t="shared" si="4"/>
        <v>137.5</v>
      </c>
      <c r="B28" s="13">
        <f t="shared" si="5"/>
        <v>135</v>
      </c>
      <c r="C28" s="8"/>
      <c r="D28" s="3"/>
      <c r="E28" s="3"/>
      <c r="F28" s="32"/>
      <c r="G28" s="8"/>
      <c r="H28" s="3"/>
      <c r="I28" s="3"/>
      <c r="J28" s="13"/>
      <c r="K28" s="8"/>
      <c r="L28" s="3"/>
      <c r="M28" s="3"/>
      <c r="N28" s="13"/>
      <c r="O28" s="8">
        <f>1-GEVCUM(KVD!$D$61,KVD!$E$61,KVD!$F$61,$A28)</f>
        <v>1.3315077232902151E-2</v>
      </c>
      <c r="P28" s="3">
        <f t="shared" si="11"/>
        <v>1.3404517698824399E-2</v>
      </c>
      <c r="Q28" s="3">
        <f t="shared" si="12"/>
        <v>74.601714322604977</v>
      </c>
      <c r="R28" s="13">
        <f t="shared" si="15"/>
        <v>5.82275603351326E-3</v>
      </c>
      <c r="S28" s="8">
        <f>1-GEVCUM(KVD!$D$62,KVD!$E$62,KVD!$F$62,$A28)</f>
        <v>2.048174099031963E-2</v>
      </c>
      <c r="T28" s="3">
        <f t="shared" si="13"/>
        <v>2.0694400617962246E-2</v>
      </c>
      <c r="U28" s="9">
        <f t="shared" si="14"/>
        <v>48.322249987372132</v>
      </c>
      <c r="V28" s="32">
        <f t="shared" si="16"/>
        <v>8.8192497089481028E-3</v>
      </c>
    </row>
    <row r="29" spans="1:22" x14ac:dyDescent="0.25">
      <c r="A29" s="23">
        <f t="shared" si="4"/>
        <v>142.5</v>
      </c>
      <c r="B29" s="13">
        <f t="shared" si="5"/>
        <v>140</v>
      </c>
      <c r="C29" s="8"/>
      <c r="D29" s="3"/>
      <c r="E29" s="3"/>
      <c r="F29" s="32"/>
      <c r="G29" s="8"/>
      <c r="H29" s="3"/>
      <c r="I29" s="3"/>
      <c r="J29" s="13"/>
      <c r="K29" s="8"/>
      <c r="L29" s="3"/>
      <c r="M29" s="3"/>
      <c r="N29" s="13"/>
      <c r="O29" s="8">
        <f>1-GEVCUM(KVD!$D$61,KVD!$E$61,KVD!$F$61,$A29)</f>
        <v>9.2453985990512688E-3</v>
      </c>
      <c r="P29" s="3">
        <f t="shared" si="11"/>
        <v>9.2884025610870027E-3</v>
      </c>
      <c r="Q29" s="3">
        <f t="shared" si="12"/>
        <v>107.66113908428319</v>
      </c>
      <c r="R29" s="13">
        <f t="shared" si="15"/>
        <v>4.1161151377373962E-3</v>
      </c>
      <c r="S29" s="8">
        <f>1-GEVCUM(KVD!$D$62,KVD!$E$62,KVD!$F$62,$A29)</f>
        <v>1.4290063248107221E-2</v>
      </c>
      <c r="T29" s="3">
        <f t="shared" si="13"/>
        <v>1.439314945266588E-2</v>
      </c>
      <c r="U29" s="9">
        <f t="shared" si="14"/>
        <v>69.477497144642058</v>
      </c>
      <c r="V29" s="32">
        <f t="shared" si="16"/>
        <v>6.3012511652963659E-3</v>
      </c>
    </row>
    <row r="30" spans="1:22" x14ac:dyDescent="0.25">
      <c r="A30" s="23">
        <f t="shared" si="4"/>
        <v>147.5</v>
      </c>
      <c r="B30" s="13">
        <f t="shared" si="5"/>
        <v>145</v>
      </c>
      <c r="C30" s="8"/>
      <c r="D30" s="3"/>
      <c r="E30" s="3"/>
      <c r="F30" s="32"/>
      <c r="G30" s="8"/>
      <c r="H30" s="3"/>
      <c r="I30" s="3"/>
      <c r="J30" s="13"/>
      <c r="K30" s="8"/>
      <c r="L30" s="3"/>
      <c r="M30" s="3"/>
      <c r="N30" s="13"/>
      <c r="O30" s="8">
        <f>1-GEVCUM(KVD!$D$61,KVD!$E$61,KVD!$F$61,$A30)</f>
        <v>6.3754137103292363E-3</v>
      </c>
      <c r="P30" s="3">
        <f t="shared" si="11"/>
        <v>6.3958234536009261E-3</v>
      </c>
      <c r="Q30" s="3">
        <f t="shared" si="12"/>
        <v>156.35203305009739</v>
      </c>
      <c r="R30" s="13">
        <f t="shared" si="15"/>
        <v>2.8925791074860766E-3</v>
      </c>
      <c r="S30" s="8">
        <f>1-GEVCUM(KVD!$D$62,KVD!$E$62,KVD!$F$62,$A30)</f>
        <v>9.8767289488145282E-3</v>
      </c>
      <c r="T30" s="3">
        <f t="shared" si="13"/>
        <v>9.925827391683021E-3</v>
      </c>
      <c r="U30" s="9">
        <f t="shared" si="14"/>
        <v>100.74726877055235</v>
      </c>
      <c r="V30" s="32">
        <f t="shared" si="16"/>
        <v>4.4673220609828587E-3</v>
      </c>
    </row>
    <row r="31" spans="1:22" x14ac:dyDescent="0.25">
      <c r="A31" s="23">
        <f t="shared" si="4"/>
        <v>152.5</v>
      </c>
      <c r="B31" s="13">
        <f t="shared" si="5"/>
        <v>150</v>
      </c>
      <c r="C31" s="8"/>
      <c r="D31" s="3"/>
      <c r="E31" s="3"/>
      <c r="F31" s="32"/>
      <c r="G31" s="8"/>
      <c r="H31" s="3"/>
      <c r="I31" s="3"/>
      <c r="J31" s="13"/>
      <c r="K31" s="8"/>
      <c r="L31" s="3"/>
      <c r="M31" s="3"/>
      <c r="N31" s="13"/>
      <c r="O31" s="8">
        <f>1-GEVCUM(KVD!$D$61,KVD!$E$61,KVD!$F$61,$A31)</f>
        <v>4.3658843626999122E-3</v>
      </c>
      <c r="P31" s="3">
        <f t="shared" si="11"/>
        <v>4.375442666278216E-3</v>
      </c>
      <c r="Q31" s="3">
        <f t="shared" si="12"/>
        <v>228.54830385667182</v>
      </c>
      <c r="R31" s="13">
        <f t="shared" si="15"/>
        <v>2.0203807873227101E-3</v>
      </c>
      <c r="S31" s="8">
        <f>1-GEVCUM(KVD!$D$62,KVD!$E$62,KVD!$F$62,$A31)</f>
        <v>6.7613916972224519E-3</v>
      </c>
      <c r="T31" s="3">
        <f t="shared" si="13"/>
        <v>6.7843534669397142E-3</v>
      </c>
      <c r="U31" s="9">
        <f t="shared" si="14"/>
        <v>147.39798049630218</v>
      </c>
      <c r="V31" s="32">
        <f t="shared" si="16"/>
        <v>3.1414739247433076E-3</v>
      </c>
    </row>
    <row r="32" spans="1:22" x14ac:dyDescent="0.25">
      <c r="A32" s="23">
        <f t="shared" si="4"/>
        <v>157.5</v>
      </c>
      <c r="B32" s="13">
        <f t="shared" si="5"/>
        <v>155</v>
      </c>
      <c r="C32" s="8"/>
      <c r="D32" s="3"/>
      <c r="E32" s="3"/>
      <c r="F32" s="32"/>
      <c r="G32" s="8"/>
      <c r="H32" s="3"/>
      <c r="I32" s="3"/>
      <c r="J32" s="13"/>
      <c r="K32" s="8"/>
      <c r="L32" s="3"/>
      <c r="M32" s="3"/>
      <c r="N32" s="13"/>
      <c r="O32" s="8">
        <f>1-GEVCUM(KVD!$D$61,KVD!$E$61,KVD!$F$61,$A32)</f>
        <v>2.9687359206165276E-3</v>
      </c>
      <c r="P32" s="3">
        <f t="shared" si="11"/>
        <v>2.9731513581103424E-3</v>
      </c>
      <c r="Q32" s="3">
        <f t="shared" si="12"/>
        <v>336.34345499166716</v>
      </c>
      <c r="R32" s="13">
        <f t="shared" si="15"/>
        <v>4.375442666278216E-3</v>
      </c>
      <c r="S32" s="8">
        <f>1-GEVCUM(KVD!$D$62,KVD!$E$62,KVD!$F$62,$A32)</f>
        <v>4.5834637755873819E-3</v>
      </c>
      <c r="T32" s="3">
        <f t="shared" si="13"/>
        <v>4.5940000531032301E-3</v>
      </c>
      <c r="U32" s="9">
        <f t="shared" si="14"/>
        <v>217.67522604282595</v>
      </c>
      <c r="V32" s="32">
        <f t="shared" si="16"/>
        <v>2.1903534138364832E-3</v>
      </c>
    </row>
    <row r="33" spans="1:22" x14ac:dyDescent="0.25">
      <c r="A33" s="23">
        <f t="shared" si="4"/>
        <v>162.5</v>
      </c>
      <c r="B33" s="13">
        <f t="shared" si="5"/>
        <v>160</v>
      </c>
      <c r="C33" s="8"/>
      <c r="D33" s="3"/>
      <c r="E33" s="3"/>
      <c r="F33" s="32"/>
      <c r="G33" s="8"/>
      <c r="H33" s="3"/>
      <c r="I33" s="3"/>
      <c r="J33" s="13"/>
      <c r="K33" s="8"/>
      <c r="L33" s="3"/>
      <c r="M33" s="3"/>
      <c r="N33" s="13"/>
      <c r="O33" s="8"/>
      <c r="P33" s="3"/>
      <c r="Q33" s="3"/>
      <c r="R33" s="13"/>
      <c r="S33" s="8">
        <f>1-GEVCUM(KVD!$D$62,KVD!$E$62,KVD!$F$62,$A33)</f>
        <v>3.0756798591968781E-3</v>
      </c>
      <c r="T33" s="3">
        <f t="shared" si="13"/>
        <v>3.080419483367727E-3</v>
      </c>
      <c r="U33" s="9">
        <f t="shared" si="14"/>
        <v>324.63111124941042</v>
      </c>
      <c r="V33" s="32">
        <f t="shared" si="16"/>
        <v>4.5940000531032301E-3</v>
      </c>
    </row>
    <row r="34" spans="1:22" x14ac:dyDescent="0.25">
      <c r="A34" s="23">
        <f t="shared" si="4"/>
        <v>167.5</v>
      </c>
      <c r="B34" s="13">
        <f t="shared" si="5"/>
        <v>165</v>
      </c>
      <c r="C34" s="8"/>
      <c r="D34" s="3"/>
      <c r="E34" s="3"/>
      <c r="F34" s="32"/>
      <c r="G34" s="8"/>
      <c r="H34" s="3"/>
      <c r="I34" s="3"/>
      <c r="J34" s="13"/>
      <c r="K34" s="8"/>
      <c r="L34" s="3"/>
      <c r="M34" s="3"/>
      <c r="N34" s="13"/>
      <c r="O34" s="8"/>
      <c r="P34" s="3"/>
      <c r="Q34" s="3"/>
      <c r="R34" s="13"/>
      <c r="S34" s="8"/>
      <c r="T34" s="3"/>
      <c r="U34" s="9"/>
      <c r="V34" s="32"/>
    </row>
    <row r="35" spans="1:22" x14ac:dyDescent="0.25">
      <c r="A35" s="23">
        <f t="shared" si="4"/>
        <v>172.5</v>
      </c>
      <c r="B35" s="13">
        <f t="shared" si="5"/>
        <v>170</v>
      </c>
      <c r="C35" s="8"/>
      <c r="D35" s="3"/>
      <c r="E35" s="3"/>
      <c r="F35" s="32"/>
      <c r="G35" s="8"/>
      <c r="H35" s="3"/>
      <c r="I35" s="3"/>
      <c r="J35" s="13"/>
      <c r="K35" s="8"/>
      <c r="L35" s="3"/>
      <c r="M35" s="3"/>
      <c r="N35" s="13"/>
      <c r="O35" s="8"/>
      <c r="P35" s="3"/>
      <c r="Q35" s="3"/>
      <c r="R35" s="13"/>
      <c r="S35" s="8"/>
      <c r="T35" s="3"/>
      <c r="U35" s="9"/>
      <c r="V35" s="32"/>
    </row>
    <row r="36" spans="1:22" x14ac:dyDescent="0.25">
      <c r="A36" s="23">
        <f t="shared" si="4"/>
        <v>177.5</v>
      </c>
      <c r="B36" s="13">
        <f t="shared" si="5"/>
        <v>175</v>
      </c>
      <c r="C36" s="8"/>
      <c r="D36" s="3"/>
      <c r="E36" s="3"/>
      <c r="F36" s="32"/>
      <c r="G36" s="8"/>
      <c r="H36" s="3"/>
      <c r="I36" s="3"/>
      <c r="J36" s="13"/>
      <c r="K36" s="8"/>
      <c r="L36" s="3"/>
      <c r="M36" s="3"/>
      <c r="N36" s="13"/>
      <c r="O36" s="8"/>
      <c r="P36" s="3"/>
      <c r="Q36" s="3"/>
      <c r="R36" s="13"/>
      <c r="S36" s="8"/>
      <c r="T36" s="3"/>
      <c r="U36" s="9"/>
      <c r="V36" s="32"/>
    </row>
    <row r="37" spans="1:22" x14ac:dyDescent="0.25">
      <c r="A37" s="14">
        <f t="shared" si="4"/>
        <v>182.5</v>
      </c>
      <c r="B37" s="15">
        <f t="shared" si="5"/>
        <v>180</v>
      </c>
      <c r="C37" s="10"/>
      <c r="D37" s="4"/>
      <c r="E37" s="4"/>
      <c r="F37" s="33"/>
      <c r="G37" s="10"/>
      <c r="H37" s="4"/>
      <c r="I37" s="4"/>
      <c r="J37" s="15"/>
      <c r="K37" s="10"/>
      <c r="L37" s="4"/>
      <c r="M37" s="4"/>
      <c r="N37" s="15"/>
      <c r="O37" s="8"/>
      <c r="P37" s="3"/>
      <c r="Q37" s="3"/>
      <c r="R37" s="13"/>
      <c r="S37" s="8"/>
      <c r="T37" s="3"/>
      <c r="U37" s="9"/>
      <c r="V37" s="32"/>
    </row>
    <row r="38" spans="1:22" x14ac:dyDescent="0.25">
      <c r="A38" s="14">
        <f t="shared" si="4"/>
        <v>187.5</v>
      </c>
      <c r="B38" s="15">
        <f t="shared" si="5"/>
        <v>185</v>
      </c>
      <c r="O38" s="8"/>
      <c r="P38" s="3"/>
      <c r="Q38" s="3"/>
      <c r="R38" s="13"/>
      <c r="S38" s="8"/>
      <c r="T38" s="3"/>
      <c r="U38" s="9"/>
      <c r="V38" s="32"/>
    </row>
    <row r="39" spans="1:22" x14ac:dyDescent="0.25">
      <c r="A39" s="14">
        <f t="shared" si="4"/>
        <v>192.5</v>
      </c>
      <c r="B39" s="15">
        <f t="shared" si="5"/>
        <v>190</v>
      </c>
      <c r="O39" s="8"/>
      <c r="P39" s="3"/>
      <c r="Q39" s="3"/>
      <c r="R39" s="13"/>
      <c r="S39" s="8"/>
      <c r="T39" s="3"/>
      <c r="U39" s="9"/>
      <c r="V39" s="32"/>
    </row>
    <row r="40" spans="1:22" x14ac:dyDescent="0.25">
      <c r="A40" s="14">
        <f t="shared" si="4"/>
        <v>197.5</v>
      </c>
      <c r="B40" s="15">
        <f t="shared" si="5"/>
        <v>195</v>
      </c>
      <c r="S40" s="8"/>
      <c r="T40" s="3"/>
      <c r="U40" s="9"/>
      <c r="V40" s="32"/>
    </row>
  </sheetData>
  <mergeCells count="11">
    <mergeCell ref="S2:U2"/>
    <mergeCell ref="A1:B2"/>
    <mergeCell ref="C1:F1"/>
    <mergeCell ref="G1:J1"/>
    <mergeCell ref="K1:N1"/>
    <mergeCell ref="O1:R1"/>
    <mergeCell ref="S1:V1"/>
    <mergeCell ref="C2:E2"/>
    <mergeCell ref="G2:I2"/>
    <mergeCell ref="K2:M2"/>
    <mergeCell ref="O2:Q2"/>
  </mergeCells>
  <pageMargins left="0.7" right="0.7" top="0.75" bottom="0.75" header="0.3" footer="0.3"/>
  <pageSetup paperSize="0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Blad16">
    <tabColor theme="6"/>
  </sheetPr>
  <dimension ref="A1:V40"/>
  <sheetViews>
    <sheetView workbookViewId="0">
      <selection activeCell="A5" sqref="A5"/>
    </sheetView>
  </sheetViews>
  <sheetFormatPr defaultColWidth="9.140625" defaultRowHeight="15" x14ac:dyDescent="0.25"/>
  <cols>
    <col min="1" max="1" width="11.42578125" bestFit="1" customWidth="1"/>
    <col min="2" max="2" width="14" bestFit="1" customWidth="1"/>
    <col min="4" max="4" width="12.28515625" style="19" bestFit="1" customWidth="1"/>
    <col min="5" max="5" width="12" style="19" bestFit="1" customWidth="1"/>
    <col min="6" max="6" width="14.7109375" bestFit="1" customWidth="1"/>
    <col min="8" max="8" width="12.28515625" bestFit="1" customWidth="1"/>
    <col min="9" max="9" width="12" bestFit="1" customWidth="1"/>
    <col min="10" max="10" width="13.7109375" bestFit="1" customWidth="1"/>
    <col min="12" max="12" width="12.28515625" bestFit="1" customWidth="1"/>
    <col min="13" max="13" width="18.85546875" bestFit="1" customWidth="1"/>
    <col min="14" max="14" width="14.7109375" bestFit="1" customWidth="1"/>
    <col min="15" max="15" width="7.7109375" bestFit="1" customWidth="1"/>
    <col min="16" max="16" width="12.28515625" bestFit="1" customWidth="1"/>
    <col min="17" max="17" width="16.42578125" bestFit="1" customWidth="1"/>
    <col min="18" max="18" width="14.7109375" bestFit="1" customWidth="1"/>
    <col min="19" max="19" width="7.7109375" bestFit="1" customWidth="1"/>
    <col min="20" max="20" width="12.28515625" bestFit="1" customWidth="1"/>
    <col min="21" max="21" width="11.42578125" bestFit="1" customWidth="1"/>
    <col min="22" max="22" width="14.7109375" bestFit="1" customWidth="1"/>
  </cols>
  <sheetData>
    <row r="1" spans="1:22" x14ac:dyDescent="0.25">
      <c r="A1" s="50" t="s">
        <v>15</v>
      </c>
      <c r="B1" s="51"/>
      <c r="C1" s="63">
        <v>24</v>
      </c>
      <c r="D1" s="64"/>
      <c r="E1" s="64"/>
      <c r="F1" s="65"/>
      <c r="G1" s="66">
        <v>48</v>
      </c>
      <c r="H1" s="67"/>
      <c r="I1" s="67"/>
      <c r="J1" s="68"/>
      <c r="K1" s="66">
        <v>96</v>
      </c>
      <c r="L1" s="67"/>
      <c r="M1" s="67"/>
      <c r="N1" s="68"/>
      <c r="O1" s="66">
        <v>192</v>
      </c>
      <c r="P1" s="67"/>
      <c r="Q1" s="67"/>
      <c r="R1" s="68"/>
      <c r="S1" s="60">
        <v>216</v>
      </c>
      <c r="T1" s="61"/>
      <c r="U1" s="61"/>
      <c r="V1" s="62"/>
    </row>
    <row r="2" spans="1:22" x14ac:dyDescent="0.25">
      <c r="A2" s="52"/>
      <c r="B2" s="53"/>
      <c r="C2" s="57" t="s">
        <v>9</v>
      </c>
      <c r="D2" s="58"/>
      <c r="E2" s="59"/>
      <c r="F2" s="30">
        <f>24/24*365.25</f>
        <v>365.25</v>
      </c>
      <c r="G2" s="54" t="s">
        <v>9</v>
      </c>
      <c r="H2" s="55"/>
      <c r="I2" s="56"/>
      <c r="J2" s="30">
        <f>24/48*365.25</f>
        <v>182.625</v>
      </c>
      <c r="K2" s="54" t="s">
        <v>9</v>
      </c>
      <c r="L2" s="55"/>
      <c r="M2" s="56"/>
      <c r="N2" s="30">
        <f>24/96*365.25</f>
        <v>91.3125</v>
      </c>
      <c r="O2" s="54" t="s">
        <v>9</v>
      </c>
      <c r="P2" s="55"/>
      <c r="Q2" s="56"/>
      <c r="R2" s="30">
        <f>24/192*365.25</f>
        <v>45.65625</v>
      </c>
      <c r="S2" s="54" t="s">
        <v>9</v>
      </c>
      <c r="T2" s="55"/>
      <c r="U2" s="56"/>
      <c r="V2" s="30">
        <f>24/216*365.25</f>
        <v>40.583333333333329</v>
      </c>
    </row>
    <row r="3" spans="1:22" x14ac:dyDescent="0.25">
      <c r="A3" s="24" t="s">
        <v>12</v>
      </c>
      <c r="B3" s="27" t="s">
        <v>14</v>
      </c>
      <c r="C3" s="24" t="s">
        <v>8</v>
      </c>
      <c r="D3" s="25" t="s">
        <v>10</v>
      </c>
      <c r="E3" s="26" t="s">
        <v>17</v>
      </c>
      <c r="F3" s="36" t="s">
        <v>13</v>
      </c>
      <c r="G3" s="24" t="s">
        <v>8</v>
      </c>
      <c r="H3" s="25" t="s">
        <v>10</v>
      </c>
      <c r="I3" s="26" t="s">
        <v>17</v>
      </c>
      <c r="J3" s="29" t="s">
        <v>13</v>
      </c>
      <c r="K3" s="24" t="s">
        <v>8</v>
      </c>
      <c r="L3" s="25" t="s">
        <v>10</v>
      </c>
      <c r="M3" s="26" t="s">
        <v>17</v>
      </c>
      <c r="N3" s="29" t="s">
        <v>13</v>
      </c>
      <c r="O3" s="24" t="s">
        <v>8</v>
      </c>
      <c r="P3" s="25" t="s">
        <v>10</v>
      </c>
      <c r="Q3" s="26" t="s">
        <v>17</v>
      </c>
      <c r="R3" s="29" t="s">
        <v>13</v>
      </c>
      <c r="S3" s="24" t="s">
        <v>8</v>
      </c>
      <c r="T3" s="25" t="s">
        <v>10</v>
      </c>
      <c r="U3" s="26" t="s">
        <v>17</v>
      </c>
      <c r="V3" s="29" t="s">
        <v>13</v>
      </c>
    </row>
    <row r="4" spans="1:22" x14ac:dyDescent="0.25">
      <c r="A4" s="34">
        <v>17.5</v>
      </c>
      <c r="B4" s="12">
        <f>A4-2.5</f>
        <v>15</v>
      </c>
      <c r="C4" s="8">
        <f>1-GEVCUM(KVD!$D$63,KVD!$E$63,KVD!$F$63,$A4)</f>
        <v>0.99980963444816151</v>
      </c>
      <c r="D4" s="3">
        <f t="shared" ref="D4:D22" si="0">-LN(1-C4)</f>
        <v>8.5665643771939681</v>
      </c>
      <c r="E4" s="3">
        <f t="shared" ref="E4:E22" si="1">1/D4</f>
        <v>0.11673291134800953</v>
      </c>
      <c r="F4" s="31">
        <f>KLASSEFREQUENTIEUITHERHALINGSTIJD(F$2,E3,E4,E5)</f>
        <v>356.68343562280603</v>
      </c>
      <c r="G4" s="8">
        <f>1-GEVCUM(KVD!$D$64,KVD!$E$64,KVD!$F$64,$A4)</f>
        <v>0.99999879380234435</v>
      </c>
      <c r="H4" s="2">
        <f t="shared" ref="H4:H23" si="2">-LN(1-G4)</f>
        <v>13.628037579518342</v>
      </c>
      <c r="I4" s="2">
        <f t="shared" ref="I4:I23" si="3">1/H4</f>
        <v>7.3378136372540231E-2</v>
      </c>
      <c r="J4" s="12">
        <f>KLASSEFREQUENTIEUITHERHALINGSTIJD(J$2,I3,I4,I5)</f>
        <v>168.99696242048165</v>
      </c>
      <c r="K4" s="35"/>
      <c r="L4" s="2"/>
      <c r="M4" s="2"/>
      <c r="N4" s="12"/>
      <c r="O4" s="35"/>
      <c r="P4" s="2"/>
      <c r="Q4" s="2"/>
      <c r="R4" s="12"/>
      <c r="S4" s="35"/>
      <c r="T4" s="2"/>
      <c r="U4" s="37"/>
      <c r="V4" s="31"/>
    </row>
    <row r="5" spans="1:22" x14ac:dyDescent="0.25">
      <c r="A5" s="23">
        <f t="shared" ref="A5:A40" si="4">A4+5</f>
        <v>22.5</v>
      </c>
      <c r="B5" s="13">
        <f t="shared" ref="B5:B40" si="5">A5-2.5</f>
        <v>20</v>
      </c>
      <c r="C5" s="8">
        <f>1-GEVCUM(KVD!$D$63,KVD!$E$63,KVD!$F$63,$A5)</f>
        <v>0.99178731995333702</v>
      </c>
      <c r="D5" s="3">
        <f t="shared" si="0"/>
        <v>4.8020759719215595</v>
      </c>
      <c r="E5" s="3">
        <f t="shared" si="1"/>
        <v>0.20824326933750034</v>
      </c>
      <c r="F5" s="32">
        <f t="shared" ref="F5:F22" si="6">KLASSEFREQUENTIEUITHERHALINGSTIJD(F$2,E4,E5,E6)</f>
        <v>3.7644884052724086</v>
      </c>
      <c r="G5" s="8">
        <f>1-GEVCUM(KVD!$D$64,KVD!$E$64,KVD!$F$64,$A5)</f>
        <v>0.99977707878214994</v>
      </c>
      <c r="H5" s="3">
        <f t="shared" si="2"/>
        <v>8.408692132106955</v>
      </c>
      <c r="I5" s="3">
        <f t="shared" si="3"/>
        <v>0.11892455857453677</v>
      </c>
      <c r="J5" s="13">
        <f t="shared" ref="J5:J23" si="7">KLASSEFREQUENTIEUITHERHALINGSTIJD(J$2,I4,I5,I6)</f>
        <v>5.2193454474113867</v>
      </c>
      <c r="K5" s="8">
        <f>1-GEVCUM(KVD!$D$65,KVD!$E$65,KVD!$F$65,$A5)</f>
        <v>0.99999604616398163</v>
      </c>
      <c r="L5" s="3">
        <f t="shared" ref="L5:L25" si="8">-LN(1-K5)</f>
        <v>12.440824306416106</v>
      </c>
      <c r="M5" s="3">
        <f t="shared" ref="M5:M25" si="9">1/L5</f>
        <v>8.0380525869517341E-2</v>
      </c>
      <c r="N5" s="13">
        <f>KLASSEFREQUENTIEUITHERHALINGSTIJD(N$2,M4,M5,M6)</f>
        <v>78.871675693583896</v>
      </c>
      <c r="O5" s="8">
        <f>1-GEVCUM(KVD!$D$66,KVD!$E$66,KVD!$F$66,$A5)</f>
        <v>0.99999882696442466</v>
      </c>
      <c r="P5" s="3">
        <f t="shared" ref="P5:P31" si="10">-LN(1-O5)</f>
        <v>13.655915660243517</v>
      </c>
      <c r="Q5" s="3">
        <f t="shared" ref="Q5:Q31" si="11">1/P5</f>
        <v>7.3228337438499352E-2</v>
      </c>
      <c r="R5" s="13">
        <f>KLASSEFREQUENTIEUITHERHALINGSTIJD(R$2,Q4,Q5,Q6)</f>
        <v>32.000334339756485</v>
      </c>
      <c r="S5" s="8">
        <f>1-GEVCUM(KVD!$D$67,KVD!$E$67,KVD!$F$67,$A5)</f>
        <v>0.99999848397605584</v>
      </c>
      <c r="T5" s="3">
        <f t="shared" ref="T5" si="12">-LN(1-S5)</f>
        <v>13.399419476568577</v>
      </c>
      <c r="U5" s="9">
        <f t="shared" ref="U5" si="13">1/T5</f>
        <v>7.4630098844855886E-2</v>
      </c>
      <c r="V5" s="32">
        <f>KLASSEFREQUENTIEUITHERHALINGSTIJD(V$2,U4,U5,U6)</f>
        <v>27.183913856764754</v>
      </c>
    </row>
    <row r="6" spans="1:22" x14ac:dyDescent="0.25">
      <c r="A6" s="23">
        <f t="shared" si="4"/>
        <v>27.5</v>
      </c>
      <c r="B6" s="13">
        <f t="shared" si="5"/>
        <v>25</v>
      </c>
      <c r="C6" s="8">
        <f>1-GEVCUM(KVD!$D$63,KVD!$E$63,KVD!$F$63,$A6)</f>
        <v>0.9364402777257983</v>
      </c>
      <c r="D6" s="3">
        <f t="shared" si="0"/>
        <v>2.7557753068291198</v>
      </c>
      <c r="E6" s="3">
        <f t="shared" si="1"/>
        <v>0.36287428714593967</v>
      </c>
      <c r="F6" s="32">
        <f t="shared" si="6"/>
        <v>2.0463006650924398</v>
      </c>
      <c r="G6" s="8">
        <f>1-GEVCUM(KVD!$D$64,KVD!$E$64,KVD!$F$64,$A6)</f>
        <v>0.9947769082849911</v>
      </c>
      <c r="H6" s="3">
        <f t="shared" si="2"/>
        <v>5.2546657698489296</v>
      </c>
      <c r="I6" s="3">
        <f t="shared" si="3"/>
        <v>0.19030706115276858</v>
      </c>
      <c r="J6" s="13">
        <f t="shared" si="7"/>
        <v>3.1540263622580254</v>
      </c>
      <c r="K6" s="8">
        <f>1-GEVCUM(KVD!$D$65,KVD!$E$65,KVD!$F$65,$A6)</f>
        <v>0.99983994800065334</v>
      </c>
      <c r="L6" s="3">
        <f t="shared" si="8"/>
        <v>8.7400117996135851</v>
      </c>
      <c r="M6" s="3">
        <f t="shared" si="9"/>
        <v>0.11441632150247351</v>
      </c>
      <c r="N6" s="13">
        <f t="shared" ref="N6:N25" si="14">KLASSEFREQUENTIEUITHERHALINGSTIJD(N$2,M5,M6,M7)</f>
        <v>3.7008125068025208</v>
      </c>
      <c r="O6" s="8">
        <f>1-GEVCUM(KVD!$D$66,KVD!$E$66,KVD!$F$66,$A6)</f>
        <v>0.9999820686996298</v>
      </c>
      <c r="P6" s="3">
        <f t="shared" si="10"/>
        <v>10.928962748147152</v>
      </c>
      <c r="Q6" s="3">
        <f t="shared" si="11"/>
        <v>9.1499991631825775E-2</v>
      </c>
      <c r="R6" s="13">
        <f t="shared" ref="R6:R31" si="15">KLASSEFREQUENTIEUITHERHALINGSTIJD(R$2,Q5,Q6,Q7)</f>
        <v>2.7269529120963654</v>
      </c>
      <c r="S6" s="8">
        <f>1-GEVCUM(KVD!$D$67,KVD!$E$67,KVD!$F$67,$A6)</f>
        <v>0.99998245478910264</v>
      </c>
      <c r="T6" s="3">
        <f t="shared" ref="T6:T32" si="16">-LN(1-S6)</f>
        <v>10.950729528632982</v>
      </c>
      <c r="U6" s="9">
        <f t="shared" ref="U6:U32" si="17">1/T6</f>
        <v>9.131811696976809E-2</v>
      </c>
      <c r="V6" s="32">
        <f t="shared" ref="V6:V32" si="18">KLASSEFREQUENTIEUITHERHALINGSTIJD(V$2,U5,U6,U7)</f>
        <v>2.4486899479355948</v>
      </c>
    </row>
    <row r="7" spans="1:22" x14ac:dyDescent="0.25">
      <c r="A7" s="23">
        <f t="shared" si="4"/>
        <v>32.5</v>
      </c>
      <c r="B7" s="13">
        <f t="shared" si="5"/>
        <v>30</v>
      </c>
      <c r="C7" s="8">
        <f>1-GEVCUM(KVD!$D$63,KVD!$E$63,KVD!$F$63,$A7)</f>
        <v>0.80131938442855077</v>
      </c>
      <c r="D7" s="3">
        <f t="shared" si="0"/>
        <v>1.6160566904417208</v>
      </c>
      <c r="E7" s="3">
        <f t="shared" si="1"/>
        <v>0.61879017358398947</v>
      </c>
      <c r="F7" s="32">
        <f t="shared" si="6"/>
        <v>1.1397186163873989</v>
      </c>
      <c r="G7" s="8">
        <f>1-GEVCUM(KVD!$D$64,KVD!$E$64,KVD!$F$64,$A7)</f>
        <v>0.96397465564764773</v>
      </c>
      <c r="H7" s="3">
        <f t="shared" si="2"/>
        <v>3.3235325784371064</v>
      </c>
      <c r="I7" s="3">
        <f t="shared" si="3"/>
        <v>0.30088466906807054</v>
      </c>
      <c r="J7" s="13">
        <f t="shared" si="7"/>
        <v>1.9311331914118233</v>
      </c>
      <c r="K7" s="8">
        <f>1-GEVCUM(KVD!$D$65,KVD!$E$65,KVD!$F$65,$A7)</f>
        <v>0.99788102833053671</v>
      </c>
      <c r="L7" s="3">
        <f t="shared" si="8"/>
        <v>6.1568243695525586</v>
      </c>
      <c r="M7" s="3">
        <f t="shared" si="9"/>
        <v>0.16242139453340848</v>
      </c>
      <c r="N7" s="13">
        <f t="shared" si="14"/>
        <v>2.5831874300610265</v>
      </c>
      <c r="O7" s="8">
        <f>1-GEVCUM(KVD!$D$66,KVD!$E$66,KVD!$F$66,$A7)</f>
        <v>0.99983775575952549</v>
      </c>
      <c r="P7" s="3">
        <f t="shared" si="10"/>
        <v>8.7264077008560097</v>
      </c>
      <c r="Q7" s="3">
        <f t="shared" si="11"/>
        <v>0.1145946916853204</v>
      </c>
      <c r="R7" s="13">
        <f t="shared" si="15"/>
        <v>2.2025550472911419</v>
      </c>
      <c r="S7" s="8">
        <f>1-GEVCUM(KVD!$D$67,KVD!$E$67,KVD!$F$67,$A7)</f>
        <v>0.99986715136977855</v>
      </c>
      <c r="T7" s="3">
        <f t="shared" si="16"/>
        <v>8.9263001965270803</v>
      </c>
      <c r="U7" s="9">
        <f t="shared" si="17"/>
        <v>0.11202849758392239</v>
      </c>
      <c r="V7" s="32">
        <f t="shared" si="18"/>
        <v>2.0244293321059015</v>
      </c>
    </row>
    <row r="8" spans="1:22" x14ac:dyDescent="0.25">
      <c r="A8" s="23">
        <f t="shared" si="4"/>
        <v>37.5</v>
      </c>
      <c r="B8" s="13">
        <f t="shared" si="5"/>
        <v>35</v>
      </c>
      <c r="C8" s="8">
        <f>1-GEVCUM(KVD!$D$63,KVD!$E$63,KVD!$F$63,$A8)</f>
        <v>0.61972373429119165</v>
      </c>
      <c r="D8" s="3">
        <f t="shared" si="0"/>
        <v>0.96685727538592936</v>
      </c>
      <c r="E8" s="3">
        <f t="shared" si="1"/>
        <v>1.0342788180404823</v>
      </c>
      <c r="F8" s="32">
        <f t="shared" si="6"/>
        <v>0.6491994150557916</v>
      </c>
      <c r="G8" s="8">
        <f>1-GEVCUM(KVD!$D$64,KVD!$E$64,KVD!$F$64,$A8)</f>
        <v>0.88072592233187397</v>
      </c>
      <c r="H8" s="3">
        <f t="shared" si="2"/>
        <v>2.1263312604279236</v>
      </c>
      <c r="I8" s="3">
        <f t="shared" si="3"/>
        <v>0.47029360787309793</v>
      </c>
      <c r="J8" s="13">
        <f t="shared" si="7"/>
        <v>1.1972013180091827</v>
      </c>
      <c r="K8" s="8">
        <f>1-GEVCUM(KVD!$D$65,KVD!$E$65,KVD!$F$65,$A8)</f>
        <v>0.98707715681464436</v>
      </c>
      <c r="L8" s="3">
        <f t="shared" si="8"/>
        <v>4.3487587440514641</v>
      </c>
      <c r="M8" s="3">
        <f t="shared" si="9"/>
        <v>0.22995067302086367</v>
      </c>
      <c r="N8" s="13">
        <f t="shared" si="14"/>
        <v>1.8080656255010945</v>
      </c>
      <c r="O8" s="8">
        <f>1-GEVCUM(KVD!$D$66,KVD!$E$66,KVD!$F$66,$A8)</f>
        <v>0.99904266389544039</v>
      </c>
      <c r="P8" s="3">
        <f t="shared" si="10"/>
        <v>6.9513560217334858</v>
      </c>
      <c r="Q8" s="3">
        <f t="shared" si="11"/>
        <v>0.14385682403166947</v>
      </c>
      <c r="R8" s="13">
        <f t="shared" si="15"/>
        <v>1.7750516791225239</v>
      </c>
      <c r="S8" s="8">
        <f>1-GEVCUM(KVD!$D$67,KVD!$E$67,KVD!$F$67,$A8)</f>
        <v>0.99929459938833443</v>
      </c>
      <c r="T8" s="3">
        <f t="shared" si="16"/>
        <v>7.2567446730439373</v>
      </c>
      <c r="U8" s="9">
        <f t="shared" si="17"/>
        <v>0.13780283654110387</v>
      </c>
      <c r="V8" s="32">
        <f t="shared" si="18"/>
        <v>1.6695555234831421</v>
      </c>
    </row>
    <row r="9" spans="1:22" x14ac:dyDescent="0.25">
      <c r="A9" s="23">
        <f t="shared" si="4"/>
        <v>42.5</v>
      </c>
      <c r="B9" s="13">
        <f t="shared" si="5"/>
        <v>40</v>
      </c>
      <c r="C9" s="8">
        <f>1-GEVCUM(KVD!$D$63,KVD!$E$63,KVD!$F$63,$A9)</f>
        <v>0.4452816541261827</v>
      </c>
      <c r="D9" s="3">
        <f t="shared" si="0"/>
        <v>0.58929477896179405</v>
      </c>
      <c r="E9" s="3">
        <f t="shared" si="1"/>
        <v>1.6969435937677522</v>
      </c>
      <c r="F9" s="32">
        <f t="shared" si="6"/>
        <v>0.3775624964241352</v>
      </c>
      <c r="G9" s="8">
        <f>1-GEVCUM(KVD!$D$64,KVD!$E$64,KVD!$F$64,$A9)</f>
        <v>0.74723443214594987</v>
      </c>
      <c r="H9" s="3">
        <f t="shared" si="2"/>
        <v>1.3752928290948994</v>
      </c>
      <c r="I9" s="3">
        <f t="shared" si="3"/>
        <v>0.72711787544047246</v>
      </c>
      <c r="J9" s="13">
        <f t="shared" si="7"/>
        <v>0.75103843133302428</v>
      </c>
      <c r="K9" s="8">
        <f>1-GEVCUM(KVD!$D$65,KVD!$E$65,KVD!$F$65,$A9)</f>
        <v>0.95403073101475366</v>
      </c>
      <c r="L9" s="3">
        <f t="shared" si="8"/>
        <v>3.0797821712863849</v>
      </c>
      <c r="M9" s="3">
        <f t="shared" si="9"/>
        <v>0.32469828850990234</v>
      </c>
      <c r="N9" s="13">
        <f t="shared" si="14"/>
        <v>1.2689765727650797</v>
      </c>
      <c r="O9" s="8">
        <f>1-GEVCUM(KVD!$D$66,KVD!$E$66,KVD!$F$66,$A9)</f>
        <v>0.99601043539418954</v>
      </c>
      <c r="P9" s="3">
        <f t="shared" si="10"/>
        <v>5.5240731753852952</v>
      </c>
      <c r="Q9" s="3">
        <f t="shared" si="11"/>
        <v>0.18102584239033936</v>
      </c>
      <c r="R9" s="13">
        <f t="shared" si="15"/>
        <v>1.4272828463481906</v>
      </c>
      <c r="S9" s="8">
        <f>1-GEVCUM(KVD!$D$67,KVD!$E$67,KVD!$F$67,$A9)</f>
        <v>0.99721451687415064</v>
      </c>
      <c r="T9" s="3">
        <f t="shared" si="16"/>
        <v>5.8833339463751493</v>
      </c>
      <c r="U9" s="9">
        <f t="shared" si="17"/>
        <v>0.16997165367709952</v>
      </c>
      <c r="V9" s="32">
        <f t="shared" si="18"/>
        <v>1.3734107266687889</v>
      </c>
    </row>
    <row r="10" spans="1:22" x14ac:dyDescent="0.25">
      <c r="A10" s="23">
        <f t="shared" si="4"/>
        <v>47.5</v>
      </c>
      <c r="B10" s="13">
        <f t="shared" si="5"/>
        <v>45</v>
      </c>
      <c r="C10" s="8">
        <f>1-GEVCUM(KVD!$D$63,KVD!$E$63,KVD!$F$63,$A10)</f>
        <v>0.30610197541267326</v>
      </c>
      <c r="D10" s="3">
        <f t="shared" si="0"/>
        <v>0.36543026790684729</v>
      </c>
      <c r="E10" s="3">
        <f t="shared" si="1"/>
        <v>2.7365001966802387</v>
      </c>
      <c r="F10" s="32">
        <f t="shared" si="6"/>
        <v>0.22386451105494676</v>
      </c>
      <c r="G10" s="8">
        <f>1-GEVCUM(KVD!$D$64,KVD!$E$64,KVD!$F$64,$A10)</f>
        <v>0.59294564106225311</v>
      </c>
      <c r="H10" s="3">
        <f t="shared" si="2"/>
        <v>0.89880854241428643</v>
      </c>
      <c r="I10" s="3">
        <f t="shared" si="3"/>
        <v>1.1125839962689981</v>
      </c>
      <c r="J10" s="13">
        <f t="shared" si="7"/>
        <v>0.47648428668061293</v>
      </c>
      <c r="K10" s="8">
        <f>1-GEVCUM(KVD!$D$65,KVD!$E$65,KVD!$F$65,$A10)</f>
        <v>0.88772142766605133</v>
      </c>
      <c r="L10" s="3">
        <f t="shared" si="8"/>
        <v>2.1867722427995342</v>
      </c>
      <c r="M10" s="3">
        <f t="shared" si="9"/>
        <v>0.45729499415987968</v>
      </c>
      <c r="N10" s="13">
        <f t="shared" si="14"/>
        <v>0.89300992848685024</v>
      </c>
      <c r="O10" s="8">
        <f>1-GEVCUM(KVD!$D$66,KVD!$E$66,KVD!$F$66,$A10)</f>
        <v>0.98746311019713828</v>
      </c>
      <c r="P10" s="3">
        <f t="shared" si="10"/>
        <v>4.3790797966402719</v>
      </c>
      <c r="Q10" s="3">
        <f t="shared" si="11"/>
        <v>0.22835847859343014</v>
      </c>
      <c r="R10" s="13">
        <f t="shared" si="15"/>
        <v>1.1449933787450233</v>
      </c>
      <c r="S10" s="8">
        <f>1-GEVCUM(KVD!$D$67,KVD!$E$67,KVD!$F$67,$A10)</f>
        <v>0.99140408671345859</v>
      </c>
      <c r="T10" s="3">
        <f t="shared" si="16"/>
        <v>4.7564683879049863</v>
      </c>
      <c r="U10" s="9">
        <f t="shared" si="17"/>
        <v>0.21024001810731169</v>
      </c>
      <c r="V10" s="32">
        <f t="shared" si="18"/>
        <v>1.126865558470163</v>
      </c>
    </row>
    <row r="11" spans="1:22" x14ac:dyDescent="0.25">
      <c r="A11" s="23">
        <f t="shared" si="4"/>
        <v>52.5</v>
      </c>
      <c r="B11" s="13">
        <f t="shared" si="5"/>
        <v>50</v>
      </c>
      <c r="C11" s="8">
        <f>1-GEVCUM(KVD!$D$63,KVD!$E$63,KVD!$F$63,$A11)</f>
        <v>0.20569561433526995</v>
      </c>
      <c r="D11" s="3">
        <f t="shared" si="0"/>
        <v>0.23028853393725621</v>
      </c>
      <c r="E11" s="3">
        <f t="shared" si="1"/>
        <v>4.3423785930760115</v>
      </c>
      <c r="F11" s="32">
        <f t="shared" si="6"/>
        <v>0.13514173396959106</v>
      </c>
      <c r="G11" s="8">
        <f>1-GEVCUM(KVD!$D$64,KVD!$E$64,KVD!$F$64,$A11)</f>
        <v>0.44747093604178723</v>
      </c>
      <c r="H11" s="3">
        <f t="shared" si="2"/>
        <v>0.59324924252454081</v>
      </c>
      <c r="I11" s="3">
        <f t="shared" si="3"/>
        <v>1.6856321564685912</v>
      </c>
      <c r="J11" s="13">
        <f t="shared" si="7"/>
        <v>0.30555929988974562</v>
      </c>
      <c r="K11" s="8">
        <f>1-GEVCUM(KVD!$D$65,KVD!$E$65,KVD!$F$65,$A11)</f>
        <v>0.78916492419510609</v>
      </c>
      <c r="L11" s="3">
        <f t="shared" si="8"/>
        <v>1.5566790823954799</v>
      </c>
      <c r="M11" s="3">
        <f t="shared" si="9"/>
        <v>0.64239316331093754</v>
      </c>
      <c r="N11" s="13">
        <f t="shared" si="14"/>
        <v>0.63009316040405428</v>
      </c>
      <c r="O11" s="8">
        <f>1-GEVCUM(KVD!$D$66,KVD!$E$66,KVD!$F$66,$A11)</f>
        <v>0.96865546808715997</v>
      </c>
      <c r="P11" s="3">
        <f t="shared" si="10"/>
        <v>3.4627154477593178</v>
      </c>
      <c r="Q11" s="3">
        <f t="shared" si="11"/>
        <v>0.28879069478466335</v>
      </c>
      <c r="R11" s="13">
        <f t="shared" si="15"/>
        <v>0.91636434888095408</v>
      </c>
      <c r="S11" s="8">
        <f>1-GEVCUM(KVD!$D$67,KVD!$E$67,KVD!$F$67,$A11)</f>
        <v>0.97838467147901598</v>
      </c>
      <c r="T11" s="3">
        <f t="shared" si="16"/>
        <v>3.8343525622279135</v>
      </c>
      <c r="U11" s="9">
        <f t="shared" si="17"/>
        <v>0.26080022214205562</v>
      </c>
      <c r="V11" s="32">
        <f t="shared" si="18"/>
        <v>0.92211582567707273</v>
      </c>
    </row>
    <row r="12" spans="1:22" x14ac:dyDescent="0.25">
      <c r="A12" s="23">
        <f t="shared" si="4"/>
        <v>57.5</v>
      </c>
      <c r="B12" s="13">
        <f t="shared" si="5"/>
        <v>55</v>
      </c>
      <c r="C12" s="8">
        <f>1-GEVCUM(KVD!$D$63,KVD!$E$63,KVD!$F$63,$A12)</f>
        <v>0.13698748785087955</v>
      </c>
      <c r="D12" s="3">
        <f t="shared" si="0"/>
        <v>0.14732608956914012</v>
      </c>
      <c r="E12" s="3">
        <f t="shared" si="1"/>
        <v>6.7876640378125295</v>
      </c>
      <c r="F12" s="32">
        <f t="shared" si="6"/>
        <v>8.2962444368116117E-2</v>
      </c>
      <c r="G12" s="8">
        <f>1-GEVCUM(KVD!$D$64,KVD!$E$64,KVD!$F$64,$A12)</f>
        <v>0.32651155663284848</v>
      </c>
      <c r="H12" s="3">
        <f t="shared" si="2"/>
        <v>0.39528444234775423</v>
      </c>
      <c r="I12" s="3">
        <f t="shared" si="3"/>
        <v>2.5298238252449186</v>
      </c>
      <c r="J12" s="13">
        <f t="shared" si="7"/>
        <v>0.19796480017678664</v>
      </c>
      <c r="K12" s="8">
        <f>1-GEVCUM(KVD!$D$65,KVD!$E$65,KVD!$F$65,$A12)</f>
        <v>0.6707502592340433</v>
      </c>
      <c r="L12" s="3">
        <f t="shared" si="8"/>
        <v>1.1109387257061889</v>
      </c>
      <c r="M12" s="3">
        <f t="shared" si="9"/>
        <v>0.90013965384484307</v>
      </c>
      <c r="N12" s="13">
        <f t="shared" si="14"/>
        <v>0.44574035668929102</v>
      </c>
      <c r="O12" s="8">
        <f>1-GEVCUM(KVD!$D$66,KVD!$E$66,KVD!$F$66,$A12)</f>
        <v>0.93485235718431792</v>
      </c>
      <c r="P12" s="3">
        <f t="shared" si="10"/>
        <v>2.7310991569456107</v>
      </c>
      <c r="Q12" s="3">
        <f t="shared" si="11"/>
        <v>0.36615294521872055</v>
      </c>
      <c r="R12" s="13">
        <f t="shared" si="15"/>
        <v>0.73161629081370716</v>
      </c>
      <c r="S12" s="8">
        <f>1-GEVCUM(KVD!$D$67,KVD!$E$67,KVD!$F$67,$A12)</f>
        <v>0.95412561663775208</v>
      </c>
      <c r="T12" s="3">
        <f t="shared" si="16"/>
        <v>3.0818484143926113</v>
      </c>
      <c r="U12" s="9">
        <f t="shared" si="17"/>
        <v>0.32448059266311641</v>
      </c>
      <c r="V12" s="32">
        <f t="shared" si="18"/>
        <v>0.75250414783530228</v>
      </c>
    </row>
    <row r="13" spans="1:22" x14ac:dyDescent="0.25">
      <c r="A13" s="23">
        <f t="shared" si="4"/>
        <v>62.5</v>
      </c>
      <c r="B13" s="13">
        <f t="shared" si="5"/>
        <v>60</v>
      </c>
      <c r="C13" s="8">
        <f>1-GEVCUM(KVD!$D$63,KVD!$E$63,KVD!$F$63,$A13)</f>
        <v>9.1163639060039658E-2</v>
      </c>
      <c r="D13" s="3">
        <f t="shared" si="0"/>
        <v>9.5590221978518089E-2</v>
      </c>
      <c r="E13" s="3">
        <f t="shared" si="1"/>
        <v>10.461321035793066</v>
      </c>
      <c r="F13" s="32">
        <f t="shared" si="6"/>
        <v>5.1735867590622028E-2</v>
      </c>
      <c r="G13" s="8">
        <f>1-GEVCUM(KVD!$D$64,KVD!$E$64,KVD!$F$64,$A13)</f>
        <v>0.2333828825568981</v>
      </c>
      <c r="H13" s="3">
        <f t="shared" si="2"/>
        <v>0.26576779724361776</v>
      </c>
      <c r="I13" s="3">
        <f t="shared" si="3"/>
        <v>3.7626831029620327</v>
      </c>
      <c r="J13" s="13">
        <f t="shared" si="7"/>
        <v>0.12951664510413641</v>
      </c>
      <c r="K13" s="8">
        <f>1-GEVCUM(KVD!$D$65,KVD!$E$65,KVD!$F$65,$A13)</f>
        <v>0.54833059052019895</v>
      </c>
      <c r="L13" s="3">
        <f t="shared" si="8"/>
        <v>0.79480476170587788</v>
      </c>
      <c r="M13" s="3">
        <f t="shared" si="9"/>
        <v>1.2581706202334704</v>
      </c>
      <c r="N13" s="13">
        <f t="shared" si="14"/>
        <v>0.31613396400031102</v>
      </c>
      <c r="O13" s="8">
        <f>1-GEVCUM(KVD!$D$66,KVD!$E$66,KVD!$F$66,$A13)</f>
        <v>0.88333227809537984</v>
      </c>
      <c r="P13" s="3">
        <f t="shared" si="10"/>
        <v>2.148425368310948</v>
      </c>
      <c r="Q13" s="3">
        <f t="shared" si="11"/>
        <v>0.46545717377475454</v>
      </c>
      <c r="R13" s="13">
        <f t="shared" si="15"/>
        <v>0.58267378863466268</v>
      </c>
      <c r="S13" s="8">
        <f>1-GEVCUM(KVD!$D$67,KVD!$E$67,KVD!$F$67,$A13)</f>
        <v>0.91537154775920915</v>
      </c>
      <c r="T13" s="3">
        <f t="shared" si="16"/>
        <v>2.4694847540081746</v>
      </c>
      <c r="U13" s="9">
        <f t="shared" si="17"/>
        <v>0.40494277131167489</v>
      </c>
      <c r="V13" s="32">
        <f t="shared" si="18"/>
        <v>0.61236366038443668</v>
      </c>
    </row>
    <row r="14" spans="1:22" x14ac:dyDescent="0.25">
      <c r="A14" s="23">
        <f t="shared" si="4"/>
        <v>67.5</v>
      </c>
      <c r="B14" s="13">
        <f t="shared" si="5"/>
        <v>65</v>
      </c>
      <c r="C14" s="8">
        <f>1-GEVCUM(KVD!$D$63,KVD!$E$63,KVD!$F$63,$A14)</f>
        <v>6.0914766017308608E-2</v>
      </c>
      <c r="D14" s="3">
        <f t="shared" si="0"/>
        <v>6.2849032878732586E-2</v>
      </c>
      <c r="E14" s="3">
        <f t="shared" si="1"/>
        <v>15.911143802793326</v>
      </c>
      <c r="F14" s="32">
        <f t="shared" si="6"/>
        <v>3.2741189099785503E-2</v>
      </c>
      <c r="G14" s="8">
        <f>1-GEVCUM(KVD!$D$64,KVD!$E$64,KVD!$F$64,$A14)</f>
        <v>0.16492794206772421</v>
      </c>
      <c r="H14" s="3">
        <f t="shared" si="2"/>
        <v>0.1802372609297658</v>
      </c>
      <c r="I14" s="3">
        <f t="shared" si="3"/>
        <v>5.5482423270384489</v>
      </c>
      <c r="J14" s="13">
        <f t="shared" si="7"/>
        <v>8.5530536313851935E-2</v>
      </c>
      <c r="K14" s="8">
        <f>1-GEVCUM(KVD!$D$65,KVD!$E$65,KVD!$F$65,$A14)</f>
        <v>0.43448904280928002</v>
      </c>
      <c r="L14" s="3">
        <f t="shared" si="8"/>
        <v>0.57002560750276565</v>
      </c>
      <c r="M14" s="3">
        <f t="shared" si="9"/>
        <v>1.7543071518855373</v>
      </c>
      <c r="N14" s="13">
        <f t="shared" si="14"/>
        <v>0.22477915420311223</v>
      </c>
      <c r="O14" s="8">
        <f>1-GEVCUM(KVD!$D$66,KVD!$E$66,KVD!$F$66,$A14)</f>
        <v>0.81465622077861988</v>
      </c>
      <c r="P14" s="3">
        <f t="shared" si="10"/>
        <v>1.6855429122826935</v>
      </c>
      <c r="Q14" s="3">
        <f t="shared" si="11"/>
        <v>0.59328065320254708</v>
      </c>
      <c r="R14" s="13">
        <f t="shared" si="15"/>
        <v>0.46288245602825429</v>
      </c>
      <c r="S14" s="8">
        <f>1-GEVCUM(KVD!$D$67,KVD!$E$67,KVD!$F$67,$A14)</f>
        <v>0.86090573969324125</v>
      </c>
      <c r="T14" s="3">
        <f t="shared" si="16"/>
        <v>1.9726034439755522</v>
      </c>
      <c r="U14" s="9">
        <f t="shared" si="17"/>
        <v>0.50694426345754351</v>
      </c>
      <c r="V14" s="32">
        <f t="shared" si="18"/>
        <v>0.49688131003262237</v>
      </c>
    </row>
    <row r="15" spans="1:22" x14ac:dyDescent="0.25">
      <c r="A15" s="23">
        <f t="shared" si="4"/>
        <v>72.5</v>
      </c>
      <c r="B15" s="13">
        <f t="shared" si="5"/>
        <v>70</v>
      </c>
      <c r="C15" s="8">
        <f>1-GEVCUM(KVD!$D$63,KVD!$E$63,KVD!$F$63,$A15)</f>
        <v>4.0976942007890038E-2</v>
      </c>
      <c r="D15" s="3">
        <f t="shared" si="0"/>
        <v>4.1840160600352977E-2</v>
      </c>
      <c r="E15" s="3">
        <f t="shared" si="1"/>
        <v>23.900481873187736</v>
      </c>
      <c r="F15" s="32">
        <f t="shared" si="6"/>
        <v>2.1008872278379609E-2</v>
      </c>
      <c r="G15" s="8">
        <f>1-GEVCUM(KVD!$D$64,KVD!$E$64,KVD!$F$64,$A15)</f>
        <v>0.11595482420906977</v>
      </c>
      <c r="H15" s="3">
        <f t="shared" si="2"/>
        <v>0.12324711381435623</v>
      </c>
      <c r="I15" s="3">
        <f t="shared" si="3"/>
        <v>8.1137802667433885</v>
      </c>
      <c r="J15" s="13">
        <f t="shared" si="7"/>
        <v>5.6990147115409603E-2</v>
      </c>
      <c r="K15" s="8">
        <f>1-GEVCUM(KVD!$D$65,KVD!$E$65,KVD!$F$65,$A15)</f>
        <v>0.33621977888276888</v>
      </c>
      <c r="L15" s="3">
        <f t="shared" si="8"/>
        <v>0.40980417658906931</v>
      </c>
      <c r="M15" s="3">
        <f t="shared" si="9"/>
        <v>2.4401898690328596</v>
      </c>
      <c r="N15" s="13">
        <f t="shared" si="14"/>
        <v>0.16022143091369628</v>
      </c>
      <c r="O15" s="8">
        <f>1-GEVCUM(KVD!$D$66,KVD!$E$66,KVD!$F$66,$A15)</f>
        <v>0.73253654725049766</v>
      </c>
      <c r="P15" s="3">
        <f t="shared" si="10"/>
        <v>1.3187723472156587</v>
      </c>
      <c r="Q15" s="3">
        <f t="shared" si="11"/>
        <v>0.7582809892179746</v>
      </c>
      <c r="R15" s="13">
        <f t="shared" si="15"/>
        <v>0.36677056506703498</v>
      </c>
      <c r="S15" s="8">
        <f>1-GEVCUM(KVD!$D$67,KVD!$E$67,KVD!$F$67,$A15)</f>
        <v>0.7920847923028671</v>
      </c>
      <c r="T15" s="3">
        <f t="shared" si="16"/>
        <v>1.5706249376970762</v>
      </c>
      <c r="U15" s="9">
        <f t="shared" si="17"/>
        <v>0.63668924133233662</v>
      </c>
      <c r="V15" s="32">
        <f t="shared" si="18"/>
        <v>0.40197850627847598</v>
      </c>
    </row>
    <row r="16" spans="1:22" x14ac:dyDescent="0.25">
      <c r="A16" s="23">
        <f t="shared" si="4"/>
        <v>77.5</v>
      </c>
      <c r="B16" s="13">
        <f t="shared" si="5"/>
        <v>75</v>
      </c>
      <c r="C16" s="8">
        <f>1-GEVCUM(KVD!$D$63,KVD!$E$63,KVD!$F$63,$A16)</f>
        <v>2.7789459963159513E-2</v>
      </c>
      <c r="D16" s="3">
        <f t="shared" si="0"/>
        <v>2.8182893000995499E-2</v>
      </c>
      <c r="E16" s="3">
        <f t="shared" si="1"/>
        <v>35.482517709047016</v>
      </c>
      <c r="F16" s="32">
        <f t="shared" si="6"/>
        <v>1.3657267599357478E-2</v>
      </c>
      <c r="G16" s="8">
        <f>1-GEVCUM(KVD!$D$64,KVD!$E$64,KVD!$F$64,$A16)</f>
        <v>8.1439248788813479E-2</v>
      </c>
      <c r="H16" s="3">
        <f t="shared" si="2"/>
        <v>8.4947234749189762E-2</v>
      </c>
      <c r="I16" s="3">
        <f t="shared" si="3"/>
        <v>11.772013567628676</v>
      </c>
      <c r="J16" s="13">
        <f t="shared" si="7"/>
        <v>3.8299879065166464E-2</v>
      </c>
      <c r="K16" s="8">
        <f>1-GEVCUM(KVD!$D$65,KVD!$E$65,KVD!$F$65,$A16)</f>
        <v>0.2557058825629549</v>
      </c>
      <c r="L16" s="3">
        <f t="shared" si="8"/>
        <v>0.29531900313125442</v>
      </c>
      <c r="M16" s="3">
        <f t="shared" si="9"/>
        <v>3.3861688187927088</v>
      </c>
      <c r="N16" s="13">
        <f t="shared" si="14"/>
        <v>0.11448517345781495</v>
      </c>
      <c r="O16" s="8">
        <f>1-GEVCUM(KVD!$D$66,KVD!$E$66,KVD!$F$66,$A16)</f>
        <v>0.64260858146701605</v>
      </c>
      <c r="P16" s="3">
        <f t="shared" si="10"/>
        <v>1.0289236873649283</v>
      </c>
      <c r="Q16" s="3">
        <f t="shared" si="11"/>
        <v>0.97188937554834431</v>
      </c>
      <c r="R16" s="13">
        <f t="shared" si="15"/>
        <v>0.28984865985073038</v>
      </c>
      <c r="S16" s="8">
        <f>1-GEVCUM(KVD!$D$67,KVD!$E$67,KVD!$F$67,$A16)</f>
        <v>0.71246704960881924</v>
      </c>
      <c r="T16" s="3">
        <f t="shared" si="16"/>
        <v>1.2464178152556817</v>
      </c>
      <c r="U16" s="9">
        <f t="shared" si="17"/>
        <v>0.8022991871268037</v>
      </c>
      <c r="V16" s="32">
        <f t="shared" si="18"/>
        <v>0.32420712244139449</v>
      </c>
    </row>
    <row r="17" spans="1:22" x14ac:dyDescent="0.25">
      <c r="A17" s="23">
        <f t="shared" si="4"/>
        <v>82.5</v>
      </c>
      <c r="B17" s="13">
        <f t="shared" si="5"/>
        <v>80</v>
      </c>
      <c r="C17" s="8">
        <f>1-GEVCUM(KVD!$D$63,KVD!$E$63,KVD!$F$63,$A17)</f>
        <v>1.901200538373693E-2</v>
      </c>
      <c r="D17" s="3">
        <f t="shared" si="0"/>
        <v>1.9195057395568968E-2</v>
      </c>
      <c r="E17" s="3">
        <f t="shared" si="1"/>
        <v>52.09674445833344</v>
      </c>
      <c r="F17" s="32">
        <f t="shared" si="6"/>
        <v>8.9878356054265314E-3</v>
      </c>
      <c r="G17" s="8">
        <f>1-GEVCUM(KVD!$D$64,KVD!$E$64,KVD!$F$64,$A17)</f>
        <v>5.7289331304513635E-2</v>
      </c>
      <c r="H17" s="3">
        <f t="shared" si="2"/>
        <v>5.8995863474784603E-2</v>
      </c>
      <c r="I17" s="3">
        <f t="shared" si="3"/>
        <v>16.950340940893415</v>
      </c>
      <c r="J17" s="13">
        <f t="shared" si="7"/>
        <v>2.5951371274405152E-2</v>
      </c>
      <c r="K17" s="8">
        <f>1-GEVCUM(KVD!$D$65,KVD!$E$65,KVD!$F$65,$A17)</f>
        <v>0.19209967218912671</v>
      </c>
      <c r="L17" s="3">
        <f t="shared" si="8"/>
        <v>0.21331658473981269</v>
      </c>
      <c r="M17" s="3">
        <f t="shared" si="9"/>
        <v>4.687868039982563</v>
      </c>
      <c r="N17" s="13">
        <f t="shared" si="14"/>
        <v>8.2002418391441734E-2</v>
      </c>
      <c r="O17" s="8">
        <f>1-GEVCUM(KVD!$D$66,KVD!$E$66,KVD!$F$66,$A17)</f>
        <v>0.55088767695907292</v>
      </c>
      <c r="P17" s="3">
        <f t="shared" si="10"/>
        <v>0.80048225985067656</v>
      </c>
      <c r="Q17" s="3">
        <f t="shared" si="11"/>
        <v>1.2492469229568459</v>
      </c>
      <c r="R17" s="13">
        <f t="shared" si="15"/>
        <v>0.22844142751425178</v>
      </c>
      <c r="S17" s="8">
        <f>1-GEVCUM(KVD!$D$67,KVD!$E$67,KVD!$F$67,$A17)</f>
        <v>0.62684401898037678</v>
      </c>
      <c r="T17" s="3">
        <f t="shared" si="16"/>
        <v>0.98575876707380006</v>
      </c>
      <c r="U17" s="9">
        <f t="shared" si="17"/>
        <v>1.0144469756718215</v>
      </c>
      <c r="V17" s="32">
        <f t="shared" si="18"/>
        <v>0.26065904818188168</v>
      </c>
    </row>
    <row r="18" spans="1:22" x14ac:dyDescent="0.25">
      <c r="A18" s="23">
        <f t="shared" si="4"/>
        <v>87.5</v>
      </c>
      <c r="B18" s="13">
        <f t="shared" si="5"/>
        <v>85</v>
      </c>
      <c r="C18" s="8">
        <f>1-GEVCUM(KVD!$D$63,KVD!$E$63,KVD!$F$63,$A18)</f>
        <v>1.3124318971339255E-2</v>
      </c>
      <c r="D18" s="3">
        <f t="shared" si="0"/>
        <v>1.3211203886428604E-2</v>
      </c>
      <c r="E18" s="3">
        <f t="shared" si="1"/>
        <v>75.69332882881811</v>
      </c>
      <c r="F18" s="32">
        <f t="shared" si="6"/>
        <v>5.9838535091403661E-3</v>
      </c>
      <c r="G18" s="8">
        <f>1-GEVCUM(KVD!$D$64,KVD!$E$64,KVD!$F$64,$A18)</f>
        <v>4.0432468153320911E-2</v>
      </c>
      <c r="H18" s="3">
        <f t="shared" si="2"/>
        <v>4.1272583680014345E-2</v>
      </c>
      <c r="I18" s="3">
        <f t="shared" si="3"/>
        <v>24.229159185986109</v>
      </c>
      <c r="J18" s="13">
        <f t="shared" si="7"/>
        <v>1.7723279794770265E-2</v>
      </c>
      <c r="K18" s="8">
        <f>1-GEVCUM(KVD!$D$65,KVD!$E$65,KVD!$F$65,$A18)</f>
        <v>0.14310564486233857</v>
      </c>
      <c r="L18" s="3">
        <f t="shared" si="8"/>
        <v>0.15444064086795964</v>
      </c>
      <c r="M18" s="3">
        <f t="shared" si="9"/>
        <v>6.4749796062744824</v>
      </c>
      <c r="N18" s="13">
        <f t="shared" si="14"/>
        <v>5.8875943871853048E-2</v>
      </c>
      <c r="O18" s="8">
        <f>1-GEVCUM(KVD!$D$66,KVD!$E$66,KVD!$F$66,$A18)</f>
        <v>0.46255849199756383</v>
      </c>
      <c r="P18" s="3">
        <f t="shared" si="10"/>
        <v>0.62093534722294652</v>
      </c>
      <c r="Q18" s="3">
        <f t="shared" si="11"/>
        <v>1.6104736257524577</v>
      </c>
      <c r="R18" s="13">
        <f t="shared" si="15"/>
        <v>0.17954691262773004</v>
      </c>
      <c r="S18" s="8">
        <f>1-GEVCUM(KVD!$D$67,KVD!$E$67,KVD!$F$67,$A18)</f>
        <v>0.54015742767582275</v>
      </c>
      <c r="T18" s="3">
        <f t="shared" si="16"/>
        <v>0.7768710821523187</v>
      </c>
      <c r="U18" s="9">
        <f t="shared" si="17"/>
        <v>1.2872148583900218</v>
      </c>
      <c r="V18" s="32">
        <f t="shared" si="18"/>
        <v>0.20888768492148124</v>
      </c>
    </row>
    <row r="19" spans="1:22" x14ac:dyDescent="0.25">
      <c r="A19" s="23">
        <f t="shared" si="4"/>
        <v>92.5</v>
      </c>
      <c r="B19" s="13">
        <f t="shared" si="5"/>
        <v>90</v>
      </c>
      <c r="C19" s="8">
        <f>1-GEVCUM(KVD!$D$63,KVD!$E$63,KVD!$F$63,$A19)</f>
        <v>9.1413496627558155E-3</v>
      </c>
      <c r="D19" s="3">
        <f t="shared" si="0"/>
        <v>9.1833881882775695E-3</v>
      </c>
      <c r="E19" s="3">
        <f t="shared" si="1"/>
        <v>108.89227151221617</v>
      </c>
      <c r="F19" s="32">
        <f t="shared" si="6"/>
        <v>4.0278156981510323E-3</v>
      </c>
      <c r="G19" s="8">
        <f>1-GEVCUM(KVD!$D$64,KVD!$E$64,KVD!$F$64,$A19)</f>
        <v>2.86580492341173E-2</v>
      </c>
      <c r="H19" s="3">
        <f t="shared" si="2"/>
        <v>2.9076709178222498E-2</v>
      </c>
      <c r="I19" s="3">
        <f t="shared" si="3"/>
        <v>34.391787387995308</v>
      </c>
      <c r="J19" s="13">
        <f t="shared" si="7"/>
        <v>1.2195874501791843E-2</v>
      </c>
      <c r="K19" s="8">
        <f>1-GEVCUM(KVD!$D$65,KVD!$E$65,KVD!$F$65,$A19)</f>
        <v>0.10601804155086658</v>
      </c>
      <c r="L19" s="3">
        <f t="shared" si="8"/>
        <v>0.1120696847179234</v>
      </c>
      <c r="M19" s="3">
        <f t="shared" si="9"/>
        <v>8.923019659749869</v>
      </c>
      <c r="N19" s="13">
        <f t="shared" si="14"/>
        <v>4.2370956150036235E-2</v>
      </c>
      <c r="O19" s="8">
        <f>1-GEVCUM(KVD!$D$66,KVD!$E$66,KVD!$F$66,$A19)</f>
        <v>0.38135054853597539</v>
      </c>
      <c r="P19" s="3">
        <f t="shared" si="10"/>
        <v>0.48021648098863345</v>
      </c>
      <c r="Q19" s="3">
        <f t="shared" si="11"/>
        <v>2.0823941692739814</v>
      </c>
      <c r="R19" s="13">
        <f t="shared" si="15"/>
        <v>0.14071886623431307</v>
      </c>
      <c r="S19" s="8">
        <f>1-GEVCUM(KVD!$D$67,KVD!$E$67,KVD!$F$67,$A19)</f>
        <v>0.45666604779087405</v>
      </c>
      <c r="T19" s="3">
        <f t="shared" si="16"/>
        <v>0.61003113481488624</v>
      </c>
      <c r="U19" s="9">
        <f t="shared" si="17"/>
        <v>1.6392605933194699</v>
      </c>
      <c r="V19" s="32">
        <f t="shared" si="18"/>
        <v>0.16683994733743257</v>
      </c>
    </row>
    <row r="20" spans="1:22" x14ac:dyDescent="0.25">
      <c r="A20" s="23">
        <f t="shared" si="4"/>
        <v>97.5</v>
      </c>
      <c r="B20" s="13">
        <f t="shared" si="5"/>
        <v>95</v>
      </c>
      <c r="C20" s="8">
        <f>1-GEVCUM(KVD!$D$63,KVD!$E$63,KVD!$F$63,$A20)</f>
        <v>6.4231743718354828E-3</v>
      </c>
      <c r="D20" s="3">
        <f t="shared" si="0"/>
        <v>6.4438917180747813E-3</v>
      </c>
      <c r="E20" s="3">
        <f t="shared" si="1"/>
        <v>155.18572374440308</v>
      </c>
      <c r="F20" s="32">
        <f t="shared" si="6"/>
        <v>2.7394964702027874E-3</v>
      </c>
      <c r="G20" s="8">
        <f>1-GEVCUM(KVD!$D$64,KVD!$E$64,KVD!$F$64,$A20)</f>
        <v>2.0411958598495206E-2</v>
      </c>
      <c r="H20" s="3">
        <f t="shared" si="2"/>
        <v>2.062316161287172E-2</v>
      </c>
      <c r="I20" s="3">
        <f t="shared" si="3"/>
        <v>48.489170514760502</v>
      </c>
      <c r="J20" s="13">
        <f t="shared" si="7"/>
        <v>8.4535475653507823E-3</v>
      </c>
      <c r="K20" s="8">
        <f>1-GEVCUM(KVD!$D$65,KVD!$E$65,KVD!$F$65,$A20)</f>
        <v>7.8272966048533066E-2</v>
      </c>
      <c r="L20" s="3">
        <f t="shared" si="8"/>
        <v>8.150615788051721E-2</v>
      </c>
      <c r="M20" s="3">
        <f t="shared" si="9"/>
        <v>12.269011642849559</v>
      </c>
      <c r="N20" s="13">
        <f t="shared" si="14"/>
        <v>3.0563526837406194E-2</v>
      </c>
      <c r="O20" s="8">
        <f>1-GEVCUM(KVD!$D$66,KVD!$E$66,KVD!$F$66,$A20)</f>
        <v>0.30943684654747627</v>
      </c>
      <c r="P20" s="3">
        <f t="shared" si="10"/>
        <v>0.37024784984795656</v>
      </c>
      <c r="Q20" s="3">
        <f t="shared" si="11"/>
        <v>2.7008934701731642</v>
      </c>
      <c r="R20" s="13">
        <f t="shared" si="15"/>
        <v>0.1099686311406769</v>
      </c>
      <c r="S20" s="8">
        <f>1-GEVCUM(KVD!$D$67,KVD!$E$67,KVD!$F$67,$A20)</f>
        <v>0.37950246390233666</v>
      </c>
      <c r="T20" s="3">
        <f t="shared" si="16"/>
        <v>0.47723364517910055</v>
      </c>
      <c r="U20" s="9">
        <f t="shared" si="17"/>
        <v>2.095409680565818</v>
      </c>
      <c r="V20" s="32">
        <f t="shared" si="18"/>
        <v>0.13279748963578569</v>
      </c>
    </row>
    <row r="21" spans="1:22" x14ac:dyDescent="0.25">
      <c r="A21" s="23">
        <f t="shared" si="4"/>
        <v>102.5</v>
      </c>
      <c r="B21" s="13">
        <f t="shared" si="5"/>
        <v>100</v>
      </c>
      <c r="C21" s="8">
        <f>1-GEVCUM(KVD!$D$63,KVD!$E$63,KVD!$F$63,$A21)</f>
        <v>4.5517878453684713E-3</v>
      </c>
      <c r="D21" s="3">
        <f t="shared" si="0"/>
        <v>4.5621787751913339E-3</v>
      </c>
      <c r="E21" s="3">
        <f t="shared" si="1"/>
        <v>219.19351460707736</v>
      </c>
      <c r="F21" s="32">
        <f t="shared" si="6"/>
        <v>1.8817129428834482E-3</v>
      </c>
      <c r="G21" s="8">
        <f>1-GEVCUM(KVD!$D$64,KVD!$E$64,KVD!$F$64,$A21)</f>
        <v>1.4614640458519901E-2</v>
      </c>
      <c r="H21" s="3">
        <f t="shared" si="2"/>
        <v>1.4722486358858854E-2</v>
      </c>
      <c r="I21" s="3">
        <f t="shared" si="3"/>
        <v>67.923309665576781</v>
      </c>
      <c r="J21" s="13">
        <f t="shared" si="7"/>
        <v>5.9006752540128639E-3</v>
      </c>
      <c r="K21" s="8">
        <f>1-GEVCUM(KVD!$D$65,KVD!$E$65,KVD!$F$65,$A21)</f>
        <v>5.7679052999360381E-2</v>
      </c>
      <c r="L21" s="3">
        <f t="shared" si="8"/>
        <v>5.9409354364968463E-2</v>
      </c>
      <c r="M21" s="3">
        <f t="shared" si="9"/>
        <v>16.832366059000023</v>
      </c>
      <c r="N21" s="13">
        <f t="shared" si="14"/>
        <v>2.2096803515548748E-2</v>
      </c>
      <c r="O21" s="8">
        <f>1-GEVCUM(KVD!$D$66,KVD!$E$66,KVD!$F$66,$A21)</f>
        <v>0.24765806484398123</v>
      </c>
      <c r="P21" s="3">
        <f t="shared" si="10"/>
        <v>0.28456435737212898</v>
      </c>
      <c r="Q21" s="3">
        <f t="shared" si="11"/>
        <v>3.5141435464185182</v>
      </c>
      <c r="R21" s="13">
        <f t="shared" si="15"/>
        <v>8.5683492475827572E-2</v>
      </c>
      <c r="S21" s="8">
        <f>1-GEVCUM(KVD!$D$67,KVD!$E$67,KVD!$F$67,$A21)</f>
        <v>0.31058207836540486</v>
      </c>
      <c r="T21" s="3">
        <f t="shared" si="16"/>
        <v>0.37190762924858312</v>
      </c>
      <c r="U21" s="9">
        <f t="shared" si="17"/>
        <v>2.688839704688069</v>
      </c>
      <c r="V21" s="32">
        <f t="shared" si="18"/>
        <v>0.10532601593051744</v>
      </c>
    </row>
    <row r="22" spans="1:22" x14ac:dyDescent="0.25">
      <c r="A22" s="23">
        <f t="shared" si="4"/>
        <v>107.5</v>
      </c>
      <c r="B22" s="13">
        <f t="shared" si="5"/>
        <v>105</v>
      </c>
      <c r="C22" s="8">
        <f>1-GEVCUM(KVD!$D$63,KVD!$E$63,KVD!$F$63,$A22)</f>
        <v>3.2521996716718959E-3</v>
      </c>
      <c r="D22" s="3">
        <f t="shared" si="0"/>
        <v>3.2574995670223519E-3</v>
      </c>
      <c r="E22" s="3">
        <f t="shared" si="1"/>
        <v>306.98392414955566</v>
      </c>
      <c r="F22" s="32">
        <f t="shared" si="6"/>
        <v>4.5621787751913339E-3</v>
      </c>
      <c r="G22" s="8">
        <f>1-GEVCUM(KVD!$D$64,KVD!$E$64,KVD!$F$64,$A22)</f>
        <v>1.0520203848486953E-2</v>
      </c>
      <c r="H22" s="3">
        <f t="shared" si="2"/>
        <v>1.0575932387978762E-2</v>
      </c>
      <c r="I22" s="3">
        <f t="shared" si="3"/>
        <v>94.554310987904941</v>
      </c>
      <c r="J22" s="13">
        <f t="shared" si="7"/>
        <v>4.1465539708800941E-3</v>
      </c>
      <c r="K22" s="8">
        <f>1-GEVCUM(KVD!$D$65,KVD!$E$65,KVD!$F$65,$A22)</f>
        <v>4.2469627194141824E-2</v>
      </c>
      <c r="L22" s="3">
        <f t="shared" si="8"/>
        <v>4.3397837484368589E-2</v>
      </c>
      <c r="M22" s="3">
        <f t="shared" si="9"/>
        <v>23.042622811797678</v>
      </c>
      <c r="N22" s="13">
        <f t="shared" si="14"/>
        <v>1.6011516880599874E-2</v>
      </c>
      <c r="O22" s="8">
        <f>1-GEVCUM(KVD!$D$66,KVD!$E$66,KVD!$F$66,$A22)</f>
        <v>0.19587896484777712</v>
      </c>
      <c r="P22" s="3">
        <f t="shared" si="10"/>
        <v>0.21800547989925712</v>
      </c>
      <c r="Q22" s="3">
        <f t="shared" si="11"/>
        <v>4.5870406581619498</v>
      </c>
      <c r="R22" s="13">
        <f t="shared" si="15"/>
        <v>6.6558877472871897E-2</v>
      </c>
      <c r="S22" s="8">
        <f>1-GEVCUM(KVD!$D$67,KVD!$E$67,KVD!$F$67,$A22)</f>
        <v>0.25074505152574234</v>
      </c>
      <c r="T22" s="3">
        <f t="shared" si="16"/>
        <v>0.28867596823692743</v>
      </c>
      <c r="U22" s="9">
        <f t="shared" si="17"/>
        <v>3.464091611461269</v>
      </c>
      <c r="V22" s="32">
        <f t="shared" si="18"/>
        <v>8.3231661011655689E-2</v>
      </c>
    </row>
    <row r="23" spans="1:22" x14ac:dyDescent="0.25">
      <c r="A23" s="23">
        <f t="shared" si="4"/>
        <v>112.5</v>
      </c>
      <c r="B23" s="13">
        <f t="shared" si="5"/>
        <v>110</v>
      </c>
      <c r="C23" s="8"/>
      <c r="D23" s="3"/>
      <c r="E23" s="3"/>
      <c r="F23" s="32"/>
      <c r="G23" s="8">
        <f>1-GEVCUM(KVD!$D$64,KVD!$E$64,KVD!$F$64,$A23)</f>
        <v>7.613958421154976E-3</v>
      </c>
      <c r="H23" s="3">
        <f t="shared" si="2"/>
        <v>7.6430925809771143E-3</v>
      </c>
      <c r="I23" s="3">
        <f t="shared" si="3"/>
        <v>130.83709106035155</v>
      </c>
      <c r="J23" s="13">
        <f t="shared" si="7"/>
        <v>1.0575932387978762E-2</v>
      </c>
      <c r="K23" s="8">
        <f>1-GEVCUM(KVD!$D$65,KVD!$E$65,KVD!$F$65,$A23)</f>
        <v>3.1270632587172109E-2</v>
      </c>
      <c r="L23" s="3">
        <f t="shared" si="8"/>
        <v>3.1769996695889459E-2</v>
      </c>
      <c r="M23" s="3">
        <f t="shared" si="9"/>
        <v>31.476238715800193</v>
      </c>
      <c r="N23" s="13">
        <f t="shared" si="14"/>
        <v>1.162784078847913E-2</v>
      </c>
      <c r="O23" s="8">
        <f>1-GEVCUM(KVD!$D$66,KVD!$E$66,KVD!$F$66,$A23)</f>
        <v>0.15334611119730934</v>
      </c>
      <c r="P23" s="3">
        <f t="shared" si="10"/>
        <v>0.16646329971687532</v>
      </c>
      <c r="Q23" s="3">
        <f t="shared" si="11"/>
        <v>6.007330154459412</v>
      </c>
      <c r="R23" s="13">
        <f t="shared" si="15"/>
        <v>5.1542180182381769E-2</v>
      </c>
      <c r="S23" s="8">
        <f>1-GEVCUM(KVD!$D$67,KVD!$E$67,KVD!$F$67,$A23)</f>
        <v>0.20000709972621067</v>
      </c>
      <c r="T23" s="3">
        <f t="shared" si="16"/>
        <v>0.2231524260113531</v>
      </c>
      <c r="U23" s="9">
        <f t="shared" si="17"/>
        <v>4.481241893149412</v>
      </c>
      <c r="V23" s="32">
        <f t="shared" si="18"/>
        <v>6.5523542225574327E-2</v>
      </c>
    </row>
    <row r="24" spans="1:22" x14ac:dyDescent="0.25">
      <c r="A24" s="23">
        <f t="shared" si="4"/>
        <v>117.5</v>
      </c>
      <c r="B24" s="13">
        <f t="shared" si="5"/>
        <v>115</v>
      </c>
      <c r="C24" s="8"/>
      <c r="D24" s="3"/>
      <c r="E24" s="3"/>
      <c r="F24" s="32"/>
      <c r="G24" s="8"/>
      <c r="H24" s="3"/>
      <c r="I24" s="3"/>
      <c r="J24" s="13"/>
      <c r="K24" s="8">
        <f>1-GEVCUM(KVD!$D$65,KVD!$E$65,KVD!$F$65,$A24)</f>
        <v>2.3037644069669905E-2</v>
      </c>
      <c r="L24" s="3">
        <f t="shared" si="8"/>
        <v>2.330715794744698E-2</v>
      </c>
      <c r="M24" s="3">
        <f t="shared" si="9"/>
        <v>42.905274090251659</v>
      </c>
      <c r="N24" s="13">
        <f t="shared" si="14"/>
        <v>8.4628387484424784E-3</v>
      </c>
      <c r="O24" s="8">
        <f>1-GEVCUM(KVD!$D$66,KVD!$E$66,KVD!$F$66,$A24)</f>
        <v>0.1189817834613498</v>
      </c>
      <c r="P24" s="3">
        <f t="shared" si="10"/>
        <v>0.12667697614434567</v>
      </c>
      <c r="Q24" s="3">
        <f t="shared" si="11"/>
        <v>7.8940943369260852</v>
      </c>
      <c r="R24" s="13">
        <f t="shared" si="15"/>
        <v>3.9786323572529647E-2</v>
      </c>
      <c r="S24" s="8">
        <f>1-GEVCUM(KVD!$D$67,KVD!$E$67,KVD!$F$67,$A24)</f>
        <v>0.15782777241127366</v>
      </c>
      <c r="T24" s="3">
        <f t="shared" si="16"/>
        <v>0.17177073982661509</v>
      </c>
      <c r="U24" s="9">
        <f t="shared" si="17"/>
        <v>5.8217132965102047</v>
      </c>
      <c r="V24" s="32">
        <f t="shared" si="18"/>
        <v>5.1381686184738012E-2</v>
      </c>
    </row>
    <row r="25" spans="1:22" x14ac:dyDescent="0.25">
      <c r="A25" s="23">
        <f t="shared" si="4"/>
        <v>122.5</v>
      </c>
      <c r="B25" s="13">
        <f t="shared" si="5"/>
        <v>120</v>
      </c>
      <c r="C25" s="8"/>
      <c r="D25" s="3"/>
      <c r="E25" s="3"/>
      <c r="F25" s="32"/>
      <c r="G25" s="8"/>
      <c r="H25" s="3"/>
      <c r="I25" s="3"/>
      <c r="J25" s="13"/>
      <c r="K25" s="8">
        <f>1-GEVCUM(KVD!$D$65,KVD!$E$65,KVD!$F$65,$A25)</f>
        <v>1.6988562811625973E-2</v>
      </c>
      <c r="L25" s="3">
        <f t="shared" si="8"/>
        <v>1.7134523919569895E-2</v>
      </c>
      <c r="M25" s="3">
        <f t="shared" si="9"/>
        <v>58.361703231092847</v>
      </c>
      <c r="N25" s="13">
        <f t="shared" si="14"/>
        <v>2.330715794744698E-2</v>
      </c>
      <c r="O25" s="8">
        <f>1-GEVCUM(KVD!$D$66,KVD!$E$66,KVD!$F$66,$A25)</f>
        <v>9.1595500669907182E-2</v>
      </c>
      <c r="P25" s="3">
        <f t="shared" si="10"/>
        <v>9.6065515735596921E-2</v>
      </c>
      <c r="Q25" s="3">
        <f t="shared" si="11"/>
        <v>10.409562602592176</v>
      </c>
      <c r="R25" s="13">
        <f t="shared" si="15"/>
        <v>3.061146040874875E-2</v>
      </c>
      <c r="S25" s="8">
        <f>1-GEVCUM(KVD!$D$67,KVD!$E$67,KVD!$F$67,$A25)</f>
        <v>0.12334444131577937</v>
      </c>
      <c r="T25" s="3">
        <f t="shared" si="16"/>
        <v>0.13164111326112046</v>
      </c>
      <c r="U25" s="9">
        <f t="shared" si="17"/>
        <v>7.5964109937024134</v>
      </c>
      <c r="V25" s="32">
        <f t="shared" si="18"/>
        <v>4.0129626565494625E-2</v>
      </c>
    </row>
    <row r="26" spans="1:22" x14ac:dyDescent="0.25">
      <c r="A26" s="23">
        <f t="shared" si="4"/>
        <v>127.5</v>
      </c>
      <c r="B26" s="13">
        <f t="shared" si="5"/>
        <v>125</v>
      </c>
      <c r="C26" s="8"/>
      <c r="D26" s="3"/>
      <c r="E26" s="3"/>
      <c r="F26" s="32"/>
      <c r="G26" s="8"/>
      <c r="H26" s="3"/>
      <c r="I26" s="3"/>
      <c r="J26" s="13"/>
      <c r="K26" s="8"/>
      <c r="L26" s="3"/>
      <c r="M26" s="3"/>
      <c r="N26" s="13"/>
      <c r="O26" s="8">
        <f>1-GEVCUM(KVD!$D$66,KVD!$E$66,KVD!$F$66,$A26)</f>
        <v>7.0019865647665269E-2</v>
      </c>
      <c r="P26" s="3">
        <f t="shared" si="10"/>
        <v>7.2592053974450982E-2</v>
      </c>
      <c r="Q26" s="3">
        <f t="shared" si="11"/>
        <v>13.775612415540046</v>
      </c>
      <c r="R26" s="13">
        <f t="shared" si="15"/>
        <v>2.3473461761145939E-2</v>
      </c>
      <c r="S26" s="8">
        <f>1-GEVCUM(KVD!$D$67,KVD!$E$67,KVD!$F$67,$A26)</f>
        <v>9.5551633584698537E-2</v>
      </c>
      <c r="T26" s="3">
        <f t="shared" si="16"/>
        <v>0.10043006099975792</v>
      </c>
      <c r="U26" s="9">
        <f t="shared" si="17"/>
        <v>9.9571780604854006</v>
      </c>
      <c r="V26" s="32">
        <f t="shared" si="18"/>
        <v>3.1211052261362546E-2</v>
      </c>
    </row>
    <row r="27" spans="1:22" x14ac:dyDescent="0.25">
      <c r="A27" s="23">
        <f t="shared" si="4"/>
        <v>132.5</v>
      </c>
      <c r="B27" s="13">
        <f t="shared" si="5"/>
        <v>130</v>
      </c>
      <c r="C27" s="8"/>
      <c r="D27" s="3"/>
      <c r="E27" s="3"/>
      <c r="F27" s="32"/>
      <c r="G27" s="8"/>
      <c r="H27" s="3"/>
      <c r="I27" s="3"/>
      <c r="J27" s="13"/>
      <c r="K27" s="8"/>
      <c r="L27" s="3"/>
      <c r="M27" s="3"/>
      <c r="N27" s="13"/>
      <c r="O27" s="8">
        <f>1-GEVCUM(KVD!$D$66,KVD!$E$66,KVD!$F$66,$A27)</f>
        <v>5.3187311960926964E-2</v>
      </c>
      <c r="P27" s="3">
        <f t="shared" si="10"/>
        <v>5.4654000461385313E-2</v>
      </c>
      <c r="Q27" s="3">
        <f t="shared" si="11"/>
        <v>18.296922303181262</v>
      </c>
      <c r="R27" s="13">
        <f t="shared" si="15"/>
        <v>1.7938053513065662E-2</v>
      </c>
      <c r="S27" s="8">
        <f>1-GEVCUM(KVD!$D$67,KVD!$E$67,KVD!$F$67,$A27)</f>
        <v>7.3424828389191954E-2</v>
      </c>
      <c r="T27" s="3">
        <f t="shared" si="16"/>
        <v>7.6260101512041184E-2</v>
      </c>
      <c r="U27" s="9">
        <f t="shared" si="17"/>
        <v>13.113016901008239</v>
      </c>
      <c r="V27" s="32">
        <f t="shared" si="18"/>
        <v>2.4169959487716733E-2</v>
      </c>
    </row>
    <row r="28" spans="1:22" x14ac:dyDescent="0.25">
      <c r="A28" s="23">
        <f t="shared" si="4"/>
        <v>137.5</v>
      </c>
      <c r="B28" s="13">
        <f t="shared" si="5"/>
        <v>135</v>
      </c>
      <c r="C28" s="8"/>
      <c r="D28" s="3"/>
      <c r="E28" s="3"/>
      <c r="F28" s="32"/>
      <c r="G28" s="8"/>
      <c r="H28" s="3"/>
      <c r="I28" s="3"/>
      <c r="J28" s="13"/>
      <c r="K28" s="8"/>
      <c r="L28" s="3"/>
      <c r="M28" s="3"/>
      <c r="N28" s="13"/>
      <c r="O28" s="8">
        <f>1-GEVCUM(KVD!$D$66,KVD!$E$66,KVD!$F$66,$A28)</f>
        <v>4.0165455408550876E-2</v>
      </c>
      <c r="P28" s="3">
        <f t="shared" si="10"/>
        <v>4.099435875802409E-2</v>
      </c>
      <c r="Q28" s="3">
        <f t="shared" si="11"/>
        <v>24.393600248821151</v>
      </c>
      <c r="R28" s="13">
        <f t="shared" si="15"/>
        <v>1.3659641703361231E-2</v>
      </c>
      <c r="S28" s="8">
        <f>1-GEVCUM(KVD!$D$67,KVD!$E$67,KVD!$F$67,$A28)</f>
        <v>5.5997319796724954E-2</v>
      </c>
      <c r="T28" s="3">
        <f t="shared" si="16"/>
        <v>5.7626273642282295E-2</v>
      </c>
      <c r="U28" s="9">
        <f t="shared" si="17"/>
        <v>17.353195630998897</v>
      </c>
      <c r="V28" s="32">
        <f t="shared" si="18"/>
        <v>1.8633827869758889E-2</v>
      </c>
    </row>
    <row r="29" spans="1:22" x14ac:dyDescent="0.25">
      <c r="A29" s="23">
        <f t="shared" si="4"/>
        <v>142.5</v>
      </c>
      <c r="B29" s="13">
        <f t="shared" si="5"/>
        <v>140</v>
      </c>
      <c r="C29" s="8"/>
      <c r="D29" s="3"/>
      <c r="E29" s="3"/>
      <c r="F29" s="32"/>
      <c r="G29" s="8"/>
      <c r="H29" s="3"/>
      <c r="I29" s="3"/>
      <c r="J29" s="13"/>
      <c r="K29" s="8"/>
      <c r="L29" s="3"/>
      <c r="M29" s="3"/>
      <c r="N29" s="13"/>
      <c r="O29" s="8">
        <f>1-GEVCUM(KVD!$D$66,KVD!$E$66,KVD!$F$66,$A29)</f>
        <v>3.0165981985436741E-2</v>
      </c>
      <c r="P29" s="3">
        <f t="shared" si="10"/>
        <v>3.0630337575531158E-2</v>
      </c>
      <c r="Q29" s="3">
        <f t="shared" si="11"/>
        <v>32.647371173566277</v>
      </c>
      <c r="R29" s="13">
        <f t="shared" si="15"/>
        <v>1.0364021182492928E-2</v>
      </c>
      <c r="S29" s="8">
        <f>1-GEVCUM(KVD!$D$67,KVD!$E$67,KVD!$F$67,$A29)</f>
        <v>4.240167492436453E-2</v>
      </c>
      <c r="T29" s="3">
        <f t="shared" si="16"/>
        <v>4.3326873825497013E-2</v>
      </c>
      <c r="U29" s="9">
        <f t="shared" si="17"/>
        <v>23.080363564368675</v>
      </c>
      <c r="V29" s="32">
        <f t="shared" si="18"/>
        <v>1.4299399816785283E-2</v>
      </c>
    </row>
    <row r="30" spans="1:22" x14ac:dyDescent="0.25">
      <c r="A30" s="23">
        <f t="shared" si="4"/>
        <v>147.5</v>
      </c>
      <c r="B30" s="13">
        <f t="shared" si="5"/>
        <v>145</v>
      </c>
      <c r="C30" s="8"/>
      <c r="D30" s="3"/>
      <c r="E30" s="3"/>
      <c r="F30" s="32"/>
      <c r="G30" s="8"/>
      <c r="H30" s="3"/>
      <c r="I30" s="3"/>
      <c r="J30" s="13"/>
      <c r="K30" s="8"/>
      <c r="L30" s="3"/>
      <c r="M30" s="3"/>
      <c r="N30" s="13"/>
      <c r="O30" s="8">
        <f>1-GEVCUM(KVD!$D$66,KVD!$E$66,KVD!$F$66,$A30)</f>
        <v>2.2538178292199618E-2</v>
      </c>
      <c r="P30" s="3">
        <f t="shared" si="10"/>
        <v>2.2796044961782731E-2</v>
      </c>
      <c r="Q30" s="3">
        <f t="shared" si="11"/>
        <v>43.867258626506782</v>
      </c>
      <c r="R30" s="13">
        <f t="shared" si="15"/>
        <v>7.8342926137484302E-3</v>
      </c>
      <c r="S30" s="8">
        <f>1-GEVCUM(KVD!$D$67,KVD!$E$67,KVD!$F$67,$A30)</f>
        <v>3.1886724650264431E-2</v>
      </c>
      <c r="T30" s="3">
        <f t="shared" si="16"/>
        <v>3.2406178562468649E-2</v>
      </c>
      <c r="U30" s="9">
        <f t="shared" si="17"/>
        <v>30.858312962521108</v>
      </c>
      <c r="V30" s="32">
        <f t="shared" si="18"/>
        <v>1.0920695263028364E-2</v>
      </c>
    </row>
    <row r="31" spans="1:22" x14ac:dyDescent="0.25">
      <c r="A31" s="23">
        <f t="shared" si="4"/>
        <v>152.5</v>
      </c>
      <c r="B31" s="13">
        <f t="shared" si="5"/>
        <v>150</v>
      </c>
      <c r="C31" s="8"/>
      <c r="D31" s="3"/>
      <c r="E31" s="3"/>
      <c r="F31" s="32"/>
      <c r="G31" s="8"/>
      <c r="H31" s="3"/>
      <c r="I31" s="3"/>
      <c r="J31" s="13"/>
      <c r="K31" s="8"/>
      <c r="L31" s="3"/>
      <c r="M31" s="3"/>
      <c r="N31" s="13"/>
      <c r="O31" s="8">
        <f>1-GEVCUM(KVD!$D$66,KVD!$E$66,KVD!$F$66,$A31)</f>
        <v>1.6754674111180257E-2</v>
      </c>
      <c r="P31" s="3">
        <f t="shared" si="10"/>
        <v>1.6896621417779832E-2</v>
      </c>
      <c r="Q31" s="3">
        <f t="shared" si="11"/>
        <v>59.183429353973011</v>
      </c>
      <c r="R31" s="13">
        <f t="shared" si="15"/>
        <v>2.2796044961782731E-2</v>
      </c>
      <c r="S31" s="8">
        <f>1-GEVCUM(KVD!$D$67,KVD!$E$67,KVD!$F$67,$A31)</f>
        <v>2.3818979365832549E-2</v>
      </c>
      <c r="T31" s="3">
        <f t="shared" si="16"/>
        <v>2.4107237805605187E-2</v>
      </c>
      <c r="U31" s="9">
        <f t="shared" si="17"/>
        <v>41.481318103042462</v>
      </c>
      <c r="V31" s="32">
        <f t="shared" si="18"/>
        <v>8.298940756863462E-3</v>
      </c>
    </row>
    <row r="32" spans="1:22" x14ac:dyDescent="0.25">
      <c r="A32" s="23">
        <f t="shared" si="4"/>
        <v>157.5</v>
      </c>
      <c r="B32" s="13">
        <f t="shared" si="5"/>
        <v>155</v>
      </c>
      <c r="C32" s="8"/>
      <c r="D32" s="3"/>
      <c r="E32" s="3"/>
      <c r="F32" s="32"/>
      <c r="G32" s="8"/>
      <c r="H32" s="3"/>
      <c r="I32" s="3"/>
      <c r="J32" s="13"/>
      <c r="K32" s="8"/>
      <c r="L32" s="3"/>
      <c r="M32" s="3"/>
      <c r="N32" s="13"/>
      <c r="O32" s="8"/>
      <c r="P32" s="3"/>
      <c r="Q32" s="3"/>
      <c r="R32" s="13"/>
      <c r="S32" s="8">
        <f>1-GEVCUM(KVD!$D$67,KVD!$E$67,KVD!$F$67,$A32)</f>
        <v>1.767503554007932E-2</v>
      </c>
      <c r="T32" s="3">
        <f t="shared" si="16"/>
        <v>1.7833104331345717E-2</v>
      </c>
      <c r="U32" s="9">
        <f t="shared" si="17"/>
        <v>56.07548643352429</v>
      </c>
      <c r="V32" s="32">
        <f t="shared" si="18"/>
        <v>2.4107237805605187E-2</v>
      </c>
    </row>
    <row r="33" spans="1:22" x14ac:dyDescent="0.25">
      <c r="A33" s="23">
        <f t="shared" si="4"/>
        <v>162.5</v>
      </c>
      <c r="B33" s="13">
        <f t="shared" si="5"/>
        <v>160</v>
      </c>
      <c r="C33" s="8"/>
      <c r="D33" s="3"/>
      <c r="E33" s="3"/>
      <c r="F33" s="32"/>
      <c r="G33" s="8"/>
      <c r="H33" s="3"/>
      <c r="I33" s="3"/>
      <c r="J33" s="13"/>
      <c r="K33" s="8"/>
      <c r="L33" s="3"/>
      <c r="M33" s="3"/>
      <c r="N33" s="13"/>
      <c r="O33" s="8"/>
      <c r="P33" s="3"/>
      <c r="Q33" s="3"/>
      <c r="R33" s="13"/>
      <c r="S33" s="8"/>
      <c r="T33" s="3"/>
      <c r="U33" s="9"/>
      <c r="V33" s="32"/>
    </row>
    <row r="34" spans="1:22" x14ac:dyDescent="0.25">
      <c r="A34" s="23">
        <f t="shared" si="4"/>
        <v>167.5</v>
      </c>
      <c r="B34" s="13">
        <f t="shared" si="5"/>
        <v>165</v>
      </c>
      <c r="C34" s="8"/>
      <c r="D34" s="3"/>
      <c r="E34" s="3"/>
      <c r="F34" s="32"/>
      <c r="G34" s="8"/>
      <c r="H34" s="3"/>
      <c r="I34" s="3"/>
      <c r="J34" s="13"/>
      <c r="K34" s="8"/>
      <c r="L34" s="3"/>
      <c r="M34" s="3"/>
      <c r="N34" s="13"/>
      <c r="O34" s="8"/>
      <c r="P34" s="3"/>
      <c r="Q34" s="3"/>
      <c r="R34" s="13"/>
      <c r="S34" s="8"/>
      <c r="T34" s="3"/>
      <c r="U34" s="9"/>
      <c r="V34" s="32"/>
    </row>
    <row r="35" spans="1:22" x14ac:dyDescent="0.25">
      <c r="A35" s="23">
        <f t="shared" si="4"/>
        <v>172.5</v>
      </c>
      <c r="B35" s="13">
        <f t="shared" si="5"/>
        <v>170</v>
      </c>
      <c r="C35" s="8"/>
      <c r="D35" s="3"/>
      <c r="E35" s="3"/>
      <c r="F35" s="32"/>
      <c r="G35" s="8"/>
      <c r="H35" s="3"/>
      <c r="I35" s="3"/>
      <c r="J35" s="13"/>
      <c r="K35" s="8"/>
      <c r="L35" s="3"/>
      <c r="M35" s="3"/>
      <c r="N35" s="13"/>
      <c r="O35" s="8"/>
      <c r="P35" s="3"/>
      <c r="Q35" s="3"/>
      <c r="R35" s="13"/>
      <c r="S35" s="8"/>
      <c r="T35" s="3"/>
      <c r="U35" s="9"/>
      <c r="V35" s="32"/>
    </row>
    <row r="36" spans="1:22" x14ac:dyDescent="0.25">
      <c r="A36" s="23">
        <f t="shared" si="4"/>
        <v>177.5</v>
      </c>
      <c r="B36" s="13">
        <f t="shared" si="5"/>
        <v>175</v>
      </c>
      <c r="C36" s="8"/>
      <c r="D36" s="3"/>
      <c r="E36" s="3"/>
      <c r="F36" s="32"/>
      <c r="G36" s="8"/>
      <c r="H36" s="3"/>
      <c r="I36" s="3"/>
      <c r="J36" s="13"/>
      <c r="K36" s="8"/>
      <c r="L36" s="3"/>
      <c r="M36" s="3"/>
      <c r="N36" s="13"/>
      <c r="O36" s="8"/>
      <c r="P36" s="3"/>
      <c r="Q36" s="3"/>
      <c r="R36" s="13"/>
      <c r="S36" s="8"/>
      <c r="T36" s="3"/>
      <c r="U36" s="9"/>
      <c r="V36" s="32"/>
    </row>
    <row r="37" spans="1:22" x14ac:dyDescent="0.25">
      <c r="A37" s="14">
        <f t="shared" si="4"/>
        <v>182.5</v>
      </c>
      <c r="B37" s="15">
        <f t="shared" si="5"/>
        <v>180</v>
      </c>
      <c r="C37" s="10"/>
      <c r="D37" s="4"/>
      <c r="E37" s="4"/>
      <c r="F37" s="33"/>
      <c r="G37" s="10"/>
      <c r="H37" s="4"/>
      <c r="I37" s="4"/>
      <c r="J37" s="15"/>
      <c r="K37" s="10"/>
      <c r="L37" s="4"/>
      <c r="M37" s="4"/>
      <c r="N37" s="15"/>
      <c r="O37" s="8"/>
      <c r="P37" s="3"/>
      <c r="Q37" s="3"/>
      <c r="R37" s="13"/>
      <c r="S37" s="8"/>
      <c r="T37" s="3"/>
      <c r="U37" s="9"/>
      <c r="V37" s="32"/>
    </row>
    <row r="38" spans="1:22" x14ac:dyDescent="0.25">
      <c r="A38" s="14">
        <f t="shared" si="4"/>
        <v>187.5</v>
      </c>
      <c r="B38" s="15">
        <f t="shared" si="5"/>
        <v>185</v>
      </c>
      <c r="O38" s="8"/>
      <c r="P38" s="3"/>
      <c r="Q38" s="3"/>
      <c r="R38" s="13"/>
      <c r="S38" s="8"/>
      <c r="T38" s="3"/>
      <c r="U38" s="9"/>
      <c r="V38" s="32"/>
    </row>
    <row r="39" spans="1:22" x14ac:dyDescent="0.25">
      <c r="A39" s="14">
        <f t="shared" si="4"/>
        <v>192.5</v>
      </c>
      <c r="B39" s="15">
        <f t="shared" si="5"/>
        <v>190</v>
      </c>
      <c r="O39" s="8"/>
      <c r="P39" s="3"/>
      <c r="Q39" s="3"/>
      <c r="R39" s="13"/>
      <c r="S39" s="8"/>
      <c r="T39" s="3"/>
      <c r="U39" s="9"/>
      <c r="V39" s="32"/>
    </row>
    <row r="40" spans="1:22" x14ac:dyDescent="0.25">
      <c r="A40" s="14">
        <f t="shared" si="4"/>
        <v>197.5</v>
      </c>
      <c r="B40" s="15">
        <f t="shared" si="5"/>
        <v>195</v>
      </c>
      <c r="S40" s="8"/>
      <c r="T40" s="3"/>
      <c r="U40" s="9"/>
      <c r="V40" s="32"/>
    </row>
  </sheetData>
  <mergeCells count="11">
    <mergeCell ref="S2:U2"/>
    <mergeCell ref="A1:B2"/>
    <mergeCell ref="C1:F1"/>
    <mergeCell ref="G1:J1"/>
    <mergeCell ref="K1:N1"/>
    <mergeCell ref="O1:R1"/>
    <mergeCell ref="S1:V1"/>
    <mergeCell ref="C2:E2"/>
    <mergeCell ref="G2:I2"/>
    <mergeCell ref="K2:M2"/>
    <mergeCell ref="O2:Q2"/>
  </mergeCells>
  <pageMargins left="0.7" right="0.7" top="0.75" bottom="0.75" header="0.3" footer="0.3"/>
  <pageSetup paperSize="0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Blad17">
    <tabColor theme="6"/>
  </sheetPr>
  <dimension ref="A1:V40"/>
  <sheetViews>
    <sheetView topLeftCell="H1" workbookViewId="0">
      <selection activeCell="V6" sqref="V6:V33"/>
    </sheetView>
  </sheetViews>
  <sheetFormatPr defaultColWidth="9.140625" defaultRowHeight="15" x14ac:dyDescent="0.25"/>
  <cols>
    <col min="1" max="1" width="11.42578125" bestFit="1" customWidth="1"/>
    <col min="2" max="2" width="14" bestFit="1" customWidth="1"/>
    <col min="4" max="4" width="12.28515625" style="19" bestFit="1" customWidth="1"/>
    <col min="5" max="5" width="12" style="19" bestFit="1" customWidth="1"/>
    <col min="6" max="6" width="14.7109375" bestFit="1" customWidth="1"/>
    <col min="8" max="8" width="12.28515625" bestFit="1" customWidth="1"/>
    <col min="9" max="9" width="12" bestFit="1" customWidth="1"/>
    <col min="10" max="10" width="13.7109375" bestFit="1" customWidth="1"/>
    <col min="12" max="12" width="12.28515625" bestFit="1" customWidth="1"/>
    <col min="13" max="13" width="18.85546875" bestFit="1" customWidth="1"/>
    <col min="14" max="14" width="14.7109375" bestFit="1" customWidth="1"/>
    <col min="15" max="15" width="7.7109375" bestFit="1" customWidth="1"/>
    <col min="16" max="16" width="12.28515625" bestFit="1" customWidth="1"/>
    <col min="17" max="17" width="16.42578125" bestFit="1" customWidth="1"/>
    <col min="18" max="18" width="14.7109375" bestFit="1" customWidth="1"/>
    <col min="19" max="19" width="7.7109375" bestFit="1" customWidth="1"/>
    <col min="20" max="20" width="12.28515625" bestFit="1" customWidth="1"/>
    <col min="21" max="21" width="11.42578125" bestFit="1" customWidth="1"/>
    <col min="22" max="22" width="14.7109375" bestFit="1" customWidth="1"/>
  </cols>
  <sheetData>
    <row r="1" spans="1:22" x14ac:dyDescent="0.25">
      <c r="A1" s="50" t="s">
        <v>15</v>
      </c>
      <c r="B1" s="51"/>
      <c r="C1" s="63">
        <v>24</v>
      </c>
      <c r="D1" s="64"/>
      <c r="E1" s="64"/>
      <c r="F1" s="65"/>
      <c r="G1" s="66">
        <v>48</v>
      </c>
      <c r="H1" s="67"/>
      <c r="I1" s="67"/>
      <c r="J1" s="68"/>
      <c r="K1" s="66">
        <v>96</v>
      </c>
      <c r="L1" s="67"/>
      <c r="M1" s="67"/>
      <c r="N1" s="68"/>
      <c r="O1" s="66">
        <v>192</v>
      </c>
      <c r="P1" s="67"/>
      <c r="Q1" s="67"/>
      <c r="R1" s="68"/>
      <c r="S1" s="60">
        <v>216</v>
      </c>
      <c r="T1" s="61"/>
      <c r="U1" s="61"/>
      <c r="V1" s="62"/>
    </row>
    <row r="2" spans="1:22" x14ac:dyDescent="0.25">
      <c r="A2" s="52"/>
      <c r="B2" s="53"/>
      <c r="C2" s="57" t="s">
        <v>9</v>
      </c>
      <c r="D2" s="58"/>
      <c r="E2" s="59"/>
      <c r="F2" s="30">
        <f>24/24*365.25</f>
        <v>365.25</v>
      </c>
      <c r="G2" s="54" t="s">
        <v>9</v>
      </c>
      <c r="H2" s="55"/>
      <c r="I2" s="56"/>
      <c r="J2" s="30">
        <f>24/48*365.25</f>
        <v>182.625</v>
      </c>
      <c r="K2" s="54" t="s">
        <v>9</v>
      </c>
      <c r="L2" s="55"/>
      <c r="M2" s="56"/>
      <c r="N2" s="30">
        <f>24/96*365.25</f>
        <v>91.3125</v>
      </c>
      <c r="O2" s="54" t="s">
        <v>9</v>
      </c>
      <c r="P2" s="55"/>
      <c r="Q2" s="56"/>
      <c r="R2" s="30">
        <f>24/192*365.25</f>
        <v>45.65625</v>
      </c>
      <c r="S2" s="54" t="s">
        <v>9</v>
      </c>
      <c r="T2" s="55"/>
      <c r="U2" s="56"/>
      <c r="V2" s="30">
        <f>24/216*365.25</f>
        <v>40.583333333333329</v>
      </c>
    </row>
    <row r="3" spans="1:22" x14ac:dyDescent="0.25">
      <c r="A3" s="24" t="s">
        <v>12</v>
      </c>
      <c r="B3" s="27" t="s">
        <v>14</v>
      </c>
      <c r="C3" s="24" t="s">
        <v>8</v>
      </c>
      <c r="D3" s="25" t="s">
        <v>10</v>
      </c>
      <c r="E3" s="26" t="s">
        <v>17</v>
      </c>
      <c r="F3" s="36" t="s">
        <v>13</v>
      </c>
      <c r="G3" s="24" t="s">
        <v>8</v>
      </c>
      <c r="H3" s="25" t="s">
        <v>10</v>
      </c>
      <c r="I3" s="26" t="s">
        <v>17</v>
      </c>
      <c r="J3" s="29" t="s">
        <v>13</v>
      </c>
      <c r="K3" s="24" t="s">
        <v>8</v>
      </c>
      <c r="L3" s="25" t="s">
        <v>10</v>
      </c>
      <c r="M3" s="26" t="s">
        <v>17</v>
      </c>
      <c r="N3" s="29" t="s">
        <v>13</v>
      </c>
      <c r="O3" s="24" t="s">
        <v>8</v>
      </c>
      <c r="P3" s="25" t="s">
        <v>10</v>
      </c>
      <c r="Q3" s="26" t="s">
        <v>17</v>
      </c>
      <c r="R3" s="29" t="s">
        <v>13</v>
      </c>
      <c r="S3" s="24" t="s">
        <v>8</v>
      </c>
      <c r="T3" s="25" t="s">
        <v>10</v>
      </c>
      <c r="U3" s="26" t="s">
        <v>17</v>
      </c>
      <c r="V3" s="29" t="s">
        <v>13</v>
      </c>
    </row>
    <row r="4" spans="1:22" x14ac:dyDescent="0.25">
      <c r="A4" s="34">
        <v>17.5</v>
      </c>
      <c r="B4" s="12">
        <f>A4-2.5</f>
        <v>15</v>
      </c>
      <c r="C4" s="8">
        <f>1-GEVCUM(KVD!$D$68,KVD!$E$68,KVD!$F$68,$A4)</f>
        <v>0.99021262460669313</v>
      </c>
      <c r="D4" s="3">
        <f t="shared" ref="D4:D20" si="0">-LN(1-C4)</f>
        <v>4.6266619489537293</v>
      </c>
      <c r="E4" s="3">
        <f t="shared" ref="E4:E20" si="1">1/D4</f>
        <v>0.2161385489221099</v>
      </c>
      <c r="F4" s="31">
        <f>KLASSEFREQUENTIEUITHERHALINGSTIJD(F$2,E3,E4,E5)</f>
        <v>360.62333805104629</v>
      </c>
      <c r="G4" s="8">
        <f>1-GEVCUM(KVD!$D$69,KVD!$E$69,KVD!$F$69,$A4)</f>
        <v>0.9999608843090444</v>
      </c>
      <c r="H4" s="2">
        <f t="shared" ref="H4:H22" si="2">-LN(1-G4)</f>
        <v>10.14898686826116</v>
      </c>
      <c r="I4" s="2">
        <f t="shared" ref="I4:I22" si="3">1/H4</f>
        <v>9.8532002551633163E-2</v>
      </c>
      <c r="J4" s="12">
        <f>KLASSEFREQUENTIEUITHERHALINGSTIJD(J$2,I3,I4,I5)</f>
        <v>172.47601313173885</v>
      </c>
      <c r="K4" s="35"/>
      <c r="L4" s="2"/>
      <c r="M4" s="2"/>
      <c r="N4" s="12"/>
      <c r="O4" s="35"/>
      <c r="P4" s="2"/>
      <c r="Q4" s="2"/>
      <c r="R4" s="12"/>
      <c r="S4" s="35"/>
      <c r="T4" s="2"/>
      <c r="U4" s="37"/>
      <c r="V4" s="31"/>
    </row>
    <row r="5" spans="1:22" x14ac:dyDescent="0.25">
      <c r="A5" s="23">
        <f t="shared" ref="A5:A40" si="4">A4+5</f>
        <v>22.5</v>
      </c>
      <c r="B5" s="13">
        <f t="shared" ref="B5:B40" si="5">A5-2.5</f>
        <v>20</v>
      </c>
      <c r="C5" s="8">
        <f>1-GEVCUM(KVD!$D$68,KVD!$E$68,KVD!$F$68,$A5)</f>
        <v>0.85342194534780258</v>
      </c>
      <c r="D5" s="3">
        <f t="shared" si="0"/>
        <v>1.9201971961498143</v>
      </c>
      <c r="E5" s="3">
        <f t="shared" si="1"/>
        <v>0.52077984594764493</v>
      </c>
      <c r="F5" s="32">
        <f t="shared" ref="F5:F20" si="6">KLASSEFREQUENTIEUITHERHALINGSTIJD(F$2,E4,E5,E6)</f>
        <v>2.7064647528039147</v>
      </c>
      <c r="G5" s="8">
        <f>1-GEVCUM(KVD!$D$69,KVD!$E$69,KVD!$F$69,$A5)</f>
        <v>0.99426513682912177</v>
      </c>
      <c r="H5" s="3">
        <f t="shared" si="2"/>
        <v>5.1611913872942763</v>
      </c>
      <c r="I5" s="3">
        <f t="shared" si="3"/>
        <v>0.19375371400909122</v>
      </c>
      <c r="J5" s="13">
        <f t="shared" ref="J5:J22" si="7">KLASSEFREQUENTIEUITHERHALINGSTIJD(J$2,I4,I5,I6)</f>
        <v>4.9877954809668834</v>
      </c>
      <c r="K5" s="8">
        <f>1-GEVCUM(KVD!$D$70,KVD!$E$70,KVD!$F$70,$A5)</f>
        <v>0.99997417513746389</v>
      </c>
      <c r="L5" s="3">
        <f t="shared" ref="L5:L25" si="8">-LN(1-K5)</f>
        <v>10.564172865872807</v>
      </c>
      <c r="M5" s="3">
        <f t="shared" ref="M5:M25" si="9">1/L5</f>
        <v>9.465956423625603E-2</v>
      </c>
      <c r="N5" s="13">
        <f>KLASSEFREQUENTIEUITHERHALINGSTIJD(N$2,M4,M5,M6)</f>
        <v>80.748327134127194</v>
      </c>
      <c r="O5" s="8"/>
      <c r="P5" s="3"/>
      <c r="Q5" s="3"/>
      <c r="R5" s="13"/>
      <c r="S5" s="8"/>
      <c r="T5" s="3"/>
      <c r="U5" s="9"/>
      <c r="V5" s="32"/>
    </row>
    <row r="6" spans="1:22" x14ac:dyDescent="0.25">
      <c r="A6" s="23">
        <f t="shared" si="4"/>
        <v>27.5</v>
      </c>
      <c r="B6" s="13">
        <f t="shared" si="5"/>
        <v>25</v>
      </c>
      <c r="C6" s="8">
        <f>1-GEVCUM(KVD!$D$68,KVD!$E$68,KVD!$F$68,$A6)</f>
        <v>0.56844872681480718</v>
      </c>
      <c r="D6" s="3">
        <f t="shared" si="0"/>
        <v>0.84036895005968748</v>
      </c>
      <c r="E6" s="3">
        <f t="shared" si="1"/>
        <v>1.1899535316350927</v>
      </c>
      <c r="F6" s="32">
        <f t="shared" si="6"/>
        <v>1.0798282460901267</v>
      </c>
      <c r="G6" s="8">
        <f>1-GEVCUM(KVD!$D$69,KVD!$E$69,KVD!$F$69,$A6)</f>
        <v>0.93213632624480058</v>
      </c>
      <c r="H6" s="3">
        <f t="shared" si="2"/>
        <v>2.6902543838205788</v>
      </c>
      <c r="I6" s="3">
        <f t="shared" si="3"/>
        <v>0.37171206039625321</v>
      </c>
      <c r="J6" s="13">
        <f t="shared" si="7"/>
        <v>2.4709370034736975</v>
      </c>
      <c r="K6" s="8">
        <f>1-GEVCUM(KVD!$D$70,KVD!$E$70,KVD!$F$70,$A6)</f>
        <v>0.99869235138628554</v>
      </c>
      <c r="L6" s="3">
        <f t="shared" si="8"/>
        <v>6.6395247059875668</v>
      </c>
      <c r="M6" s="3">
        <f t="shared" si="9"/>
        <v>0.15061319059453057</v>
      </c>
      <c r="N6" s="13">
        <f t="shared" ref="N6:N25" si="10">KLASSEFREQUENTIEUITHERHALINGSTIJD(N$2,M5,M6,M7)</f>
        <v>3.9246481598852405</v>
      </c>
      <c r="O6" s="8">
        <f>1-GEVCUM(KVD!$D$71,KVD!$E$71,KVD!$F$71,$A6)</f>
        <v>0.9999844185543173</v>
      </c>
      <c r="P6" s="3">
        <f t="shared" ref="P6:P32" si="11">-LN(1-O6)</f>
        <v>11.069429730895823</v>
      </c>
      <c r="Q6" s="3">
        <f t="shared" ref="Q6:Q32" si="12">1/P6</f>
        <v>9.0338890467763264E-2</v>
      </c>
      <c r="R6" s="13">
        <f>KLASSEFREQUENTIEUITHERHALINGSTIJD(R$2,Q5,Q6,Q7)</f>
        <v>34.58682026910418</v>
      </c>
      <c r="S6" s="8">
        <f>1-GEVCUM(KVD!$D$72,KVD!$E$72,KVD!$F$72,$A6)</f>
        <v>0.9999900047841096</v>
      </c>
      <c r="T6" s="3">
        <f t="shared" ref="T6:T33" si="13">-LN(1-S6)</f>
        <v>11.513403990405111</v>
      </c>
      <c r="U6" s="9">
        <f t="shared" ref="U6:U33" si="14">1/T6</f>
        <v>8.6855286310926538E-2</v>
      </c>
      <c r="V6" s="32">
        <f>KLASSEFREQUENTIEUITHERHALINGSTIJD(V$2,U5,U6,U7)</f>
        <v>29.069929342928219</v>
      </c>
    </row>
    <row r="7" spans="1:22" x14ac:dyDescent="0.25">
      <c r="A7" s="23">
        <f t="shared" si="4"/>
        <v>32.5</v>
      </c>
      <c r="B7" s="13">
        <f t="shared" si="5"/>
        <v>30</v>
      </c>
      <c r="C7" s="8">
        <f>1-GEVCUM(KVD!$D$68,KVD!$E$68,KVD!$F$68,$A7)</f>
        <v>0.31988476036479385</v>
      </c>
      <c r="D7" s="3">
        <f t="shared" si="0"/>
        <v>0.38549302511863798</v>
      </c>
      <c r="E7" s="3">
        <f t="shared" si="1"/>
        <v>2.5940806573406703</v>
      </c>
      <c r="F7" s="32">
        <f t="shared" si="6"/>
        <v>0.45487592494104956</v>
      </c>
      <c r="G7" s="8">
        <f>1-GEVCUM(KVD!$D$69,KVD!$E$69,KVD!$F$69,$A7)</f>
        <v>0.76184241193802316</v>
      </c>
      <c r="H7" s="3">
        <f t="shared" si="2"/>
        <v>1.4348226897109468</v>
      </c>
      <c r="I7" s="3">
        <f t="shared" si="3"/>
        <v>0.69695022748870505</v>
      </c>
      <c r="J7" s="13">
        <f t="shared" si="7"/>
        <v>1.255431694109632</v>
      </c>
      <c r="K7" s="8">
        <f>1-GEVCUM(KVD!$D$70,KVD!$E$70,KVD!$F$70,$A7)</f>
        <v>0.98489232455611198</v>
      </c>
      <c r="L7" s="3">
        <f t="shared" si="8"/>
        <v>4.1925523567635219</v>
      </c>
      <c r="M7" s="3">
        <f t="shared" si="9"/>
        <v>0.23851819009171751</v>
      </c>
      <c r="N7" s="13">
        <f t="shared" si="10"/>
        <v>2.4469723492240449</v>
      </c>
      <c r="O7" s="8">
        <f>1-GEVCUM(KVD!$D$71,KVD!$E$71,KVD!$F$71,$A7)</f>
        <v>0.99975401490293392</v>
      </c>
      <c r="P7" s="3">
        <f t="shared" si="11"/>
        <v>8.3102396048992055</v>
      </c>
      <c r="Q7" s="3">
        <f t="shared" si="12"/>
        <v>0.12033347382793411</v>
      </c>
      <c r="R7" s="13">
        <f t="shared" ref="R7:R32" si="15">KLASSEFREQUENTIEUITHERHALINGSTIJD(R$2,Q6,Q7,Q8)</f>
        <v>2.7591901259966178</v>
      </c>
      <c r="S7" s="8">
        <f>1-GEVCUM(KVD!$D$72,KVD!$E$72,KVD!$F$72,$A7)</f>
        <v>0.99986131499571984</v>
      </c>
      <c r="T7" s="3">
        <f t="shared" si="13"/>
        <v>8.8833053527093835</v>
      </c>
      <c r="U7" s="9">
        <f t="shared" si="14"/>
        <v>0.11257071104676175</v>
      </c>
      <c r="V7" s="32">
        <f t="shared" ref="V7:V33" si="16">KLASSEFREQUENTIEUITHERHALINGSTIJD(V$2,U6,U7,U8)</f>
        <v>2.6300986376957276</v>
      </c>
    </row>
    <row r="8" spans="1:22" x14ac:dyDescent="0.25">
      <c r="A8" s="23">
        <f t="shared" si="4"/>
        <v>37.5</v>
      </c>
      <c r="B8" s="13">
        <f t="shared" si="5"/>
        <v>35</v>
      </c>
      <c r="C8" s="8">
        <f>1-GEVCUM(KVD!$D$68,KVD!$E$68,KVD!$F$68,$A8)</f>
        <v>0.16840565477432334</v>
      </c>
      <c r="D8" s="3">
        <f t="shared" si="0"/>
        <v>0.18441052289432214</v>
      </c>
      <c r="E8" s="3">
        <f t="shared" si="1"/>
        <v>5.4226840437574033</v>
      </c>
      <c r="F8" s="32">
        <f t="shared" si="6"/>
        <v>0.2010825022243159</v>
      </c>
      <c r="G8" s="8">
        <f>1-GEVCUM(KVD!$D$69,KVD!$E$69,KVD!$F$69,$A8)</f>
        <v>0.5424112593908752</v>
      </c>
      <c r="H8" s="3">
        <f t="shared" si="2"/>
        <v>0.78178444453149187</v>
      </c>
      <c r="I8" s="3">
        <f t="shared" si="3"/>
        <v>1.2791249646816398</v>
      </c>
      <c r="J8" s="13">
        <f t="shared" si="7"/>
        <v>0.65303824517945497</v>
      </c>
      <c r="K8" s="8">
        <f>1-GEVCUM(KVD!$D$70,KVD!$E$70,KVD!$F$70,$A8)</f>
        <v>0.93002500707986246</v>
      </c>
      <c r="L8" s="3">
        <f t="shared" si="8"/>
        <v>2.6596173447576521</v>
      </c>
      <c r="M8" s="3">
        <f t="shared" si="9"/>
        <v>0.37599393836526562</v>
      </c>
      <c r="N8" s="13">
        <f t="shared" si="10"/>
        <v>1.5329350120058698</v>
      </c>
      <c r="O8" s="8">
        <f>1-GEVCUM(KVD!$D$71,KVD!$E$71,KVD!$F$71,$A8)</f>
        <v>0.99800068815903042</v>
      </c>
      <c r="P8" s="3">
        <f t="shared" si="11"/>
        <v>6.2149522371463428</v>
      </c>
      <c r="Q8" s="3">
        <f t="shared" si="12"/>
        <v>0.16090228240581941</v>
      </c>
      <c r="R8" s="13">
        <f t="shared" si="15"/>
        <v>2.0952873677528627</v>
      </c>
      <c r="S8" s="8">
        <f>1-GEVCUM(KVD!$D$72,KVD!$E$72,KVD!$F$72,$A8)</f>
        <v>0.9989132460598158</v>
      </c>
      <c r="T8" s="3">
        <f t="shared" si="13"/>
        <v>6.8245600624436022</v>
      </c>
      <c r="U8" s="9">
        <f t="shared" si="14"/>
        <v>0.14652959177590416</v>
      </c>
      <c r="V8" s="32">
        <f t="shared" si="16"/>
        <v>2.0587452902657812</v>
      </c>
    </row>
    <row r="9" spans="1:22" x14ac:dyDescent="0.25">
      <c r="A9" s="23">
        <f t="shared" si="4"/>
        <v>42.5</v>
      </c>
      <c r="B9" s="13">
        <f t="shared" si="5"/>
        <v>40</v>
      </c>
      <c r="C9" s="8">
        <f>1-GEVCUM(KVD!$D$68,KVD!$E$68,KVD!$F$68,$A9)</f>
        <v>8.7533716579269449E-2</v>
      </c>
      <c r="D9" s="3">
        <f t="shared" si="0"/>
        <v>9.1604143884058298E-2</v>
      </c>
      <c r="E9" s="3">
        <f t="shared" si="1"/>
        <v>10.91653671547525</v>
      </c>
      <c r="F9" s="32">
        <f t="shared" si="6"/>
        <v>9.280637901026384E-2</v>
      </c>
      <c r="G9" s="8">
        <f>1-GEVCUM(KVD!$D$69,KVD!$E$69,KVD!$F$69,$A9)</f>
        <v>0.35244997708564407</v>
      </c>
      <c r="H9" s="3">
        <f t="shared" si="2"/>
        <v>0.43455923292630733</v>
      </c>
      <c r="I9" s="3">
        <f t="shared" si="3"/>
        <v>2.3011822652254641</v>
      </c>
      <c r="J9" s="13">
        <f t="shared" si="7"/>
        <v>0.34722521160518455</v>
      </c>
      <c r="K9" s="8">
        <f>1-GEVCUM(KVD!$D$70,KVD!$E$70,KVD!$F$70,$A9)</f>
        <v>0.81636468028057363</v>
      </c>
      <c r="L9" s="3">
        <f t="shared" si="8"/>
        <v>1.694803446097608</v>
      </c>
      <c r="M9" s="3">
        <f t="shared" si="9"/>
        <v>0.59003892298104721</v>
      </c>
      <c r="N9" s="13">
        <f t="shared" si="10"/>
        <v>0.96481389866004408</v>
      </c>
      <c r="O9" s="8">
        <f>1-GEVCUM(KVD!$D$71,KVD!$E$71,KVD!$F$71,$A9)</f>
        <v>0.99024232075295371</v>
      </c>
      <c r="P9" s="3">
        <f t="shared" si="11"/>
        <v>4.6297006888967029</v>
      </c>
      <c r="Q9" s="3">
        <f t="shared" si="12"/>
        <v>0.21599668470972117</v>
      </c>
      <c r="R9" s="13">
        <f t="shared" si="15"/>
        <v>1.5852515482496399</v>
      </c>
      <c r="S9" s="8">
        <f>1-GEVCUM(KVD!$D$72,KVD!$E$72,KVD!$F$72,$A9)</f>
        <v>0.99459073710057477</v>
      </c>
      <c r="T9" s="3">
        <f t="shared" si="13"/>
        <v>5.2196424432020274</v>
      </c>
      <c r="U9" s="9">
        <f t="shared" si="14"/>
        <v>0.19158400424580477</v>
      </c>
      <c r="V9" s="32">
        <f t="shared" si="16"/>
        <v>1.6049176192415748</v>
      </c>
    </row>
    <row r="10" spans="1:22" x14ac:dyDescent="0.25">
      <c r="A10" s="23">
        <f t="shared" si="4"/>
        <v>47.5</v>
      </c>
      <c r="B10" s="13">
        <f t="shared" si="5"/>
        <v>45</v>
      </c>
      <c r="C10" s="8">
        <f>1-GEVCUM(KVD!$D$68,KVD!$E$68,KVD!$F$68,$A10)</f>
        <v>4.5986611625071006E-2</v>
      </c>
      <c r="D10" s="3">
        <f t="shared" si="0"/>
        <v>4.707757369634101E-2</v>
      </c>
      <c r="E10" s="3">
        <f t="shared" si="1"/>
        <v>21.241536499951835</v>
      </c>
      <c r="F10" s="32">
        <f t="shared" si="6"/>
        <v>4.4526570187717288E-2</v>
      </c>
      <c r="G10" s="8">
        <f>1-GEVCUM(KVD!$D$69,KVD!$E$69,KVD!$F$69,$A10)</f>
        <v>0.2181648731419974</v>
      </c>
      <c r="H10" s="3">
        <f t="shared" si="2"/>
        <v>0.24611139588564096</v>
      </c>
      <c r="I10" s="3">
        <f t="shared" si="3"/>
        <v>4.0632007160881889</v>
      </c>
      <c r="J10" s="13">
        <f t="shared" si="7"/>
        <v>0.18844783704066639</v>
      </c>
      <c r="K10" s="8">
        <f>1-GEVCUM(KVD!$D$70,KVD!$E$70,KVD!$F$70,$A10)</f>
        <v>0.6620229388969826</v>
      </c>
      <c r="L10" s="3">
        <f t="shared" si="8"/>
        <v>1.0847772523612775</v>
      </c>
      <c r="M10" s="3">
        <f t="shared" si="9"/>
        <v>0.92184823918759407</v>
      </c>
      <c r="N10" s="13">
        <f t="shared" si="10"/>
        <v>0.61002619373633049</v>
      </c>
      <c r="O10" s="8">
        <f>1-GEVCUM(KVD!$D$71,KVD!$E$71,KVD!$F$71,$A10)</f>
        <v>0.96777082328055175</v>
      </c>
      <c r="P10" s="3">
        <f t="shared" si="11"/>
        <v>3.4348831274013572</v>
      </c>
      <c r="Q10" s="3">
        <f t="shared" si="12"/>
        <v>0.29113072058336514</v>
      </c>
      <c r="R10" s="13">
        <f t="shared" si="15"/>
        <v>1.1948175614953453</v>
      </c>
      <c r="S10" s="8">
        <f>1-GEVCUM(KVD!$D$72,KVD!$E$72,KVD!$F$72,$A10)</f>
        <v>0.98119822032206505</v>
      </c>
      <c r="T10" s="3">
        <f t="shared" si="13"/>
        <v>3.9738037499066166</v>
      </c>
      <c r="U10" s="9">
        <f t="shared" si="14"/>
        <v>0.2516480588714276</v>
      </c>
      <c r="V10" s="32">
        <f t="shared" si="16"/>
        <v>1.2458386932954109</v>
      </c>
    </row>
    <row r="11" spans="1:22" x14ac:dyDescent="0.25">
      <c r="A11" s="23">
        <f t="shared" si="4"/>
        <v>52.5</v>
      </c>
      <c r="B11" s="13">
        <f t="shared" si="5"/>
        <v>50</v>
      </c>
      <c r="C11" s="8">
        <f>1-GEVCUM(KVD!$D$68,KVD!$E$68,KVD!$F$68,$A11)</f>
        <v>2.464370682963446E-2</v>
      </c>
      <c r="D11" s="3">
        <f t="shared" si="0"/>
        <v>2.4952445844483282E-2</v>
      </c>
      <c r="E11" s="3">
        <f t="shared" si="1"/>
        <v>40.076231654104134</v>
      </c>
      <c r="F11" s="32">
        <f t="shared" si="6"/>
        <v>2.2125127851857732E-2</v>
      </c>
      <c r="G11" s="8">
        <f>1-GEVCUM(KVD!$D$69,KVD!$E$69,KVD!$F$69,$A11)</f>
        <v>0.13224991539870656</v>
      </c>
      <c r="H11" s="3">
        <f t="shared" si="2"/>
        <v>0.14185152674523788</v>
      </c>
      <c r="I11" s="3">
        <f t="shared" si="3"/>
        <v>7.0496245119446428</v>
      </c>
      <c r="J11" s="13">
        <f t="shared" si="7"/>
        <v>0.10425986914040306</v>
      </c>
      <c r="K11" s="8">
        <f>1-GEVCUM(KVD!$D$70,KVD!$E$70,KVD!$F$70,$A11)</f>
        <v>0.50209275934940412</v>
      </c>
      <c r="L11" s="3">
        <f t="shared" si="8"/>
        <v>0.69734148306055499</v>
      </c>
      <c r="M11" s="3">
        <f t="shared" si="9"/>
        <v>1.434017657476951</v>
      </c>
      <c r="N11" s="13">
        <f t="shared" si="10"/>
        <v>0.38743576930072254</v>
      </c>
      <c r="O11" s="8">
        <f>1-GEVCUM(KVD!$D$71,KVD!$E$71,KVD!$F$71,$A11)</f>
        <v>0.92096389946293944</v>
      </c>
      <c r="P11" s="3">
        <f t="shared" si="11"/>
        <v>2.5378505620700196</v>
      </c>
      <c r="Q11" s="3">
        <f t="shared" si="12"/>
        <v>0.39403423312062213</v>
      </c>
      <c r="R11" s="13">
        <f t="shared" si="15"/>
        <v>0.89703256533133802</v>
      </c>
      <c r="S11" s="8">
        <f>1-GEVCUM(KVD!$D$72,KVD!$E$72,KVD!$F$72,$A11)</f>
        <v>0.95075449758083241</v>
      </c>
      <c r="T11" s="3">
        <f t="shared" si="13"/>
        <v>3.0109372369723171</v>
      </c>
      <c r="U11" s="9">
        <f t="shared" si="14"/>
        <v>0.33212249917423109</v>
      </c>
      <c r="V11" s="32">
        <f t="shared" si="16"/>
        <v>0.96286651293429948</v>
      </c>
    </row>
    <row r="12" spans="1:22" x14ac:dyDescent="0.25">
      <c r="A12" s="23">
        <f t="shared" si="4"/>
        <v>57.5</v>
      </c>
      <c r="B12" s="13">
        <f t="shared" si="5"/>
        <v>55</v>
      </c>
      <c r="C12" s="8">
        <f>1-GEVCUM(KVD!$D$68,KVD!$E$68,KVD!$F$68,$A12)</f>
        <v>1.3510594211037064E-2</v>
      </c>
      <c r="D12" s="3">
        <f t="shared" si="0"/>
        <v>1.3602692767235991E-2</v>
      </c>
      <c r="E12" s="3">
        <f t="shared" si="1"/>
        <v>73.514856000323803</v>
      </c>
      <c r="F12" s="32">
        <f t="shared" si="6"/>
        <v>1.1349753077247287E-2</v>
      </c>
      <c r="G12" s="8">
        <f>1-GEVCUM(KVD!$D$69,KVD!$E$69,KVD!$F$69,$A12)</f>
        <v>7.9758249816315074E-2</v>
      </c>
      <c r="H12" s="3">
        <f t="shared" si="2"/>
        <v>8.3118871518762141E-2</v>
      </c>
      <c r="I12" s="3">
        <f t="shared" si="3"/>
        <v>12.030962183771628</v>
      </c>
      <c r="J12" s="13">
        <f t="shared" si="7"/>
        <v>5.8732655226475736E-2</v>
      </c>
      <c r="K12" s="8">
        <f>1-GEVCUM(KVD!$D$70,KVD!$E$70,KVD!$F$70,$A12)</f>
        <v>0.36249432041868912</v>
      </c>
      <c r="L12" s="3">
        <f t="shared" si="8"/>
        <v>0.45019209284208772</v>
      </c>
      <c r="M12" s="3">
        <f t="shared" si="9"/>
        <v>2.221274020356387</v>
      </c>
      <c r="N12" s="13">
        <f t="shared" si="10"/>
        <v>0.24714939021846727</v>
      </c>
      <c r="O12" s="8">
        <f>1-GEVCUM(KVD!$D$71,KVD!$E$71,KVD!$F$71,$A12)</f>
        <v>0.84542647651564562</v>
      </c>
      <c r="P12" s="3">
        <f t="shared" si="11"/>
        <v>1.8670854156817556</v>
      </c>
      <c r="Q12" s="3">
        <f t="shared" si="12"/>
        <v>0.53559413597307526</v>
      </c>
      <c r="R12" s="13">
        <f t="shared" si="15"/>
        <v>0.67076514638826379</v>
      </c>
      <c r="S12" s="8">
        <f>1-GEVCUM(KVD!$D$72,KVD!$E$72,KVD!$F$72,$A12)</f>
        <v>0.89670244472217131</v>
      </c>
      <c r="T12" s="3">
        <f t="shared" si="13"/>
        <v>2.2701415693725213</v>
      </c>
      <c r="U12" s="9">
        <f t="shared" si="14"/>
        <v>0.44050116234663067</v>
      </c>
      <c r="V12" s="32">
        <f t="shared" si="16"/>
        <v>0.74079566759979576</v>
      </c>
    </row>
    <row r="13" spans="1:22" x14ac:dyDescent="0.25">
      <c r="A13" s="23">
        <f t="shared" si="4"/>
        <v>62.5</v>
      </c>
      <c r="B13" s="13">
        <f t="shared" si="5"/>
        <v>60</v>
      </c>
      <c r="C13" s="8">
        <f>1-GEVCUM(KVD!$D$68,KVD!$E$68,KVD!$F$68,$A13)</f>
        <v>7.5798737193293331E-3</v>
      </c>
      <c r="D13" s="3">
        <f t="shared" si="0"/>
        <v>7.6087469583355329E-3</v>
      </c>
      <c r="E13" s="3">
        <f t="shared" si="1"/>
        <v>131.42768519913523</v>
      </c>
      <c r="F13" s="32">
        <f t="shared" si="6"/>
        <v>5.9939458089004593E-3</v>
      </c>
      <c r="G13" s="8">
        <f>1-GEVCUM(KVD!$D$69,KVD!$E$69,KVD!$F$69,$A13)</f>
        <v>4.8263065621542811E-2</v>
      </c>
      <c r="H13" s="3">
        <f t="shared" si="2"/>
        <v>4.9466611811178382E-2</v>
      </c>
      <c r="I13" s="3">
        <f t="shared" si="3"/>
        <v>20.215655841098492</v>
      </c>
      <c r="J13" s="13">
        <f t="shared" si="7"/>
        <v>3.3652259707583752E-2</v>
      </c>
      <c r="K13" s="8">
        <f>1-GEVCUM(KVD!$D$70,KVD!$E$70,KVD!$F$70,$A13)</f>
        <v>0.25312080783551338</v>
      </c>
      <c r="L13" s="3">
        <f t="shared" si="8"/>
        <v>0.29185183093811568</v>
      </c>
      <c r="M13" s="3">
        <f t="shared" si="9"/>
        <v>3.4263961846175301</v>
      </c>
      <c r="N13" s="13">
        <f t="shared" si="10"/>
        <v>0.15834026190397205</v>
      </c>
      <c r="O13" s="8">
        <f>1-GEVCUM(KVD!$D$71,KVD!$E$71,KVD!$F$71,$A13)</f>
        <v>0.74527774629362065</v>
      </c>
      <c r="P13" s="3">
        <f t="shared" si="11"/>
        <v>1.3675815285858186</v>
      </c>
      <c r="Q13" s="3">
        <f t="shared" si="12"/>
        <v>0.73121783169598276</v>
      </c>
      <c r="R13" s="13">
        <f t="shared" si="15"/>
        <v>0.49950388709593718</v>
      </c>
      <c r="S13" s="8">
        <f>1-GEVCUM(KVD!$D$72,KVD!$E$72,KVD!$F$72,$A13)</f>
        <v>0.817840709838631</v>
      </c>
      <c r="T13" s="3">
        <f t="shared" si="13"/>
        <v>1.7028737540207572</v>
      </c>
      <c r="U13" s="9">
        <f t="shared" si="14"/>
        <v>0.58724259366781595</v>
      </c>
      <c r="V13" s="32">
        <f t="shared" si="16"/>
        <v>0.56726781535176385</v>
      </c>
    </row>
    <row r="14" spans="1:22" x14ac:dyDescent="0.25">
      <c r="A14" s="23">
        <f t="shared" si="4"/>
        <v>67.5</v>
      </c>
      <c r="B14" s="13">
        <f t="shared" si="5"/>
        <v>65</v>
      </c>
      <c r="C14" s="8">
        <f>1-GEVCUM(KVD!$D$68,KVD!$E$68,KVD!$F$68,$A14)</f>
        <v>4.3483274064928246E-3</v>
      </c>
      <c r="D14" s="3">
        <f t="shared" si="0"/>
        <v>4.3578088777870708E-3</v>
      </c>
      <c r="E14" s="3">
        <f t="shared" si="1"/>
        <v>229.47312010337814</v>
      </c>
      <c r="F14" s="32">
        <f t="shared" si="6"/>
        <v>3.2509380805484612E-3</v>
      </c>
      <c r="G14" s="8">
        <f>1-GEVCUM(KVD!$D$69,KVD!$E$69,KVD!$F$69,$A14)</f>
        <v>2.9431987384107905E-2</v>
      </c>
      <c r="H14" s="3">
        <f t="shared" si="2"/>
        <v>2.9873798853399552E-2</v>
      </c>
      <c r="I14" s="3">
        <f t="shared" si="3"/>
        <v>33.47414920035196</v>
      </c>
      <c r="J14" s="13">
        <f t="shared" si="7"/>
        <v>1.9592812957778833E-2</v>
      </c>
      <c r="K14" s="8">
        <f>1-GEVCUM(KVD!$D$70,KVD!$E$70,KVD!$F$70,$A14)</f>
        <v>0.1730232637725162</v>
      </c>
      <c r="L14" s="3">
        <f t="shared" si="8"/>
        <v>0.18997871467154245</v>
      </c>
      <c r="M14" s="3">
        <f t="shared" si="9"/>
        <v>5.2637475820852755</v>
      </c>
      <c r="N14" s="13">
        <f t="shared" si="10"/>
        <v>0.10187311626657322</v>
      </c>
      <c r="O14" s="8">
        <f>1-GEVCUM(KVD!$D$71,KVD!$E$71,KVD!$F$71,$A14)</f>
        <v>0.63108517052947477</v>
      </c>
      <c r="P14" s="3">
        <f t="shared" si="11"/>
        <v>0.99718947602638408</v>
      </c>
      <c r="Q14" s="3">
        <f t="shared" si="12"/>
        <v>1.0028184452816482</v>
      </c>
      <c r="R14" s="13">
        <f t="shared" si="15"/>
        <v>0.37039205255943441</v>
      </c>
      <c r="S14" s="8">
        <f>1-GEVCUM(KVD!$D$72,KVD!$E$72,KVD!$F$72,$A14)</f>
        <v>0.71933633803839103</v>
      </c>
      <c r="T14" s="3">
        <f t="shared" si="13"/>
        <v>1.2705982590651934</v>
      </c>
      <c r="U14" s="9">
        <f t="shared" si="14"/>
        <v>0.78703082808859004</v>
      </c>
      <c r="V14" s="32">
        <f t="shared" si="16"/>
        <v>0.43227549495556405</v>
      </c>
    </row>
    <row r="15" spans="1:22" x14ac:dyDescent="0.25">
      <c r="A15" s="23">
        <f t="shared" si="4"/>
        <v>72.5</v>
      </c>
      <c r="B15" s="13">
        <f t="shared" si="5"/>
        <v>70</v>
      </c>
      <c r="C15" s="8">
        <f>1-GEVCUM(KVD!$D$68,KVD!$E$68,KVD!$F$68,$A15)</f>
        <v>2.5476117681251242E-3</v>
      </c>
      <c r="D15" s="3">
        <f t="shared" si="0"/>
        <v>2.5508624531483219E-3</v>
      </c>
      <c r="E15" s="3">
        <f t="shared" si="1"/>
        <v>392.02427350239185</v>
      </c>
      <c r="F15" s="32">
        <f t="shared" si="6"/>
        <v>1.8069464246387489E-3</v>
      </c>
      <c r="G15" s="8">
        <f>1-GEVCUM(KVD!$D$69,KVD!$E$69,KVD!$F$69,$A15)</f>
        <v>1.8126691970442144E-2</v>
      </c>
      <c r="H15" s="3">
        <f t="shared" si="2"/>
        <v>1.829299317724185E-2</v>
      </c>
      <c r="I15" s="3">
        <f t="shared" si="3"/>
        <v>54.665739516269603</v>
      </c>
      <c r="J15" s="13">
        <f t="shared" si="7"/>
        <v>1.1580805676157706E-2</v>
      </c>
      <c r="K15" s="8">
        <f>1-GEVCUM(KVD!$D$70,KVD!$E$70,KVD!$F$70,$A15)</f>
        <v>0.11676412839683714</v>
      </c>
      <c r="L15" s="3">
        <f t="shared" si="8"/>
        <v>0.12416298879138141</v>
      </c>
      <c r="M15" s="3">
        <f t="shared" si="9"/>
        <v>8.0539298363717666</v>
      </c>
      <c r="N15" s="13">
        <f t="shared" si="10"/>
        <v>6.5815725880161047E-2</v>
      </c>
      <c r="O15" s="8">
        <f>1-GEVCUM(KVD!$D$71,KVD!$E$71,KVD!$F$71,$A15)</f>
        <v>0.51506242038981742</v>
      </c>
      <c r="P15" s="3">
        <f t="shared" si="11"/>
        <v>0.72373509816212078</v>
      </c>
      <c r="Q15" s="3">
        <f t="shared" si="12"/>
        <v>1.3817210227049046</v>
      </c>
      <c r="R15" s="13">
        <f t="shared" si="15"/>
        <v>0.27345437786426341</v>
      </c>
      <c r="S15" s="8">
        <f>1-GEVCUM(KVD!$D$72,KVD!$E$72,KVD!$F$72,$A15)</f>
        <v>0.61048483886097238</v>
      </c>
      <c r="T15" s="3">
        <f t="shared" si="13"/>
        <v>0.94285248981006453</v>
      </c>
      <c r="U15" s="9">
        <f t="shared" si="14"/>
        <v>1.0606112947757582</v>
      </c>
      <c r="V15" s="32">
        <f t="shared" si="16"/>
        <v>0.32774576925512877</v>
      </c>
    </row>
    <row r="16" spans="1:22" x14ac:dyDescent="0.25">
      <c r="A16" s="23">
        <f t="shared" si="4"/>
        <v>77.5</v>
      </c>
      <c r="B16" s="13">
        <f t="shared" si="5"/>
        <v>75</v>
      </c>
      <c r="C16" s="8">
        <f>1-GEVCUM(KVD!$D$68,KVD!$E$68,KVD!$F$68,$A16)</f>
        <v>1.5223925031907504E-3</v>
      </c>
      <c r="D16" s="3">
        <f t="shared" si="0"/>
        <v>1.5235525201411939E-3</v>
      </c>
      <c r="E16" s="3">
        <f t="shared" si="1"/>
        <v>656.36070091454803</v>
      </c>
      <c r="F16" s="32">
        <f t="shared" si="6"/>
        <v>1.0273099330071281E-3</v>
      </c>
      <c r="G16" s="8">
        <f>1-GEVCUM(KVD!$D$69,KVD!$E$69,KVD!$F$69,$A16)</f>
        <v>1.1285252581830441E-2</v>
      </c>
      <c r="H16" s="3">
        <f t="shared" si="2"/>
        <v>1.1349414221676827E-2</v>
      </c>
      <c r="I16" s="3">
        <f t="shared" si="3"/>
        <v>88.110274280944722</v>
      </c>
      <c r="J16" s="13">
        <f t="shared" si="7"/>
        <v>6.9435789555650235E-3</v>
      </c>
      <c r="K16" s="8">
        <f>1-GEVCUM(KVD!$D$70,KVD!$E$70,KVD!$F$70,$A16)</f>
        <v>7.8238599815018239E-2</v>
      </c>
      <c r="L16" s="3">
        <f t="shared" si="8"/>
        <v>8.1468873964998731E-2</v>
      </c>
      <c r="M16" s="3">
        <f t="shared" si="9"/>
        <v>12.274626508642154</v>
      </c>
      <c r="N16" s="13">
        <f t="shared" si="10"/>
        <v>4.2694114826382676E-2</v>
      </c>
      <c r="O16" s="8">
        <f>1-GEVCUM(KVD!$D$71,KVD!$E$71,KVD!$F$71,$A16)</f>
        <v>0.40711534609122002</v>
      </c>
      <c r="P16" s="3">
        <f t="shared" si="11"/>
        <v>0.52275541170586293</v>
      </c>
      <c r="Q16" s="3">
        <f t="shared" si="12"/>
        <v>1.9129405025895108</v>
      </c>
      <c r="R16" s="13">
        <f t="shared" si="15"/>
        <v>0.20097968645625786</v>
      </c>
      <c r="S16" s="8">
        <f>1-GEVCUM(KVD!$D$72,KVD!$E$72,KVD!$F$72,$A16)</f>
        <v>0.501255096204551</v>
      </c>
      <c r="T16" s="3">
        <f t="shared" si="13"/>
        <v>0.69566052878425444</v>
      </c>
      <c r="U16" s="9">
        <f t="shared" si="14"/>
        <v>1.4374827356492588</v>
      </c>
      <c r="V16" s="32">
        <f t="shared" si="16"/>
        <v>0.2471919610258102</v>
      </c>
    </row>
    <row r="17" spans="1:22" x14ac:dyDescent="0.25">
      <c r="A17" s="23">
        <f t="shared" si="4"/>
        <v>82.5</v>
      </c>
      <c r="B17" s="13">
        <f t="shared" si="5"/>
        <v>80</v>
      </c>
      <c r="C17" s="8">
        <f>1-GEVCUM(KVD!$D$68,KVD!$E$68,KVD!$F$68,$A17)</f>
        <v>9.2670871313749181E-4</v>
      </c>
      <c r="D17" s="3">
        <f t="shared" si="0"/>
        <v>9.2713837312393917E-4</v>
      </c>
      <c r="E17" s="3">
        <f t="shared" si="1"/>
        <v>1078.5876509787399</v>
      </c>
      <c r="F17" s="32">
        <f t="shared" si="6"/>
        <v>5.9641414701725479E-4</v>
      </c>
      <c r="G17" s="8">
        <f>1-GEVCUM(KVD!$D$69,KVD!$E$69,KVD!$F$69,$A17)</f>
        <v>7.1041593360497979E-3</v>
      </c>
      <c r="H17" s="3">
        <f t="shared" si="2"/>
        <v>7.1295140298700439E-3</v>
      </c>
      <c r="I17" s="3">
        <f t="shared" si="3"/>
        <v>140.26201446695629</v>
      </c>
      <c r="J17" s="13">
        <f t="shared" si="7"/>
        <v>4.2199001918067818E-3</v>
      </c>
      <c r="K17" s="8">
        <f>1-GEVCUM(KVD!$D$70,KVD!$E$70,KVD!$F$70,$A17)</f>
        <v>5.2248228009682984E-2</v>
      </c>
      <c r="L17" s="3">
        <f t="shared" si="8"/>
        <v>5.3662654906283191E-2</v>
      </c>
      <c r="M17" s="3">
        <f t="shared" si="9"/>
        <v>18.634933395420084</v>
      </c>
      <c r="N17" s="13">
        <f t="shared" si="10"/>
        <v>2.7806219058715546E-2</v>
      </c>
      <c r="O17" s="8">
        <f>1-GEVCUM(KVD!$D$71,KVD!$E$71,KVD!$F$71,$A17)</f>
        <v>0.31320942518202632</v>
      </c>
      <c r="P17" s="3">
        <f t="shared" si="11"/>
        <v>0.37572587338150054</v>
      </c>
      <c r="Q17" s="3">
        <f t="shared" si="12"/>
        <v>2.6615148725321629</v>
      </c>
      <c r="R17" s="13">
        <f t="shared" si="15"/>
        <v>0.14702953832436239</v>
      </c>
      <c r="S17" s="8">
        <f>1-GEVCUM(KVD!$D$72,KVD!$E$72,KVD!$F$72,$A17)</f>
        <v>0.39964685881095996</v>
      </c>
      <c r="T17" s="3">
        <f t="shared" si="13"/>
        <v>0.51023722825618489</v>
      </c>
      <c r="U17" s="9">
        <f t="shared" si="14"/>
        <v>1.9598726722031938</v>
      </c>
      <c r="V17" s="32">
        <f t="shared" si="16"/>
        <v>0.18542330052806955</v>
      </c>
    </row>
    <row r="18" spans="1:22" x14ac:dyDescent="0.25">
      <c r="A18" s="23">
        <f t="shared" si="4"/>
        <v>87.5</v>
      </c>
      <c r="B18" s="13">
        <f t="shared" si="5"/>
        <v>85</v>
      </c>
      <c r="C18" s="8">
        <f>1-GEVCUM(KVD!$D$68,KVD!$E$68,KVD!$F$68,$A18)</f>
        <v>5.7392564619362929E-4</v>
      </c>
      <c r="D18" s="3">
        <f t="shared" si="0"/>
        <v>5.7409040455969236E-4</v>
      </c>
      <c r="E18" s="3">
        <f t="shared" si="1"/>
        <v>1741.8859330473667</v>
      </c>
      <c r="F18" s="32">
        <f t="shared" si="6"/>
        <v>3.5304796856424671E-4</v>
      </c>
      <c r="G18" s="8">
        <f>1-GEVCUM(KVD!$D$69,KVD!$E$69,KVD!$F$69,$A18)</f>
        <v>4.521541814476393E-3</v>
      </c>
      <c r="H18" s="3">
        <f t="shared" si="2"/>
        <v>4.5317949028518892E-3</v>
      </c>
      <c r="I18" s="3">
        <f t="shared" si="3"/>
        <v>220.66311945641962</v>
      </c>
      <c r="J18" s="13">
        <f t="shared" si="7"/>
        <v>2.5977191270181556E-3</v>
      </c>
      <c r="K18" s="8">
        <f>1-GEVCUM(KVD!$D$70,KVD!$E$70,KVD!$F$70,$A18)</f>
        <v>3.4859482861379187E-2</v>
      </c>
      <c r="L18" s="3">
        <f t="shared" si="8"/>
        <v>3.5481574628633432E-2</v>
      </c>
      <c r="M18" s="3">
        <f t="shared" si="9"/>
        <v>28.183642086532586</v>
      </c>
      <c r="N18" s="13">
        <f t="shared" si="10"/>
        <v>1.8181080277649753E-2</v>
      </c>
      <c r="O18" s="8">
        <f>1-GEVCUM(KVD!$D$71,KVD!$E$71,KVD!$F$71,$A18)</f>
        <v>0.23561017861659839</v>
      </c>
      <c r="P18" s="3">
        <f t="shared" si="11"/>
        <v>0.26867738252963413</v>
      </c>
      <c r="Q18" s="3">
        <f t="shared" si="12"/>
        <v>3.7219359165437145</v>
      </c>
      <c r="R18" s="13">
        <f t="shared" si="15"/>
        <v>0.10704849085186641</v>
      </c>
      <c r="S18" s="8">
        <f>1-GEVCUM(KVD!$D$72,KVD!$E$72,KVD!$F$72,$A18)</f>
        <v>0.31059994832336291</v>
      </c>
      <c r="T18" s="3">
        <f t="shared" si="13"/>
        <v>0.37193354994051631</v>
      </c>
      <c r="U18" s="9">
        <f t="shared" si="14"/>
        <v>2.6886523148017463</v>
      </c>
      <c r="V18" s="32">
        <f t="shared" si="16"/>
        <v>0.13830367831566859</v>
      </c>
    </row>
    <row r="19" spans="1:22" x14ac:dyDescent="0.25">
      <c r="A19" s="23">
        <f t="shared" si="4"/>
        <v>92.5</v>
      </c>
      <c r="B19" s="13">
        <f t="shared" si="5"/>
        <v>90</v>
      </c>
      <c r="C19" s="8">
        <f>1-GEVCUM(KVD!$D$68,KVD!$E$68,KVD!$F$68,$A19)</f>
        <v>3.6122323700926717E-4</v>
      </c>
      <c r="D19" s="3">
        <f t="shared" si="0"/>
        <v>3.6128849383807333E-4</v>
      </c>
      <c r="E19" s="3">
        <f t="shared" si="1"/>
        <v>2767.8711529855477</v>
      </c>
      <c r="F19" s="32">
        <f t="shared" si="6"/>
        <v>2.1280191072161903E-4</v>
      </c>
      <c r="G19" s="8">
        <f>1-GEVCUM(KVD!$D$69,KVD!$E$69,KVD!$F$69,$A19)</f>
        <v>2.9088301642363756E-3</v>
      </c>
      <c r="H19" s="3">
        <f t="shared" si="2"/>
        <v>2.9130690327933782E-3</v>
      </c>
      <c r="I19" s="3">
        <f t="shared" si="3"/>
        <v>343.28057067740946</v>
      </c>
      <c r="J19" s="13">
        <f t="shared" si="7"/>
        <v>1.618725870058511E-3</v>
      </c>
      <c r="K19" s="8">
        <f>1-GEVCUM(KVD!$D$70,KVD!$E$70,KVD!$F$70,$A19)</f>
        <v>2.3272915002187311E-2</v>
      </c>
      <c r="L19" s="3">
        <f t="shared" si="8"/>
        <v>2.3548005779989833E-2</v>
      </c>
      <c r="M19" s="3">
        <f t="shared" si="9"/>
        <v>42.466441079684145</v>
      </c>
      <c r="N19" s="13">
        <f t="shared" si="10"/>
        <v>1.1933568848643598E-2</v>
      </c>
      <c r="O19" s="8">
        <f>1-GEVCUM(KVD!$D$71,KVD!$E$71,KVD!$F$71,$A19)</f>
        <v>0.17396766311471534</v>
      </c>
      <c r="P19" s="3">
        <f t="shared" si="11"/>
        <v>0.19112135745592107</v>
      </c>
      <c r="Q19" s="3">
        <f t="shared" si="12"/>
        <v>5.2322776130900657</v>
      </c>
      <c r="R19" s="13">
        <f t="shared" si="15"/>
        <v>7.7556025073713036E-2</v>
      </c>
      <c r="S19" s="8">
        <f>1-GEVCUM(KVD!$D$72,KVD!$E$72,KVD!$F$72,$A19)</f>
        <v>0.23614831910148615</v>
      </c>
      <c r="T19" s="3">
        <f t="shared" si="13"/>
        <v>0.26938164361183431</v>
      </c>
      <c r="U19" s="9">
        <f t="shared" si="14"/>
        <v>3.7122054294128177</v>
      </c>
      <c r="V19" s="32">
        <f t="shared" si="16"/>
        <v>0.102551906328682</v>
      </c>
    </row>
    <row r="20" spans="1:22" x14ac:dyDescent="0.25">
      <c r="A20" s="23">
        <f t="shared" si="4"/>
        <v>97.5</v>
      </c>
      <c r="B20" s="13">
        <f t="shared" si="5"/>
        <v>95</v>
      </c>
      <c r="C20" s="8">
        <f>1-GEVCUM(KVD!$D$68,KVD!$E$68,KVD!$F$68,$A20)</f>
        <v>2.3081049945239407E-4</v>
      </c>
      <c r="D20" s="3">
        <f t="shared" si="0"/>
        <v>2.3083714029512579E-4</v>
      </c>
      <c r="E20" s="3">
        <f t="shared" si="1"/>
        <v>4332.0585184927249</v>
      </c>
      <c r="F20" s="32">
        <f t="shared" si="6"/>
        <v>3.6128849383807333E-4</v>
      </c>
      <c r="G20" s="8">
        <f>1-GEVCUM(KVD!$D$69,KVD!$E$69,KVD!$F$69,$A20)</f>
        <v>1.8908424939951818E-3</v>
      </c>
      <c r="H20" s="3">
        <f t="shared" si="2"/>
        <v>1.8926323932980532E-3</v>
      </c>
      <c r="I20" s="3">
        <f t="shared" si="3"/>
        <v>528.36462249144188</v>
      </c>
      <c r="J20" s="13">
        <f t="shared" si="7"/>
        <v>1.020436639495325E-3</v>
      </c>
      <c r="K20" s="8">
        <f>1-GEVCUM(KVD!$D$70,KVD!$E$70,KVD!$F$70,$A20)</f>
        <v>1.5563072130869493E-2</v>
      </c>
      <c r="L20" s="3">
        <f t="shared" si="8"/>
        <v>1.5685448095763579E-2</v>
      </c>
      <c r="M20" s="3">
        <f t="shared" si="9"/>
        <v>63.753358775264196</v>
      </c>
      <c r="N20" s="13">
        <f t="shared" si="10"/>
        <v>7.8625576842262547E-3</v>
      </c>
      <c r="O20" s="8">
        <f>1-GEVCUM(KVD!$D$71,KVD!$E$71,KVD!$F$71,$A20)</f>
        <v>0.1264740717928281</v>
      </c>
      <c r="P20" s="3">
        <f t="shared" si="11"/>
        <v>0.13521746672644086</v>
      </c>
      <c r="Q20" s="3">
        <f t="shared" si="12"/>
        <v>7.3954942671948221</v>
      </c>
      <c r="R20" s="13">
        <f t="shared" si="15"/>
        <v>5.5903890729480238E-2</v>
      </c>
      <c r="S20" s="8">
        <f>1-GEVCUM(KVD!$D$72,KVD!$E$72,KVD!$F$72,$A20)</f>
        <v>0.1761812126182023</v>
      </c>
      <c r="T20" s="3">
        <f t="shared" si="13"/>
        <v>0.19380469148419804</v>
      </c>
      <c r="U20" s="9">
        <f t="shared" si="14"/>
        <v>5.1598338117709366</v>
      </c>
      <c r="V20" s="32">
        <f t="shared" si="16"/>
        <v>7.5576952127636265E-2</v>
      </c>
    </row>
    <row r="21" spans="1:22" x14ac:dyDescent="0.25">
      <c r="A21" s="23">
        <f t="shared" si="4"/>
        <v>102.5</v>
      </c>
      <c r="B21" s="13">
        <f t="shared" si="5"/>
        <v>100</v>
      </c>
      <c r="C21" s="8"/>
      <c r="D21" s="3"/>
      <c r="E21" s="3"/>
      <c r="F21" s="32"/>
      <c r="G21" s="8">
        <f>1-GEVCUM(KVD!$D$69,KVD!$E$69,KVD!$F$69,$A21)</f>
        <v>1.2414476272002428E-3</v>
      </c>
      <c r="H21" s="3">
        <f t="shared" si="2"/>
        <v>1.2422188616699967E-3</v>
      </c>
      <c r="I21" s="3">
        <f t="shared" si="3"/>
        <v>805.01112231997035</v>
      </c>
      <c r="J21" s="13">
        <f t="shared" si="7"/>
        <v>6.5041353162805654E-4</v>
      </c>
      <c r="K21" s="8">
        <f>1-GEVCUM(KVD!$D$70,KVD!$E$70,KVD!$F$70,$A21)</f>
        <v>1.0431051550897852E-2</v>
      </c>
      <c r="L21" s="3">
        <f t="shared" si="8"/>
        <v>1.0485836277013693E-2</v>
      </c>
      <c r="M21" s="3">
        <f t="shared" si="9"/>
        <v>95.366737910273216</v>
      </c>
      <c r="N21" s="13">
        <f t="shared" si="10"/>
        <v>5.1996118187498854E-3</v>
      </c>
      <c r="O21" s="8">
        <f>1-GEVCUM(KVD!$D$71,KVD!$E$71,KVD!$F$71,$A21)</f>
        <v>9.0746902162156529E-2</v>
      </c>
      <c r="P21" s="3">
        <f t="shared" si="11"/>
        <v>9.5131788095444161E-2</v>
      </c>
      <c r="Q21" s="3">
        <f t="shared" si="12"/>
        <v>10.511733459658263</v>
      </c>
      <c r="R21" s="13">
        <f t="shared" si="15"/>
        <v>4.0085678630996699E-2</v>
      </c>
      <c r="S21" s="8">
        <f>1-GEVCUM(KVD!$D$72,KVD!$E$72,KVD!$F$72,$A21)</f>
        <v>0.1293037939348014</v>
      </c>
      <c r="T21" s="3">
        <f t="shared" si="13"/>
        <v>0.13846215049575497</v>
      </c>
      <c r="U21" s="9">
        <f t="shared" si="14"/>
        <v>7.2221902983563613</v>
      </c>
      <c r="V21" s="32">
        <f t="shared" si="16"/>
        <v>5.5342540988443073E-2</v>
      </c>
    </row>
    <row r="22" spans="1:22" x14ac:dyDescent="0.25">
      <c r="A22" s="23">
        <f t="shared" si="4"/>
        <v>107.5</v>
      </c>
      <c r="B22" s="13">
        <f t="shared" si="5"/>
        <v>105</v>
      </c>
      <c r="C22" s="8"/>
      <c r="D22" s="3"/>
      <c r="E22" s="3"/>
      <c r="F22" s="32"/>
      <c r="G22" s="8">
        <f>1-GEVCUM(KVD!$D$69,KVD!$E$69,KVD!$F$69,$A22)</f>
        <v>8.2293223341822763E-4</v>
      </c>
      <c r="H22" s="3">
        <f t="shared" si="2"/>
        <v>8.2327102803138427E-4</v>
      </c>
      <c r="I22" s="3">
        <f t="shared" si="3"/>
        <v>1214.6668180358688</v>
      </c>
      <c r="J22" s="13">
        <f t="shared" si="7"/>
        <v>1.2422188616699967E-3</v>
      </c>
      <c r="K22" s="8">
        <f>1-GEVCUM(KVD!$D$70,KVD!$E$70,KVD!$F$70,$A22)</f>
        <v>7.0100067231170238E-3</v>
      </c>
      <c r="L22" s="3">
        <f t="shared" si="8"/>
        <v>7.0346922517052031E-3</v>
      </c>
      <c r="M22" s="3">
        <f t="shared" si="9"/>
        <v>142.1526293147509</v>
      </c>
      <c r="N22" s="13">
        <f t="shared" si="10"/>
        <v>3.4511440253084903E-3</v>
      </c>
      <c r="O22" s="8">
        <f>1-GEVCUM(KVD!$D$71,KVD!$E$71,KVD!$F$71,$A22)</f>
        <v>6.4378106808000046E-2</v>
      </c>
      <c r="P22" s="3">
        <f t="shared" si="11"/>
        <v>6.6543844383430084E-2</v>
      </c>
      <c r="Q22" s="3">
        <f t="shared" si="12"/>
        <v>15.027686020632247</v>
      </c>
      <c r="R22" s="13">
        <f t="shared" si="15"/>
        <v>2.8587943712014077E-2</v>
      </c>
      <c r="S22" s="8">
        <f>1-GEVCUM(KVD!$D$72,KVD!$E$72,KVD!$F$72,$A22)</f>
        <v>9.3537681470903689E-2</v>
      </c>
      <c r="T22" s="3">
        <f t="shared" si="13"/>
        <v>9.8205817738250309E-2</v>
      </c>
      <c r="U22" s="9">
        <f t="shared" si="14"/>
        <v>10.182696127690903</v>
      </c>
      <c r="V22" s="32">
        <f t="shared" si="16"/>
        <v>4.0256332757504662E-2</v>
      </c>
    </row>
    <row r="23" spans="1:22" x14ac:dyDescent="0.25">
      <c r="A23" s="23">
        <f t="shared" si="4"/>
        <v>112.5</v>
      </c>
      <c r="B23" s="13">
        <f t="shared" si="5"/>
        <v>110</v>
      </c>
      <c r="C23" s="8"/>
      <c r="D23" s="3"/>
      <c r="E23" s="3"/>
      <c r="F23" s="32"/>
      <c r="G23" s="8"/>
      <c r="H23" s="3"/>
      <c r="I23" s="3"/>
      <c r="J23" s="13"/>
      <c r="K23" s="8">
        <f>1-GEVCUM(KVD!$D$70,KVD!$E$70,KVD!$F$70,$A23)</f>
        <v>4.7246355499441783E-3</v>
      </c>
      <c r="L23" s="3">
        <f t="shared" si="8"/>
        <v>4.7358319202501454E-3</v>
      </c>
      <c r="M23" s="3">
        <f t="shared" si="9"/>
        <v>211.15614254045997</v>
      </c>
      <c r="N23" s="13">
        <f t="shared" si="10"/>
        <v>2.2988603314550576E-3</v>
      </c>
      <c r="O23" s="8">
        <f>1-GEVCUM(KVD!$D$71,KVD!$E$71,KVD!$F$71,$A23)</f>
        <v>4.5215461765849785E-2</v>
      </c>
      <c r="P23" s="3">
        <f t="shared" si="11"/>
        <v>4.6269578370669924E-2</v>
      </c>
      <c r="Q23" s="3">
        <f t="shared" si="12"/>
        <v>21.612472713472908</v>
      </c>
      <c r="R23" s="13">
        <f t="shared" si="15"/>
        <v>2.027426601276016E-2</v>
      </c>
      <c r="S23" s="8">
        <f>1-GEVCUM(KVD!$D$72,KVD!$E$72,KVD!$F$72,$A23)</f>
        <v>6.6791126223175401E-2</v>
      </c>
      <c r="T23" s="3">
        <f t="shared" si="13"/>
        <v>6.912622990362062E-2</v>
      </c>
      <c r="U23" s="9">
        <f t="shared" si="14"/>
        <v>14.466288721289327</v>
      </c>
      <c r="V23" s="32">
        <f t="shared" si="16"/>
        <v>2.9079587834629689E-2</v>
      </c>
    </row>
    <row r="24" spans="1:22" x14ac:dyDescent="0.25">
      <c r="A24" s="23">
        <f t="shared" si="4"/>
        <v>117.5</v>
      </c>
      <c r="B24" s="13">
        <f t="shared" si="5"/>
        <v>115</v>
      </c>
      <c r="C24" s="8"/>
      <c r="D24" s="3"/>
      <c r="E24" s="3"/>
      <c r="F24" s="32"/>
      <c r="G24" s="8"/>
      <c r="H24" s="3"/>
      <c r="I24" s="3"/>
      <c r="J24" s="13"/>
      <c r="K24" s="8">
        <f>1-GEVCUM(KVD!$D$70,KVD!$E$70,KVD!$F$70,$A24)</f>
        <v>3.1940084515706957E-3</v>
      </c>
      <c r="L24" s="3">
        <f t="shared" si="8"/>
        <v>3.199120184078343E-3</v>
      </c>
      <c r="M24" s="3">
        <f t="shared" si="9"/>
        <v>312.58594315302258</v>
      </c>
      <c r="N24" s="13">
        <f t="shared" si="10"/>
        <v>1.5367117361718028E-3</v>
      </c>
      <c r="O24" s="8">
        <f>1-GEVCUM(KVD!$D$71,KVD!$E$71,KVD!$F$71,$A24)</f>
        <v>3.1468481445604213E-2</v>
      </c>
      <c r="P24" s="3">
        <f t="shared" si="11"/>
        <v>3.1974252984294502E-2</v>
      </c>
      <c r="Q24" s="3">
        <f t="shared" si="12"/>
        <v>31.275163816686884</v>
      </c>
      <c r="R24" s="13">
        <f t="shared" si="15"/>
        <v>1.4295325386375422E-2</v>
      </c>
      <c r="S24" s="8">
        <f>1-GEVCUM(KVD!$D$72,KVD!$E$72,KVD!$F$72,$A24)</f>
        <v>4.712579094256697E-2</v>
      </c>
      <c r="T24" s="3">
        <f t="shared" si="13"/>
        <v>4.8272378733145861E-2</v>
      </c>
      <c r="U24" s="9">
        <f t="shared" si="14"/>
        <v>20.715780457559212</v>
      </c>
      <c r="V24" s="32">
        <f t="shared" si="16"/>
        <v>2.0853851170474759E-2</v>
      </c>
    </row>
    <row r="25" spans="1:22" x14ac:dyDescent="0.25">
      <c r="A25" s="23">
        <f t="shared" si="4"/>
        <v>122.5</v>
      </c>
      <c r="B25" s="13">
        <f t="shared" si="5"/>
        <v>120</v>
      </c>
      <c r="C25" s="8"/>
      <c r="D25" s="3"/>
      <c r="E25" s="3"/>
      <c r="F25" s="32"/>
      <c r="G25" s="8"/>
      <c r="H25" s="3"/>
      <c r="I25" s="3"/>
      <c r="J25" s="13"/>
      <c r="K25" s="8">
        <f>1-GEVCUM(KVD!$D$70,KVD!$E$70,KVD!$F$70,$A25)</f>
        <v>2.1659667758258117E-3</v>
      </c>
      <c r="L25" s="3">
        <f t="shared" si="8"/>
        <v>2.168315874522252E-3</v>
      </c>
      <c r="M25" s="3">
        <f t="shared" si="9"/>
        <v>461.18741819400799</v>
      </c>
      <c r="N25" s="13">
        <f t="shared" si="10"/>
        <v>3.1991201840783426E-3</v>
      </c>
      <c r="O25" s="8">
        <f>1-GEVCUM(KVD!$D$71,KVD!$E$71,KVD!$F$71,$A25)</f>
        <v>2.1715557513965811E-2</v>
      </c>
      <c r="P25" s="3">
        <f t="shared" si="11"/>
        <v>2.1954810245595969E-2</v>
      </c>
      <c r="Q25" s="3">
        <f t="shared" si="12"/>
        <v>45.548104894260938</v>
      </c>
      <c r="R25" s="13">
        <f t="shared" si="15"/>
        <v>1.0019442738698533E-2</v>
      </c>
      <c r="S25" s="8">
        <f>1-GEVCUM(KVD!$D$72,KVD!$E$72,KVD!$F$72,$A25)</f>
        <v>3.2878034099567133E-2</v>
      </c>
      <c r="T25" s="3">
        <f t="shared" si="13"/>
        <v>3.3430663353647097E-2</v>
      </c>
      <c r="U25" s="9">
        <f t="shared" si="14"/>
        <v>29.912658011642645</v>
      </c>
      <c r="V25" s="32">
        <f t="shared" si="16"/>
        <v>1.4841715379498764E-2</v>
      </c>
    </row>
    <row r="26" spans="1:22" x14ac:dyDescent="0.25">
      <c r="A26" s="23">
        <f t="shared" si="4"/>
        <v>127.5</v>
      </c>
      <c r="B26" s="13">
        <f t="shared" si="5"/>
        <v>125</v>
      </c>
      <c r="C26" s="8"/>
      <c r="D26" s="3"/>
      <c r="E26" s="3"/>
      <c r="F26" s="32"/>
      <c r="G26" s="8"/>
      <c r="H26" s="3"/>
      <c r="I26" s="3"/>
      <c r="J26" s="13"/>
      <c r="K26" s="8"/>
      <c r="L26" s="3"/>
      <c r="M26" s="3"/>
      <c r="N26" s="13"/>
      <c r="O26" s="8">
        <f>1-GEVCUM(KVD!$D$71,KVD!$E$71,KVD!$F$71,$A26)</f>
        <v>1.4864072984054344E-2</v>
      </c>
      <c r="P26" s="3">
        <f t="shared" si="11"/>
        <v>1.4975650360251025E-2</v>
      </c>
      <c r="Q26" s="3">
        <f t="shared" si="12"/>
        <v>66.775063248955135</v>
      </c>
      <c r="R26" s="13">
        <f t="shared" si="15"/>
        <v>6.9791598853449436E-3</v>
      </c>
      <c r="S26" s="8">
        <f>1-GEVCUM(KVD!$D$72,KVD!$E$72,KVD!$F$72,$A26)</f>
        <v>2.2690098068957609E-2</v>
      </c>
      <c r="T26" s="3">
        <f t="shared" si="13"/>
        <v>2.2951479762917521E-2</v>
      </c>
      <c r="U26" s="9">
        <f t="shared" si="14"/>
        <v>43.570175445318789</v>
      </c>
      <c r="V26" s="32">
        <f t="shared" si="16"/>
        <v>1.0479183590729579E-2</v>
      </c>
    </row>
    <row r="27" spans="1:22" x14ac:dyDescent="0.25">
      <c r="A27" s="23">
        <f t="shared" si="4"/>
        <v>132.5</v>
      </c>
      <c r="B27" s="13">
        <f t="shared" si="5"/>
        <v>130</v>
      </c>
      <c r="C27" s="8"/>
      <c r="D27" s="3"/>
      <c r="E27" s="3"/>
      <c r="F27" s="32"/>
      <c r="G27" s="8"/>
      <c r="H27" s="3"/>
      <c r="I27" s="3"/>
      <c r="J27" s="13"/>
      <c r="K27" s="8"/>
      <c r="L27" s="3"/>
      <c r="M27" s="3"/>
      <c r="N27" s="13"/>
      <c r="O27" s="8">
        <f>1-GEVCUM(KVD!$D$71,KVD!$E$71,KVD!$F$71,$A27)</f>
        <v>1.0094023492963622E-2</v>
      </c>
      <c r="P27" s="3">
        <f t="shared" si="11"/>
        <v>1.0145313588959546E-2</v>
      </c>
      <c r="Q27" s="3">
        <f t="shared" si="12"/>
        <v>98.567677699803383</v>
      </c>
      <c r="R27" s="13">
        <f t="shared" si="15"/>
        <v>4.8303367712914796E-3</v>
      </c>
      <c r="S27" s="8">
        <f>1-GEVCUM(KVD!$D$72,KVD!$E$72,KVD!$F$72,$A27)</f>
        <v>1.5492666148227974E-2</v>
      </c>
      <c r="T27" s="3">
        <f t="shared" si="13"/>
        <v>1.5613931614530136E-2</v>
      </c>
      <c r="U27" s="9">
        <f t="shared" si="14"/>
        <v>64.045368244690664</v>
      </c>
      <c r="V27" s="32">
        <f t="shared" si="16"/>
        <v>7.3375481483873815E-3</v>
      </c>
    </row>
    <row r="28" spans="1:22" x14ac:dyDescent="0.25">
      <c r="A28" s="23">
        <f t="shared" si="4"/>
        <v>137.5</v>
      </c>
      <c r="B28" s="13">
        <f t="shared" si="5"/>
        <v>135</v>
      </c>
      <c r="C28" s="8"/>
      <c r="D28" s="3"/>
      <c r="E28" s="3"/>
      <c r="F28" s="32"/>
      <c r="G28" s="8"/>
      <c r="H28" s="3"/>
      <c r="I28" s="3"/>
      <c r="J28" s="13"/>
      <c r="K28" s="8"/>
      <c r="L28" s="3"/>
      <c r="M28" s="3"/>
      <c r="N28" s="13"/>
      <c r="O28" s="8">
        <f>1-GEVCUM(KVD!$D$71,KVD!$E$71,KVD!$F$71,$A28)</f>
        <v>6.8011040371889209E-3</v>
      </c>
      <c r="P28" s="3">
        <f t="shared" si="11"/>
        <v>6.8243369447853379E-3</v>
      </c>
      <c r="Q28" s="3">
        <f t="shared" si="12"/>
        <v>146.53438247420172</v>
      </c>
      <c r="R28" s="13">
        <f t="shared" si="15"/>
        <v>3.3209766441742068E-3</v>
      </c>
      <c r="S28" s="8">
        <f>1-GEVCUM(KVD!$D$72,KVD!$E$72,KVD!$F$72,$A28)</f>
        <v>1.0465740102619803E-2</v>
      </c>
      <c r="T28" s="3">
        <f t="shared" si="13"/>
        <v>1.0520891095356881E-2</v>
      </c>
      <c r="U28" s="9">
        <f t="shared" si="14"/>
        <v>95.04898310764986</v>
      </c>
      <c r="V28" s="32">
        <f t="shared" si="16"/>
        <v>5.0930405191732548E-3</v>
      </c>
    </row>
    <row r="29" spans="1:22" x14ac:dyDescent="0.25">
      <c r="A29" s="23">
        <f t="shared" si="4"/>
        <v>142.5</v>
      </c>
      <c r="B29" s="13">
        <f t="shared" si="5"/>
        <v>140</v>
      </c>
      <c r="C29" s="8"/>
      <c r="D29" s="3"/>
      <c r="E29" s="3"/>
      <c r="F29" s="32"/>
      <c r="G29" s="8"/>
      <c r="H29" s="3"/>
      <c r="I29" s="3"/>
      <c r="J29" s="13"/>
      <c r="K29" s="8"/>
      <c r="L29" s="3"/>
      <c r="M29" s="3"/>
      <c r="N29" s="13"/>
      <c r="O29" s="8">
        <f>1-GEVCUM(KVD!$D$71,KVD!$E$71,KVD!$F$71,$A29)</f>
        <v>4.5463923167395892E-3</v>
      </c>
      <c r="P29" s="3">
        <f t="shared" si="11"/>
        <v>4.5567585896501553E-3</v>
      </c>
      <c r="Q29" s="3">
        <f t="shared" si="12"/>
        <v>219.45424150213208</v>
      </c>
      <c r="R29" s="13">
        <f t="shared" si="15"/>
        <v>2.2675783551351835E-3</v>
      </c>
      <c r="S29" s="8">
        <f>1-GEVCUM(KVD!$D$72,KVD!$E$72,KVD!$F$72,$A29)</f>
        <v>6.9935240416145739E-3</v>
      </c>
      <c r="T29" s="3">
        <f t="shared" si="13"/>
        <v>7.0180933485770669E-3</v>
      </c>
      <c r="U29" s="9">
        <f t="shared" si="14"/>
        <v>142.48884281408883</v>
      </c>
      <c r="V29" s="32">
        <f t="shared" si="16"/>
        <v>3.5027977467798144E-3</v>
      </c>
    </row>
    <row r="30" spans="1:22" x14ac:dyDescent="0.25">
      <c r="A30" s="23">
        <f t="shared" si="4"/>
        <v>147.5</v>
      </c>
      <c r="B30" s="13">
        <f t="shared" si="5"/>
        <v>145</v>
      </c>
      <c r="C30" s="8"/>
      <c r="D30" s="3"/>
      <c r="E30" s="3"/>
      <c r="F30" s="32"/>
      <c r="G30" s="8"/>
      <c r="H30" s="3"/>
      <c r="I30" s="3"/>
      <c r="J30" s="13"/>
      <c r="K30" s="8"/>
      <c r="L30" s="3"/>
      <c r="M30" s="3"/>
      <c r="N30" s="13"/>
      <c r="O30" s="8">
        <f>1-GEVCUM(KVD!$D$71,KVD!$E$71,KVD!$F$71,$A30)</f>
        <v>3.0149180297245337E-3</v>
      </c>
      <c r="P30" s="3">
        <f t="shared" si="11"/>
        <v>3.0194720507242768E-3</v>
      </c>
      <c r="Q30" s="3">
        <f t="shared" si="12"/>
        <v>331.18372457202622</v>
      </c>
      <c r="R30" s="13">
        <f t="shared" si="15"/>
        <v>1.5372865389258789E-3</v>
      </c>
      <c r="S30" s="8">
        <f>1-GEVCUM(KVD!$D$72,KVD!$E$72,KVD!$F$72,$A30)</f>
        <v>4.6214436967778605E-3</v>
      </c>
      <c r="T30" s="3">
        <f t="shared" si="13"/>
        <v>4.6321555833611075E-3</v>
      </c>
      <c r="U30" s="9">
        <f t="shared" si="14"/>
        <v>215.88221336779813</v>
      </c>
      <c r="V30" s="32">
        <f t="shared" si="16"/>
        <v>2.3859377652159595E-3</v>
      </c>
    </row>
    <row r="31" spans="1:22" x14ac:dyDescent="0.25">
      <c r="A31" s="23">
        <f t="shared" si="4"/>
        <v>152.5</v>
      </c>
      <c r="B31" s="13">
        <f t="shared" si="5"/>
        <v>150</v>
      </c>
      <c r="C31" s="8"/>
      <c r="D31" s="3"/>
      <c r="E31" s="3"/>
      <c r="F31" s="32"/>
      <c r="G31" s="8"/>
      <c r="H31" s="3"/>
      <c r="I31" s="3"/>
      <c r="J31" s="13"/>
      <c r="K31" s="8"/>
      <c r="L31" s="3"/>
      <c r="M31" s="3"/>
      <c r="N31" s="13"/>
      <c r="O31" s="8">
        <f>1-GEVCUM(KVD!$D$71,KVD!$E$71,KVD!$F$71,$A31)</f>
        <v>1.9830164885652479E-3</v>
      </c>
      <c r="P31" s="3">
        <f t="shared" si="11"/>
        <v>1.984985268942072E-3</v>
      </c>
      <c r="Q31" s="3">
        <f t="shared" si="12"/>
        <v>503.78207619292061</v>
      </c>
      <c r="R31" s="13">
        <f t="shared" si="15"/>
        <v>1.0344867817822043E-3</v>
      </c>
      <c r="S31" s="8">
        <f>1-GEVCUM(KVD!$D$72,KVD!$E$72,KVD!$F$72,$A31)</f>
        <v>3.0188442648598768E-3</v>
      </c>
      <c r="T31" s="3">
        <f t="shared" si="13"/>
        <v>3.0234101666874302E-3</v>
      </c>
      <c r="U31" s="9">
        <f t="shared" si="14"/>
        <v>330.75234416362377</v>
      </c>
      <c r="V31" s="32">
        <f t="shared" si="16"/>
        <v>1.6087454166736773E-3</v>
      </c>
    </row>
    <row r="32" spans="1:22" x14ac:dyDescent="0.25">
      <c r="A32" s="23">
        <f t="shared" si="4"/>
        <v>157.5</v>
      </c>
      <c r="B32" s="13">
        <f t="shared" si="5"/>
        <v>155</v>
      </c>
      <c r="C32" s="8"/>
      <c r="D32" s="3"/>
      <c r="E32" s="3"/>
      <c r="F32" s="32"/>
      <c r="G32" s="8"/>
      <c r="H32" s="3"/>
      <c r="I32" s="3"/>
      <c r="J32" s="13"/>
      <c r="K32" s="8"/>
      <c r="L32" s="3"/>
      <c r="M32" s="3"/>
      <c r="N32" s="13"/>
      <c r="O32" s="8">
        <f>1-GEVCUM(KVD!$D$71,KVD!$E$71,KVD!$F$71,$A32)</f>
        <v>1.293356128825196E-3</v>
      </c>
      <c r="P32" s="3">
        <f t="shared" si="11"/>
        <v>1.294193235725922E-3</v>
      </c>
      <c r="Q32" s="3">
        <f t="shared" si="12"/>
        <v>772.68214080804796</v>
      </c>
      <c r="R32" s="13">
        <f t="shared" si="15"/>
        <v>1.984985268942072E-3</v>
      </c>
      <c r="S32" s="8">
        <f>1-GEVCUM(KVD!$D$72,KVD!$E$72,KVD!$F$72,$A32)</f>
        <v>1.9483615623683281E-3</v>
      </c>
      <c r="T32" s="3">
        <f t="shared" si="13"/>
        <v>1.950262087765502E-3</v>
      </c>
      <c r="U32" s="9">
        <f t="shared" si="14"/>
        <v>512.75159696394576</v>
      </c>
      <c r="V32" s="32">
        <f t="shared" si="16"/>
        <v>1.0731480789219284E-3</v>
      </c>
    </row>
    <row r="33" spans="1:22" x14ac:dyDescent="0.25">
      <c r="A33" s="23">
        <f t="shared" si="4"/>
        <v>162.5</v>
      </c>
      <c r="B33" s="13">
        <f t="shared" si="5"/>
        <v>160</v>
      </c>
      <c r="C33" s="8"/>
      <c r="D33" s="3"/>
      <c r="E33" s="3"/>
      <c r="F33" s="32"/>
      <c r="G33" s="8"/>
      <c r="H33" s="3"/>
      <c r="I33" s="3"/>
      <c r="J33" s="13"/>
      <c r="K33" s="8"/>
      <c r="L33" s="3"/>
      <c r="M33" s="3"/>
      <c r="N33" s="13"/>
      <c r="O33" s="8"/>
      <c r="P33" s="3"/>
      <c r="Q33" s="3"/>
      <c r="R33" s="13"/>
      <c r="S33" s="8">
        <f>1-GEVCUM(KVD!$D$72,KVD!$E$72,KVD!$F$72,$A33)</f>
        <v>1.2416817672430414E-3</v>
      </c>
      <c r="T33" s="3">
        <f t="shared" si="13"/>
        <v>1.2424532927741781E-3</v>
      </c>
      <c r="U33" s="9">
        <f t="shared" si="14"/>
        <v>804.85922957085745</v>
      </c>
      <c r="V33" s="32">
        <f t="shared" si="16"/>
        <v>1.9502620877655018E-3</v>
      </c>
    </row>
    <row r="34" spans="1:22" x14ac:dyDescent="0.25">
      <c r="A34" s="23">
        <f t="shared" si="4"/>
        <v>167.5</v>
      </c>
      <c r="B34" s="13">
        <f t="shared" si="5"/>
        <v>165</v>
      </c>
      <c r="C34" s="8"/>
      <c r="D34" s="3"/>
      <c r="E34" s="3"/>
      <c r="F34" s="32"/>
      <c r="G34" s="8"/>
      <c r="H34" s="3"/>
      <c r="I34" s="3"/>
      <c r="J34" s="13"/>
      <c r="K34" s="8"/>
      <c r="L34" s="3"/>
      <c r="M34" s="3"/>
      <c r="N34" s="13"/>
      <c r="O34" s="8"/>
      <c r="P34" s="3"/>
      <c r="Q34" s="3"/>
      <c r="R34" s="13"/>
      <c r="S34" s="8"/>
      <c r="T34" s="3"/>
      <c r="U34" s="9"/>
      <c r="V34" s="32"/>
    </row>
    <row r="35" spans="1:22" x14ac:dyDescent="0.25">
      <c r="A35" s="23">
        <f t="shared" si="4"/>
        <v>172.5</v>
      </c>
      <c r="B35" s="13">
        <f t="shared" si="5"/>
        <v>170</v>
      </c>
      <c r="C35" s="8"/>
      <c r="D35" s="3"/>
      <c r="E35" s="3"/>
      <c r="F35" s="32"/>
      <c r="G35" s="8"/>
      <c r="H35" s="3"/>
      <c r="I35" s="3"/>
      <c r="J35" s="13"/>
      <c r="K35" s="8"/>
      <c r="L35" s="3"/>
      <c r="M35" s="3"/>
      <c r="N35" s="13"/>
      <c r="O35" s="8"/>
      <c r="P35" s="3"/>
      <c r="Q35" s="3"/>
      <c r="R35" s="13"/>
      <c r="S35" s="8"/>
      <c r="T35" s="3"/>
      <c r="U35" s="9"/>
      <c r="V35" s="32"/>
    </row>
    <row r="36" spans="1:22" x14ac:dyDescent="0.25">
      <c r="A36" s="23">
        <f t="shared" si="4"/>
        <v>177.5</v>
      </c>
      <c r="B36" s="13">
        <f t="shared" si="5"/>
        <v>175</v>
      </c>
      <c r="C36" s="8"/>
      <c r="D36" s="3"/>
      <c r="E36" s="3"/>
      <c r="F36" s="32"/>
      <c r="G36" s="8"/>
      <c r="H36" s="3"/>
      <c r="I36" s="3"/>
      <c r="J36" s="13"/>
      <c r="K36" s="8"/>
      <c r="L36" s="3"/>
      <c r="M36" s="3"/>
      <c r="N36" s="13"/>
      <c r="O36" s="8"/>
      <c r="P36" s="3"/>
      <c r="Q36" s="3"/>
      <c r="R36" s="13"/>
      <c r="S36" s="8"/>
      <c r="T36" s="3"/>
      <c r="U36" s="9"/>
      <c r="V36" s="32"/>
    </row>
    <row r="37" spans="1:22" x14ac:dyDescent="0.25">
      <c r="A37" s="14">
        <f t="shared" si="4"/>
        <v>182.5</v>
      </c>
      <c r="B37" s="15">
        <f t="shared" si="5"/>
        <v>180</v>
      </c>
      <c r="C37" s="10"/>
      <c r="D37" s="4"/>
      <c r="E37" s="4"/>
      <c r="F37" s="33"/>
      <c r="G37" s="10"/>
      <c r="H37" s="4"/>
      <c r="I37" s="4"/>
      <c r="J37" s="15"/>
      <c r="K37" s="10"/>
      <c r="L37" s="4"/>
      <c r="M37" s="4"/>
      <c r="N37" s="15"/>
      <c r="O37" s="8"/>
      <c r="P37" s="3"/>
      <c r="Q37" s="3"/>
      <c r="R37" s="13"/>
      <c r="S37" s="8"/>
      <c r="T37" s="3"/>
      <c r="U37" s="9"/>
      <c r="V37" s="32"/>
    </row>
    <row r="38" spans="1:22" x14ac:dyDescent="0.25">
      <c r="A38" s="14">
        <f t="shared" si="4"/>
        <v>187.5</v>
      </c>
      <c r="B38" s="15">
        <f t="shared" si="5"/>
        <v>185</v>
      </c>
      <c r="O38" s="8"/>
      <c r="P38" s="3"/>
      <c r="Q38" s="3"/>
      <c r="R38" s="13"/>
      <c r="S38" s="8"/>
      <c r="T38" s="3"/>
      <c r="U38" s="9"/>
      <c r="V38" s="32"/>
    </row>
    <row r="39" spans="1:22" x14ac:dyDescent="0.25">
      <c r="A39" s="14">
        <f t="shared" si="4"/>
        <v>192.5</v>
      </c>
      <c r="B39" s="15">
        <f t="shared" si="5"/>
        <v>190</v>
      </c>
      <c r="O39" s="8"/>
      <c r="P39" s="3"/>
      <c r="Q39" s="3"/>
      <c r="R39" s="13"/>
      <c r="S39" s="8"/>
      <c r="T39" s="3"/>
      <c r="U39" s="9"/>
      <c r="V39" s="32"/>
    </row>
    <row r="40" spans="1:22" x14ac:dyDescent="0.25">
      <c r="A40" s="14">
        <f t="shared" si="4"/>
        <v>197.5</v>
      </c>
      <c r="B40" s="15">
        <f t="shared" si="5"/>
        <v>195</v>
      </c>
      <c r="S40" s="8"/>
      <c r="T40" s="3"/>
      <c r="U40" s="9"/>
      <c r="V40" s="32"/>
    </row>
  </sheetData>
  <mergeCells count="11">
    <mergeCell ref="S2:U2"/>
    <mergeCell ref="A1:B2"/>
    <mergeCell ref="C1:F1"/>
    <mergeCell ref="G1:J1"/>
    <mergeCell ref="K1:N1"/>
    <mergeCell ref="O1:R1"/>
    <mergeCell ref="S1:V1"/>
    <mergeCell ref="C2:E2"/>
    <mergeCell ref="G2:I2"/>
    <mergeCell ref="K2:M2"/>
    <mergeCell ref="O2:Q2"/>
  </mergeCells>
  <pageMargins left="0.7" right="0.7" top="0.75" bottom="0.75" header="0.3" footer="0.3"/>
  <pageSetup paperSize="0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Blad18">
    <tabColor theme="6"/>
  </sheetPr>
  <dimension ref="A1:V40"/>
  <sheetViews>
    <sheetView topLeftCell="H1" workbookViewId="0">
      <selection activeCell="R29" sqref="R29"/>
    </sheetView>
  </sheetViews>
  <sheetFormatPr defaultColWidth="9.140625" defaultRowHeight="15" x14ac:dyDescent="0.25"/>
  <cols>
    <col min="1" max="1" width="11.42578125" bestFit="1" customWidth="1"/>
    <col min="2" max="2" width="14" bestFit="1" customWidth="1"/>
    <col min="4" max="4" width="12.28515625" style="19" bestFit="1" customWidth="1"/>
    <col min="5" max="5" width="12" style="19" bestFit="1" customWidth="1"/>
    <col min="6" max="6" width="14.7109375" bestFit="1" customWidth="1"/>
    <col min="8" max="8" width="12.28515625" bestFit="1" customWidth="1"/>
    <col min="9" max="9" width="12" bestFit="1" customWidth="1"/>
    <col min="10" max="10" width="13.7109375" bestFit="1" customWidth="1"/>
    <col min="12" max="12" width="12.28515625" bestFit="1" customWidth="1"/>
    <col min="13" max="13" width="18.85546875" bestFit="1" customWidth="1"/>
    <col min="14" max="14" width="14.7109375" bestFit="1" customWidth="1"/>
    <col min="15" max="15" width="7.7109375" bestFit="1" customWidth="1"/>
    <col min="16" max="16" width="12.28515625" bestFit="1" customWidth="1"/>
    <col min="17" max="17" width="16.42578125" bestFit="1" customWidth="1"/>
    <col min="18" max="18" width="14.7109375" bestFit="1" customWidth="1"/>
    <col min="19" max="19" width="7.7109375" bestFit="1" customWidth="1"/>
    <col min="20" max="20" width="12.28515625" bestFit="1" customWidth="1"/>
    <col min="21" max="21" width="11.42578125" bestFit="1" customWidth="1"/>
    <col min="22" max="22" width="14.7109375" bestFit="1" customWidth="1"/>
  </cols>
  <sheetData>
    <row r="1" spans="1:22" x14ac:dyDescent="0.25">
      <c r="A1" s="50" t="s">
        <v>15</v>
      </c>
      <c r="B1" s="51"/>
      <c r="C1" s="63">
        <v>24</v>
      </c>
      <c r="D1" s="64"/>
      <c r="E1" s="64"/>
      <c r="F1" s="65"/>
      <c r="G1" s="66">
        <v>48</v>
      </c>
      <c r="H1" s="67"/>
      <c r="I1" s="67"/>
      <c r="J1" s="68"/>
      <c r="K1" s="66">
        <v>96</v>
      </c>
      <c r="L1" s="67"/>
      <c r="M1" s="67"/>
      <c r="N1" s="68"/>
      <c r="O1" s="66">
        <v>192</v>
      </c>
      <c r="P1" s="67"/>
      <c r="Q1" s="67"/>
      <c r="R1" s="68"/>
      <c r="S1" s="60">
        <v>216</v>
      </c>
      <c r="T1" s="61"/>
      <c r="U1" s="61"/>
      <c r="V1" s="62"/>
    </row>
    <row r="2" spans="1:22" x14ac:dyDescent="0.25">
      <c r="A2" s="52"/>
      <c r="B2" s="53"/>
      <c r="C2" s="57" t="s">
        <v>9</v>
      </c>
      <c r="D2" s="58"/>
      <c r="E2" s="59"/>
      <c r="F2" s="30">
        <f>24/24*365.25</f>
        <v>365.25</v>
      </c>
      <c r="G2" s="54" t="s">
        <v>9</v>
      </c>
      <c r="H2" s="55"/>
      <c r="I2" s="56"/>
      <c r="J2" s="30">
        <f>24/48*365.25</f>
        <v>182.625</v>
      </c>
      <c r="K2" s="54" t="s">
        <v>9</v>
      </c>
      <c r="L2" s="55"/>
      <c r="M2" s="56"/>
      <c r="N2" s="30">
        <f>24/96*365.25</f>
        <v>91.3125</v>
      </c>
      <c r="O2" s="54" t="s">
        <v>9</v>
      </c>
      <c r="P2" s="55"/>
      <c r="Q2" s="56"/>
      <c r="R2" s="30">
        <f>24/192*365.25</f>
        <v>45.65625</v>
      </c>
      <c r="S2" s="54" t="s">
        <v>9</v>
      </c>
      <c r="T2" s="55"/>
      <c r="U2" s="56"/>
      <c r="V2" s="30">
        <f>24/216*365.25</f>
        <v>40.583333333333329</v>
      </c>
    </row>
    <row r="3" spans="1:22" x14ac:dyDescent="0.25">
      <c r="A3" s="24" t="s">
        <v>12</v>
      </c>
      <c r="B3" s="27" t="s">
        <v>14</v>
      </c>
      <c r="C3" s="24" t="s">
        <v>8</v>
      </c>
      <c r="D3" s="25" t="s">
        <v>10</v>
      </c>
      <c r="E3" s="26" t="s">
        <v>17</v>
      </c>
      <c r="F3" s="36" t="s">
        <v>13</v>
      </c>
      <c r="G3" s="24" t="s">
        <v>8</v>
      </c>
      <c r="H3" s="25" t="s">
        <v>10</v>
      </c>
      <c r="I3" s="26" t="s">
        <v>17</v>
      </c>
      <c r="J3" s="29" t="s">
        <v>13</v>
      </c>
      <c r="K3" s="24" t="s">
        <v>8</v>
      </c>
      <c r="L3" s="25" t="s">
        <v>10</v>
      </c>
      <c r="M3" s="26" t="s">
        <v>17</v>
      </c>
      <c r="N3" s="29" t="s">
        <v>13</v>
      </c>
      <c r="O3" s="24" t="s">
        <v>8</v>
      </c>
      <c r="P3" s="25" t="s">
        <v>10</v>
      </c>
      <c r="Q3" s="26" t="s">
        <v>17</v>
      </c>
      <c r="R3" s="29" t="s">
        <v>13</v>
      </c>
      <c r="S3" s="24" t="s">
        <v>8</v>
      </c>
      <c r="T3" s="25" t="s">
        <v>10</v>
      </c>
      <c r="U3" s="26" t="s">
        <v>17</v>
      </c>
      <c r="V3" s="29" t="s">
        <v>13</v>
      </c>
    </row>
    <row r="4" spans="1:22" x14ac:dyDescent="0.25">
      <c r="A4" s="34">
        <v>17.5</v>
      </c>
      <c r="B4" s="12">
        <f>A4-2.5</f>
        <v>15</v>
      </c>
      <c r="C4" s="8">
        <f>1-GEVCUM(KVD!$D$73,KVD!$E$73,KVD!$F$73,$A4)</f>
        <v>0.99947171509691068</v>
      </c>
      <c r="D4" s="3">
        <f t="shared" ref="D4:D22" si="0">-LN(1-C4)</f>
        <v>7.5458748305995993</v>
      </c>
      <c r="E4" s="3">
        <f t="shared" ref="E4:E22" si="1">1/D4</f>
        <v>0.13252273890693989</v>
      </c>
      <c r="F4" s="31">
        <f>KLASSEFREQUENTIEUITHERHALINGSTIJD(F$2,E3,E4,E5)</f>
        <v>357.70412516940041</v>
      </c>
      <c r="G4" s="8">
        <f>1-GEVCUM(KVD!$D$74,KVD!$E$74,KVD!$F$74,$A4)</f>
        <v>0.99999364323493101</v>
      </c>
      <c r="H4" s="2">
        <f t="shared" ref="H4:H23" si="2">-LN(1-G4)</f>
        <v>11.965990946962636</v>
      </c>
      <c r="I4" s="2">
        <f t="shared" ref="I4:I23" si="3">1/H4</f>
        <v>8.3570178552895613E-2</v>
      </c>
      <c r="J4" s="12">
        <f>KLASSEFREQUENTIEUITHERHALINGSTIJD(J$2,I3,I4,I5)</f>
        <v>170.65900905303735</v>
      </c>
      <c r="K4" s="35"/>
      <c r="L4" s="2"/>
      <c r="M4" s="2"/>
      <c r="N4" s="12"/>
      <c r="O4" s="35"/>
      <c r="P4" s="2"/>
      <c r="Q4" s="2"/>
      <c r="R4" s="12"/>
      <c r="S4" s="35"/>
      <c r="T4" s="2"/>
      <c r="U4" s="37"/>
      <c r="V4" s="31"/>
    </row>
    <row r="5" spans="1:22" x14ac:dyDescent="0.25">
      <c r="A5" s="23">
        <f t="shared" ref="A5:A40" si="4">A4+5</f>
        <v>22.5</v>
      </c>
      <c r="B5" s="13">
        <f t="shared" ref="B5:B40" si="5">A5-2.5</f>
        <v>20</v>
      </c>
      <c r="C5" s="8">
        <f>1-GEVCUM(KVD!$D$73,KVD!$E$73,KVD!$F$73,$A5)</f>
        <v>0.98678408378137583</v>
      </c>
      <c r="D5" s="3">
        <f t="shared" si="0"/>
        <v>4.3263334016134269</v>
      </c>
      <c r="E5" s="3">
        <f t="shared" si="1"/>
        <v>0.23114261134545672</v>
      </c>
      <c r="F5" s="32">
        <f t="shared" ref="F5:F22" si="6">KLASSEFREQUENTIEUITHERHALINGSTIJD(F$2,E4,E5,E6)</f>
        <v>3.2195414289861732</v>
      </c>
      <c r="G5" s="8">
        <f>1-GEVCUM(KVD!$D$74,KVD!$E$74,KVD!$F$74,$A5)</f>
        <v>0.99944391192669935</v>
      </c>
      <c r="H5" s="3">
        <f t="shared" si="2"/>
        <v>7.4945838710414705</v>
      </c>
      <c r="I5" s="3">
        <f t="shared" si="3"/>
        <v>0.13342968965414179</v>
      </c>
      <c r="J5" s="13">
        <f t="shared" ref="J5:J23" si="7">KLASSEFREQUENTIEUITHERHALINGSTIJD(J$2,I4,I5,I6)</f>
        <v>4.4714070759211655</v>
      </c>
      <c r="K5" s="8">
        <f>1-GEVCUM(KVD!$D$75,KVD!$E$75,KVD!$F$75,$A5)</f>
        <v>0.99998806345996105</v>
      </c>
      <c r="L5" s="3">
        <f t="shared" ref="L5:L25" si="8">-LN(1-K5)</f>
        <v>11.335906270976425</v>
      </c>
      <c r="M5" s="3">
        <f t="shared" ref="M5:M25" si="9">1/L5</f>
        <v>8.8215267142806433E-2</v>
      </c>
      <c r="N5" s="13">
        <f>KLASSEFREQUENTIEUITHERHALINGSTIJD(N$2,M4,M5,M6)</f>
        <v>79.976593729023577</v>
      </c>
      <c r="O5" s="8">
        <f>1-GEVCUM(KVD!$D$76,KVD!$E$76,KVD!$F$76,$A5)</f>
        <v>0.99999800201795019</v>
      </c>
      <c r="P5" s="3">
        <f t="shared" ref="P5:P31" si="10">-LN(1-O5)</f>
        <v>13.123372861859266</v>
      </c>
      <c r="Q5" s="3">
        <f t="shared" ref="Q5:Q31" si="11">1/P5</f>
        <v>7.6199922880063928E-2</v>
      </c>
      <c r="R5" s="13">
        <f>KLASSEFREQUENTIEUITHERHALINGSTIJD(R$2,Q4,Q5,Q6)</f>
        <v>32.532877138140734</v>
      </c>
      <c r="S5" s="8">
        <f>1-GEVCUM(KVD!$D$77,KVD!$E$77,KVD!$F$77,$A5)</f>
        <v>0.99999776113395744</v>
      </c>
      <c r="T5" s="3">
        <f t="shared" ref="T5" si="12">-LN(1-S5)</f>
        <v>13.009541051276061</v>
      </c>
      <c r="U5" s="9">
        <f t="shared" ref="U5" si="13">1/T5</f>
        <v>7.6866662402507543E-2</v>
      </c>
      <c r="V5" s="32">
        <f>KLASSEFREQUENTIEUITHERHALINGSTIJD(V$2,U4,U5,U6)</f>
        <v>27.573792282057269</v>
      </c>
    </row>
    <row r="6" spans="1:22" x14ac:dyDescent="0.25">
      <c r="A6" s="23">
        <f t="shared" si="4"/>
        <v>27.5</v>
      </c>
      <c r="B6" s="13">
        <f t="shared" si="5"/>
        <v>25</v>
      </c>
      <c r="C6" s="8">
        <f>1-GEVCUM(KVD!$D$73,KVD!$E$73,KVD!$F$73,$A6)</f>
        <v>0.92072965065313273</v>
      </c>
      <c r="D6" s="3">
        <f t="shared" si="0"/>
        <v>2.5348911250926096</v>
      </c>
      <c r="E6" s="3">
        <f t="shared" si="1"/>
        <v>0.3944942605625581</v>
      </c>
      <c r="F6" s="32">
        <f t="shared" si="6"/>
        <v>1.7914422765208173</v>
      </c>
      <c r="G6" s="8">
        <f>1-GEVCUM(KVD!$D$74,KVD!$E$74,KVD!$F$74,$A6)</f>
        <v>0.99135221489960734</v>
      </c>
      <c r="H6" s="3">
        <f t="shared" si="2"/>
        <v>4.7504520485848083</v>
      </c>
      <c r="I6" s="3">
        <f t="shared" si="3"/>
        <v>0.21050628230168258</v>
      </c>
      <c r="J6" s="13">
        <f t="shared" si="7"/>
        <v>2.7441318224566622</v>
      </c>
      <c r="K6" s="8">
        <f>1-GEVCUM(KVD!$D$75,KVD!$E$75,KVD!$F$75,$A6)</f>
        <v>0.99966401711674202</v>
      </c>
      <c r="L6" s="3">
        <f t="shared" si="8"/>
        <v>7.9984503419832782</v>
      </c>
      <c r="M6" s="3">
        <f t="shared" si="9"/>
        <v>0.12502421809773245</v>
      </c>
      <c r="N6" s="13">
        <f t="shared" ref="N6:N25" si="14">KLASSEFREQUENTIEUITHERHALINGSTIJD(N$2,M5,M6,M7)</f>
        <v>3.3374559289931476</v>
      </c>
      <c r="O6" s="8">
        <f>1-GEVCUM(KVD!$D$76,KVD!$E$76,KVD!$F$76,$A6)</f>
        <v>0.9999716594414132</v>
      </c>
      <c r="P6" s="3">
        <f t="shared" si="10"/>
        <v>10.471216613705316</v>
      </c>
      <c r="Q6" s="3">
        <f t="shared" si="11"/>
        <v>9.5499886678988566E-2</v>
      </c>
      <c r="R6" s="13">
        <f t="shared" ref="R6:R31" si="15">KLASSEFREQUENTIEUITHERHALINGSTIJD(R$2,Q5,Q6,Q7)</f>
        <v>2.6521562481539505</v>
      </c>
      <c r="S6" s="8">
        <f>1-GEVCUM(KVD!$D$77,KVD!$E$77,KVD!$F$77,$A6)</f>
        <v>0.99997491732366195</v>
      </c>
      <c r="T6" s="3">
        <f t="shared" ref="T6:T32" si="16">-LN(1-S6)</f>
        <v>10.59333313584939</v>
      </c>
      <c r="U6" s="9">
        <f t="shared" ref="U6:U32" si="17">1/T6</f>
        <v>9.4398994837220182E-2</v>
      </c>
      <c r="V6" s="32">
        <f t="shared" ref="V6:V32" si="18">KLASSEFREQUENTIEUITHERHALINGSTIJD(V$2,U5,U6,U7)</f>
        <v>2.4162079154266696</v>
      </c>
    </row>
    <row r="7" spans="1:22" x14ac:dyDescent="0.25">
      <c r="A7" s="23">
        <f t="shared" si="4"/>
        <v>32.5</v>
      </c>
      <c r="B7" s="13">
        <f t="shared" si="5"/>
        <v>30</v>
      </c>
      <c r="C7" s="8">
        <f>1-GEVCUM(KVD!$D$73,KVD!$E$73,KVD!$F$73,$A7)</f>
        <v>0.78027347747419862</v>
      </c>
      <c r="D7" s="3">
        <f t="shared" si="0"/>
        <v>1.5153715853220691</v>
      </c>
      <c r="E7" s="3">
        <f t="shared" si="1"/>
        <v>0.65990415135536895</v>
      </c>
      <c r="F7" s="32">
        <f t="shared" si="6"/>
        <v>1.0195195397705406</v>
      </c>
      <c r="G7" s="8">
        <f>1-GEVCUM(KVD!$D$74,KVD!$E$74,KVD!$F$74,$A7)</f>
        <v>0.9524254529403765</v>
      </c>
      <c r="H7" s="3">
        <f t="shared" si="2"/>
        <v>3.0454573863996641</v>
      </c>
      <c r="I7" s="3">
        <f t="shared" si="3"/>
        <v>0.32835790264732573</v>
      </c>
      <c r="J7" s="13">
        <f t="shared" si="7"/>
        <v>1.7049946621851442</v>
      </c>
      <c r="K7" s="8">
        <f>1-GEVCUM(KVD!$D$75,KVD!$E$75,KVD!$F$75,$A7)</f>
        <v>0.9965125837677129</v>
      </c>
      <c r="L7" s="3">
        <f t="shared" si="8"/>
        <v>5.6585941515390097</v>
      </c>
      <c r="M7" s="3">
        <f t="shared" si="9"/>
        <v>0.17672234007593965</v>
      </c>
      <c r="N7" s="13">
        <f t="shared" si="14"/>
        <v>2.3398561904442676</v>
      </c>
      <c r="O7" s="8">
        <f>1-GEVCUM(KVD!$D$76,KVD!$E$76,KVD!$F$76,$A7)</f>
        <v>0.99976009652436404</v>
      </c>
      <c r="P7" s="3">
        <f t="shared" si="10"/>
        <v>8.3352739003704635</v>
      </c>
      <c r="Q7" s="3">
        <f t="shared" si="11"/>
        <v>0.11997206234045348</v>
      </c>
      <c r="R7" s="13">
        <f t="shared" si="15"/>
        <v>2.1359427133348525</v>
      </c>
      <c r="S7" s="8">
        <f>1-GEVCUM(KVD!$D$77,KVD!$E$77,KVD!$F$77,$A7)</f>
        <v>0.99981638469669287</v>
      </c>
      <c r="T7" s="3">
        <f t="shared" si="16"/>
        <v>8.6026677319054041</v>
      </c>
      <c r="U7" s="9">
        <f t="shared" si="17"/>
        <v>0.11624301102450113</v>
      </c>
      <c r="V7" s="32">
        <f t="shared" si="18"/>
        <v>1.9906654039439857</v>
      </c>
    </row>
    <row r="8" spans="1:22" x14ac:dyDescent="0.25">
      <c r="A8" s="23">
        <f t="shared" si="4"/>
        <v>37.5</v>
      </c>
      <c r="B8" s="13">
        <f t="shared" si="5"/>
        <v>35</v>
      </c>
      <c r="C8" s="8">
        <f>1-GEVCUM(KVD!$D$73,KVD!$E$73,KVD!$F$73,$A8)</f>
        <v>0.60264626094660856</v>
      </c>
      <c r="D8" s="3">
        <f t="shared" si="0"/>
        <v>0.92292836466566208</v>
      </c>
      <c r="E8" s="3">
        <f t="shared" si="1"/>
        <v>1.0835077111995119</v>
      </c>
      <c r="F8" s="32">
        <f t="shared" si="6"/>
        <v>0.59244322065640698</v>
      </c>
      <c r="G8" s="8">
        <f>1-GEVCUM(KVD!$D$74,KVD!$E$74,KVD!$F$74,$A8)</f>
        <v>0.86104529580751943</v>
      </c>
      <c r="H8" s="3">
        <f t="shared" si="2"/>
        <v>1.973607268077169</v>
      </c>
      <c r="I8" s="3">
        <f t="shared" si="3"/>
        <v>0.50668641941832349</v>
      </c>
      <c r="J8" s="13">
        <f t="shared" si="7"/>
        <v>1.0718501183224953</v>
      </c>
      <c r="K8" s="8">
        <f>1-GEVCUM(KVD!$D$75,KVD!$E$75,KVD!$F$75,$A8)</f>
        <v>0.98193390706984351</v>
      </c>
      <c r="L8" s="3">
        <f t="shared" si="8"/>
        <v>4.0137184163423036</v>
      </c>
      <c r="M8" s="3">
        <f t="shared" si="9"/>
        <v>0.24914552947421226</v>
      </c>
      <c r="N8" s="13">
        <f t="shared" si="14"/>
        <v>1.644875735196706</v>
      </c>
      <c r="O8" s="8">
        <f>1-GEVCUM(KVD!$D$76,KVD!$E$76,KVD!$F$76,$A8)</f>
        <v>0.99866522391172641</v>
      </c>
      <c r="P8" s="3">
        <f t="shared" si="10"/>
        <v>6.618991725336822</v>
      </c>
      <c r="Q8" s="3">
        <f t="shared" si="11"/>
        <v>0.15108041247009005</v>
      </c>
      <c r="R8" s="13">
        <f t="shared" si="15"/>
        <v>1.7162821750336414</v>
      </c>
      <c r="S8" s="8">
        <f>1-GEVCUM(KVD!$D$77,KVD!$E$77,KVD!$F$77,$A8)</f>
        <v>0.99905732165403238</v>
      </c>
      <c r="T8" s="3">
        <f t="shared" si="16"/>
        <v>6.9667854300523411</v>
      </c>
      <c r="U8" s="9">
        <f t="shared" si="17"/>
        <v>0.14353822290641252</v>
      </c>
      <c r="V8" s="32">
        <f t="shared" si="18"/>
        <v>1.635882301853063</v>
      </c>
    </row>
    <row r="9" spans="1:22" x14ac:dyDescent="0.25">
      <c r="A9" s="23">
        <f t="shared" si="4"/>
        <v>42.5</v>
      </c>
      <c r="B9" s="13">
        <f t="shared" si="5"/>
        <v>40</v>
      </c>
      <c r="C9" s="8">
        <f>1-GEVCUM(KVD!$D$73,KVD!$E$73,KVD!$F$73,$A9)</f>
        <v>0.43556327720469656</v>
      </c>
      <c r="D9" s="3">
        <f t="shared" si="0"/>
        <v>0.5719269959264629</v>
      </c>
      <c r="E9" s="3">
        <f t="shared" si="1"/>
        <v>1.74847490522825</v>
      </c>
      <c r="F9" s="32">
        <f t="shared" si="6"/>
        <v>0.35100136873919918</v>
      </c>
      <c r="G9" s="8">
        <f>1-GEVCUM(KVD!$D$74,KVD!$E$74,KVD!$F$74,$A9)</f>
        <v>0.72534013023396826</v>
      </c>
      <c r="H9" s="3">
        <f t="shared" si="2"/>
        <v>1.2922217840444195</v>
      </c>
      <c r="I9" s="3">
        <f t="shared" si="3"/>
        <v>0.77386096748050603</v>
      </c>
      <c r="J9" s="13">
        <f t="shared" si="7"/>
        <v>0.68138548403274934</v>
      </c>
      <c r="K9" s="8">
        <f>1-GEVCUM(KVD!$D$75,KVD!$E$75,KVD!$F$75,$A9)</f>
        <v>0.94240549051867473</v>
      </c>
      <c r="L9" s="3">
        <f t="shared" si="8"/>
        <v>2.8543280373284445</v>
      </c>
      <c r="M9" s="3">
        <f t="shared" si="9"/>
        <v>0.35034515546992506</v>
      </c>
      <c r="N9" s="13">
        <f t="shared" si="14"/>
        <v>1.1593903790138591</v>
      </c>
      <c r="O9" s="8">
        <f>1-GEVCUM(KVD!$D$76,KVD!$E$76,KVD!$F$76,$A9)</f>
        <v>0.9947162992998192</v>
      </c>
      <c r="P9" s="3">
        <f t="shared" si="10"/>
        <v>5.243128536587025</v>
      </c>
      <c r="Q9" s="3">
        <f t="shared" si="11"/>
        <v>0.19072582200148433</v>
      </c>
      <c r="R9" s="13">
        <f t="shared" si="15"/>
        <v>1.375863188749797</v>
      </c>
      <c r="S9" s="8">
        <f>1-GEVCUM(KVD!$D$77,KVD!$E$77,KVD!$F$77,$A9)</f>
        <v>0.99639696718495352</v>
      </c>
      <c r="T9" s="3">
        <f t="shared" si="16"/>
        <v>5.625979339556717</v>
      </c>
      <c r="U9" s="9">
        <f t="shared" si="17"/>
        <v>0.17774683119948892</v>
      </c>
      <c r="V9" s="32">
        <f t="shared" si="18"/>
        <v>1.340806090495624</v>
      </c>
    </row>
    <row r="10" spans="1:22" x14ac:dyDescent="0.25">
      <c r="A10" s="23">
        <f t="shared" si="4"/>
        <v>47.5</v>
      </c>
      <c r="B10" s="13">
        <f t="shared" si="5"/>
        <v>45</v>
      </c>
      <c r="C10" s="8">
        <f>1-GEVCUM(KVD!$D$73,KVD!$E$73,KVD!$F$73,$A10)</f>
        <v>0.30245464606238315</v>
      </c>
      <c r="D10" s="3">
        <f t="shared" si="0"/>
        <v>0.36018774383408103</v>
      </c>
      <c r="E10" s="3">
        <f t="shared" si="1"/>
        <v>2.7763298921704727</v>
      </c>
      <c r="F10" s="32">
        <f t="shared" si="6"/>
        <v>0.21173925209238187</v>
      </c>
      <c r="G10" s="8">
        <f>1-GEVCUM(KVD!$D$74,KVD!$E$74,KVD!$F$74,$A10)</f>
        <v>0.57447262416384848</v>
      </c>
      <c r="H10" s="3">
        <f t="shared" si="2"/>
        <v>0.85442599499800209</v>
      </c>
      <c r="I10" s="3">
        <f t="shared" si="3"/>
        <v>1.1703763764845876</v>
      </c>
      <c r="J10" s="13">
        <f t="shared" si="7"/>
        <v>0.43779578904641736</v>
      </c>
      <c r="K10" s="8">
        <f>1-GEVCUM(KVD!$D$75,KVD!$E$75,KVD!$F$75,$A10)</f>
        <v>0.86931855398833724</v>
      </c>
      <c r="L10" s="3">
        <f t="shared" si="8"/>
        <v>2.0349926270238119</v>
      </c>
      <c r="M10" s="3">
        <f t="shared" si="9"/>
        <v>0.49140227179225981</v>
      </c>
      <c r="N10" s="13">
        <f t="shared" si="14"/>
        <v>0.81933541030463264</v>
      </c>
      <c r="O10" s="8">
        <f>1-GEVCUM(KVD!$D$76,KVD!$E$76,KVD!$F$76,$A10)</f>
        <v>0.98412146535172729</v>
      </c>
      <c r="P10" s="3">
        <f t="shared" si="10"/>
        <v>4.1427871039780246</v>
      </c>
      <c r="Q10" s="3">
        <f t="shared" si="11"/>
        <v>0.24138339115707175</v>
      </c>
      <c r="R10" s="13">
        <f t="shared" si="15"/>
        <v>1.1003414326090004</v>
      </c>
      <c r="S10" s="8">
        <f>1-GEVCUM(KVD!$D$77,KVD!$E$77,KVD!$F$77,$A10)</f>
        <v>0.98921913969727959</v>
      </c>
      <c r="T10" s="3">
        <f t="shared" si="16"/>
        <v>4.5299829112384096</v>
      </c>
      <c r="U10" s="9">
        <f t="shared" si="17"/>
        <v>0.2207513846286496</v>
      </c>
      <c r="V10" s="32">
        <f t="shared" si="18"/>
        <v>1.0959964283183075</v>
      </c>
    </row>
    <row r="11" spans="1:22" x14ac:dyDescent="0.25">
      <c r="A11" s="23">
        <f t="shared" si="4"/>
        <v>52.5</v>
      </c>
      <c r="B11" s="13">
        <f t="shared" si="5"/>
        <v>50</v>
      </c>
      <c r="C11" s="8">
        <f>1-GEVCUM(KVD!$D$73,KVD!$E$73,KVD!$F$73,$A11)</f>
        <v>0.20569664281893985</v>
      </c>
      <c r="D11" s="3">
        <f t="shared" si="0"/>
        <v>0.23028982876119816</v>
      </c>
      <c r="E11" s="3">
        <f t="shared" si="1"/>
        <v>4.3423541776869445</v>
      </c>
      <c r="F11" s="32">
        <f t="shared" si="6"/>
        <v>0.12989791507288284</v>
      </c>
      <c r="G11" s="8">
        <f>1-GEVCUM(KVD!$D$74,KVD!$E$74,KVD!$F$74,$A11)</f>
        <v>0.43462680154865707</v>
      </c>
      <c r="H11" s="3">
        <f t="shared" si="2"/>
        <v>0.57026923765598903</v>
      </c>
      <c r="I11" s="3">
        <f t="shared" si="3"/>
        <v>1.7535576776162054</v>
      </c>
      <c r="J11" s="13">
        <f t="shared" si="7"/>
        <v>0.28415675734201307</v>
      </c>
      <c r="K11" s="8">
        <f>1-GEVCUM(KVD!$D$75,KVD!$E$75,KVD!$F$75,$A11)</f>
        <v>0.76647802743816551</v>
      </c>
      <c r="L11" s="3">
        <f t="shared" si="8"/>
        <v>1.4544791053931836</v>
      </c>
      <c r="M11" s="3">
        <f t="shared" si="9"/>
        <v>0.68753136177207164</v>
      </c>
      <c r="N11" s="13">
        <f t="shared" si="14"/>
        <v>0.5805135216306283</v>
      </c>
      <c r="O11" s="8">
        <f>1-GEVCUM(KVD!$D$76,KVD!$E$76,KVD!$F$76,$A11)</f>
        <v>0.96180046941392594</v>
      </c>
      <c r="P11" s="3">
        <f t="shared" si="10"/>
        <v>3.264932051767778</v>
      </c>
      <c r="Q11" s="3">
        <f t="shared" si="11"/>
        <v>0.30628508775812224</v>
      </c>
      <c r="R11" s="13">
        <f t="shared" si="15"/>
        <v>0.87785505221024662</v>
      </c>
      <c r="S11" s="8">
        <f>1-GEVCUM(KVD!$D$77,KVD!$E$77,KVD!$F$77,$A11)</f>
        <v>0.97365760974051641</v>
      </c>
      <c r="T11" s="3">
        <f t="shared" si="16"/>
        <v>3.6365758404104924</v>
      </c>
      <c r="U11" s="9">
        <f t="shared" si="17"/>
        <v>0.27498395300539674</v>
      </c>
      <c r="V11" s="32">
        <f t="shared" si="18"/>
        <v>0.89340707082791715</v>
      </c>
    </row>
    <row r="12" spans="1:22" x14ac:dyDescent="0.25">
      <c r="A12" s="23">
        <f t="shared" si="4"/>
        <v>57.5</v>
      </c>
      <c r="B12" s="13">
        <f t="shared" si="5"/>
        <v>55</v>
      </c>
      <c r="C12" s="8">
        <f>1-GEVCUM(KVD!$D$73,KVD!$E$73,KVD!$F$73,$A12)</f>
        <v>0.13871996806307341</v>
      </c>
      <c r="D12" s="3">
        <f t="shared" si="0"/>
        <v>0.14933558708871941</v>
      </c>
      <c r="E12" s="3">
        <f t="shared" si="1"/>
        <v>6.696327509704072</v>
      </c>
      <c r="F12" s="32">
        <f t="shared" si="6"/>
        <v>8.0954241672478777E-2</v>
      </c>
      <c r="G12" s="8">
        <f>1-GEVCUM(KVD!$D$74,KVD!$E$74,KVD!$F$74,$A12)</f>
        <v>0.31889396070529175</v>
      </c>
      <c r="H12" s="3">
        <f t="shared" si="2"/>
        <v>0.38403727380205965</v>
      </c>
      <c r="I12" s="3">
        <f t="shared" si="3"/>
        <v>2.6039139120527652</v>
      </c>
      <c r="J12" s="13">
        <f t="shared" si="7"/>
        <v>0.18623196385392943</v>
      </c>
      <c r="K12" s="8">
        <f>1-GEVCUM(KVD!$D$75,KVD!$E$75,KVD!$F$75,$A12)</f>
        <v>0.64729737465935067</v>
      </c>
      <c r="L12" s="3">
        <f t="shared" si="8"/>
        <v>1.0421299982162338</v>
      </c>
      <c r="M12" s="3">
        <f t="shared" si="9"/>
        <v>0.95957318349117127</v>
      </c>
      <c r="N12" s="13">
        <f t="shared" si="14"/>
        <v>0.41234910717694984</v>
      </c>
      <c r="O12" s="8">
        <f>1-GEVCUM(KVD!$D$76,KVD!$E$76,KVD!$F$76,$A12)</f>
        <v>0.92318204398366921</v>
      </c>
      <c r="P12" s="3">
        <f t="shared" si="10"/>
        <v>2.5663168638600342</v>
      </c>
      <c r="Q12" s="3">
        <f t="shared" si="11"/>
        <v>0.38966349560431346</v>
      </c>
      <c r="R12" s="13">
        <f t="shared" si="15"/>
        <v>0.6986151879077438</v>
      </c>
      <c r="S12" s="8">
        <f>1-GEVCUM(KVD!$D$77,KVD!$E$77,KVD!$F$77,$A12)</f>
        <v>0.94554501705811433</v>
      </c>
      <c r="T12" s="3">
        <f t="shared" si="16"/>
        <v>2.9103809197061081</v>
      </c>
      <c r="U12" s="9">
        <f t="shared" si="17"/>
        <v>0.34359763467009691</v>
      </c>
      <c r="V12" s="32">
        <f t="shared" si="18"/>
        <v>0.72619492070438429</v>
      </c>
    </row>
    <row r="13" spans="1:22" x14ac:dyDescent="0.25">
      <c r="A13" s="23">
        <f t="shared" si="4"/>
        <v>62.5</v>
      </c>
      <c r="B13" s="13">
        <f t="shared" si="5"/>
        <v>60</v>
      </c>
      <c r="C13" s="8">
        <f>1-GEVCUM(KVD!$D$73,KVD!$E$73,KVD!$F$73,$A13)</f>
        <v>9.347226902411121E-2</v>
      </c>
      <c r="D13" s="3">
        <f t="shared" si="0"/>
        <v>9.8133657996569743E-2</v>
      </c>
      <c r="E13" s="3">
        <f t="shared" si="1"/>
        <v>10.190183678213186</v>
      </c>
      <c r="F13" s="32">
        <f t="shared" si="6"/>
        <v>5.1201929092149656E-2</v>
      </c>
      <c r="G13" s="8">
        <f>1-GEVCUM(KVD!$D$74,KVD!$E$74,KVD!$F$74,$A13)</f>
        <v>0.2296014307034443</v>
      </c>
      <c r="H13" s="3">
        <f t="shared" si="2"/>
        <v>0.26084727559164383</v>
      </c>
      <c r="I13" s="3">
        <f t="shared" si="3"/>
        <v>3.8336608949886029</v>
      </c>
      <c r="J13" s="13">
        <f t="shared" si="7"/>
        <v>0.12318999821041576</v>
      </c>
      <c r="K13" s="8">
        <f>1-GEVCUM(KVD!$D$75,KVD!$E$75,KVD!$F$75,$A13)</f>
        <v>0.52692329740626942</v>
      </c>
      <c r="L13" s="3">
        <f t="shared" si="8"/>
        <v>0.74849774170525174</v>
      </c>
      <c r="M13" s="3">
        <f t="shared" si="9"/>
        <v>1.3360093748870474</v>
      </c>
      <c r="N13" s="13">
        <f t="shared" si="14"/>
        <v>0.29363225651098201</v>
      </c>
      <c r="O13" s="8">
        <f>1-GEVCUM(KVD!$D$76,KVD!$E$76,KVD!$F$76,$A13)</f>
        <v>0.86624643132091395</v>
      </c>
      <c r="P13" s="3">
        <f t="shared" si="10"/>
        <v>2.0117562118491787</v>
      </c>
      <c r="Q13" s="3">
        <f t="shared" si="11"/>
        <v>0.49707812214523434</v>
      </c>
      <c r="R13" s="13">
        <f t="shared" si="15"/>
        <v>0.55456065201085547</v>
      </c>
      <c r="S13" s="8">
        <f>1-GEVCUM(KVD!$D$77,KVD!$E$77,KVD!$F$77,$A13)</f>
        <v>0.90190587325634786</v>
      </c>
      <c r="T13" s="3">
        <f t="shared" si="16"/>
        <v>2.3218277842983945</v>
      </c>
      <c r="U13" s="9">
        <f t="shared" si="17"/>
        <v>0.4306951647157492</v>
      </c>
      <c r="V13" s="32">
        <f t="shared" si="18"/>
        <v>0.58855313540771359</v>
      </c>
    </row>
    <row r="14" spans="1:22" x14ac:dyDescent="0.25">
      <c r="A14" s="23">
        <f t="shared" si="4"/>
        <v>67.5</v>
      </c>
      <c r="B14" s="13">
        <f t="shared" si="5"/>
        <v>65</v>
      </c>
      <c r="C14" s="8">
        <f>1-GEVCUM(KVD!$D$73,KVD!$E$73,KVD!$F$73,$A14)</f>
        <v>6.3211162777012331E-2</v>
      </c>
      <c r="D14" s="3">
        <f t="shared" si="0"/>
        <v>6.5297382628945327E-2</v>
      </c>
      <c r="E14" s="3">
        <f t="shared" si="1"/>
        <v>15.314549523103171</v>
      </c>
      <c r="F14" s="32">
        <f t="shared" si="6"/>
        <v>3.2836275367624429E-2</v>
      </c>
      <c r="G14" s="8">
        <f>1-GEVCUM(KVD!$D$74,KVD!$E$74,KVD!$F$74,$A14)</f>
        <v>0.16358695330217987</v>
      </c>
      <c r="H14" s="3">
        <f t="shared" si="2"/>
        <v>0.17863271291490646</v>
      </c>
      <c r="I14" s="3">
        <f t="shared" si="3"/>
        <v>5.5980787823356879</v>
      </c>
      <c r="J14" s="13">
        <f t="shared" si="7"/>
        <v>8.2214562676737379E-2</v>
      </c>
      <c r="K14" s="8">
        <f>1-GEVCUM(KVD!$D$75,KVD!$E$75,KVD!$F$75,$A14)</f>
        <v>0.41660302688092421</v>
      </c>
      <c r="L14" s="3">
        <f t="shared" si="8"/>
        <v>0.53888740990774897</v>
      </c>
      <c r="M14" s="3">
        <f t="shared" si="9"/>
        <v>1.8556751959953712</v>
      </c>
      <c r="N14" s="13">
        <f t="shared" si="14"/>
        <v>0.20961033179750277</v>
      </c>
      <c r="O14" s="8">
        <f>1-GEVCUM(KVD!$D$76,KVD!$E$76,KVD!$F$76,$A14)</f>
        <v>0.79251349215784028</v>
      </c>
      <c r="P14" s="3">
        <f t="shared" si="10"/>
        <v>1.5726889638728581</v>
      </c>
      <c r="Q14" s="3">
        <f t="shared" si="11"/>
        <v>0.63585363855891064</v>
      </c>
      <c r="R14" s="13">
        <f t="shared" si="15"/>
        <v>0.43906724797632068</v>
      </c>
      <c r="S14" s="8">
        <f>1-GEVCUM(KVD!$D$77,KVD!$E$77,KVD!$F$77,$A14)</f>
        <v>0.84217402102713323</v>
      </c>
      <c r="T14" s="3">
        <f t="shared" si="16"/>
        <v>1.8462622518465814</v>
      </c>
      <c r="U14" s="9">
        <f t="shared" si="17"/>
        <v>0.54163486200285316</v>
      </c>
      <c r="V14" s="32">
        <f t="shared" si="18"/>
        <v>0.4755655324518131</v>
      </c>
    </row>
    <row r="15" spans="1:22" x14ac:dyDescent="0.25">
      <c r="A15" s="23">
        <f t="shared" si="4"/>
        <v>72.5</v>
      </c>
      <c r="B15" s="13">
        <f t="shared" si="5"/>
        <v>70</v>
      </c>
      <c r="C15" s="8">
        <f>1-GEVCUM(KVD!$D$73,KVD!$E$73,KVD!$F$73,$A15)</f>
        <v>4.301025371848699E-2</v>
      </c>
      <c r="D15" s="3">
        <f t="shared" si="0"/>
        <v>4.3962602025963152E-2</v>
      </c>
      <c r="E15" s="3">
        <f t="shared" si="1"/>
        <v>22.746606295264925</v>
      </c>
      <c r="F15" s="32">
        <f t="shared" si="6"/>
        <v>2.1334780602982176E-2</v>
      </c>
      <c r="G15" s="8">
        <f>1-GEVCUM(KVD!$D$74,KVD!$E$74,KVD!$F$74,$A15)</f>
        <v>0.11599817894829134</v>
      </c>
      <c r="H15" s="3">
        <f t="shared" si="2"/>
        <v>0.12329615633337035</v>
      </c>
      <c r="I15" s="3">
        <f t="shared" si="3"/>
        <v>8.1105529137192409</v>
      </c>
      <c r="J15" s="13">
        <f t="shared" si="7"/>
        <v>5.5336556581536092E-2</v>
      </c>
      <c r="K15" s="8">
        <f>1-GEVCUM(KVD!$D$75,KVD!$E$75,KVD!$F$75,$A15)</f>
        <v>0.3221928977730335</v>
      </c>
      <c r="L15" s="3">
        <f t="shared" si="8"/>
        <v>0.38889254151211183</v>
      </c>
      <c r="M15" s="3">
        <f t="shared" si="9"/>
        <v>2.5714044196161461</v>
      </c>
      <c r="N15" s="13">
        <f t="shared" si="14"/>
        <v>0.14999486839563708</v>
      </c>
      <c r="O15" s="8">
        <f>1-GEVCUM(KVD!$D$76,KVD!$E$76,KVD!$F$76,$A15)</f>
        <v>0.7065316297564801</v>
      </c>
      <c r="P15" s="3">
        <f t="shared" si="10"/>
        <v>1.2259854130050667</v>
      </c>
      <c r="Q15" s="3">
        <f t="shared" si="11"/>
        <v>0.8156703900325013</v>
      </c>
      <c r="R15" s="13">
        <f t="shared" si="15"/>
        <v>0.34670355086779137</v>
      </c>
      <c r="S15" s="8">
        <f>1-GEVCUM(KVD!$D$77,KVD!$E$77,KVD!$F$77,$A15)</f>
        <v>0.76850162725562476</v>
      </c>
      <c r="T15" s="3">
        <f t="shared" si="16"/>
        <v>1.4631824346625175</v>
      </c>
      <c r="U15" s="9">
        <f t="shared" si="17"/>
        <v>0.68344177479867685</v>
      </c>
      <c r="V15" s="32">
        <f t="shared" si="18"/>
        <v>0.38307981718406392</v>
      </c>
    </row>
    <row r="16" spans="1:22" x14ac:dyDescent="0.25">
      <c r="A16" s="23">
        <f t="shared" si="4"/>
        <v>77.5</v>
      </c>
      <c r="B16" s="13">
        <f t="shared" si="5"/>
        <v>75</v>
      </c>
      <c r="C16" s="8">
        <f>1-GEVCUM(KVD!$D$73,KVD!$E$73,KVD!$F$73,$A16)</f>
        <v>2.9485678310384733E-2</v>
      </c>
      <c r="D16" s="3">
        <f t="shared" si="0"/>
        <v>2.9929119460198779E-2</v>
      </c>
      <c r="E16" s="3">
        <f t="shared" si="1"/>
        <v>33.412276005308122</v>
      </c>
      <c r="F16" s="32">
        <f t="shared" si="6"/>
        <v>1.4033482565764373E-2</v>
      </c>
      <c r="G16" s="8">
        <f>1-GEVCUM(KVD!$D$74,KVD!$E$74,KVD!$F$74,$A16)</f>
        <v>8.2172522906098888E-2</v>
      </c>
      <c r="H16" s="3">
        <f t="shared" si="2"/>
        <v>8.5745839472259514E-2</v>
      </c>
      <c r="I16" s="3">
        <f t="shared" si="3"/>
        <v>11.662373430066189</v>
      </c>
      <c r="J16" s="13">
        <f t="shared" si="7"/>
        <v>3.755031686111085E-2</v>
      </c>
      <c r="K16" s="8">
        <f>1-GEVCUM(KVD!$D$75,KVD!$E$75,KVD!$F$75,$A16)</f>
        <v>0.24519857863048022</v>
      </c>
      <c r="L16" s="3">
        <f t="shared" si="8"/>
        <v>0.28130058238204309</v>
      </c>
      <c r="M16" s="3">
        <f t="shared" si="9"/>
        <v>3.5549162093161573</v>
      </c>
      <c r="N16" s="13">
        <f t="shared" si="14"/>
        <v>0.1075919591300688</v>
      </c>
      <c r="O16" s="8">
        <f>1-GEVCUM(KVD!$D$76,KVD!$E$76,KVD!$F$76,$A16)</f>
        <v>0.61440176402950208</v>
      </c>
      <c r="P16" s="3">
        <f t="shared" si="10"/>
        <v>0.952959291021517</v>
      </c>
      <c r="Q16" s="3">
        <f t="shared" si="11"/>
        <v>1.0493627686110896</v>
      </c>
      <c r="R16" s="13">
        <f t="shared" si="15"/>
        <v>0.27302612198354981</v>
      </c>
      <c r="S16" s="8">
        <f>1-GEVCUM(KVD!$D$77,KVD!$E$77,KVD!$F$77,$A16)</f>
        <v>0.68512672354382242</v>
      </c>
      <c r="T16" s="3">
        <f t="shared" si="16"/>
        <v>1.1555850180641529</v>
      </c>
      <c r="U16" s="9">
        <f t="shared" si="17"/>
        <v>0.86536255175340504</v>
      </c>
      <c r="V16" s="32">
        <f t="shared" si="18"/>
        <v>0.30759741659836459</v>
      </c>
    </row>
    <row r="17" spans="1:22" x14ac:dyDescent="0.25">
      <c r="A17" s="23">
        <f t="shared" si="4"/>
        <v>82.5</v>
      </c>
      <c r="B17" s="13">
        <f t="shared" si="5"/>
        <v>80</v>
      </c>
      <c r="C17" s="8">
        <f>1-GEVCUM(KVD!$D$73,KVD!$E$73,KVD!$F$73,$A17)</f>
        <v>2.0379830338604354E-2</v>
      </c>
      <c r="D17" s="3">
        <f t="shared" si="0"/>
        <v>2.0590364424995195E-2</v>
      </c>
      <c r="E17" s="3">
        <f t="shared" si="1"/>
        <v>48.566406080024166</v>
      </c>
      <c r="F17" s="32">
        <f t="shared" si="6"/>
        <v>9.3387550352035838E-3</v>
      </c>
      <c r="G17" s="8">
        <f>1-GEVCUM(KVD!$D$74,KVD!$E$74,KVD!$F$74,$A17)</f>
        <v>5.829661317416801E-2</v>
      </c>
      <c r="H17" s="3">
        <f t="shared" si="2"/>
        <v>6.0064929970694576E-2</v>
      </c>
      <c r="I17" s="3">
        <f t="shared" si="3"/>
        <v>16.648650060657619</v>
      </c>
      <c r="J17" s="13">
        <f t="shared" si="7"/>
        <v>2.568090950156493E-2</v>
      </c>
      <c r="K17" s="8">
        <f>1-GEVCUM(KVD!$D$75,KVD!$E$75,KVD!$F$75,$A17)</f>
        <v>0.18449038102523707</v>
      </c>
      <c r="L17" s="3">
        <f t="shared" si="8"/>
        <v>0.20394206180392002</v>
      </c>
      <c r="M17" s="3">
        <f t="shared" si="9"/>
        <v>4.9033533894614116</v>
      </c>
      <c r="N17" s="13">
        <f t="shared" si="14"/>
        <v>7.7358520578123063E-2</v>
      </c>
      <c r="O17" s="8">
        <f>1-GEVCUM(KVD!$D$76,KVD!$E$76,KVD!$F$76,$A17)</f>
        <v>0.52219432140352906</v>
      </c>
      <c r="P17" s="3">
        <f t="shared" si="10"/>
        <v>0.73855115927936366</v>
      </c>
      <c r="Q17" s="3">
        <f t="shared" si="11"/>
        <v>1.3540023428786481</v>
      </c>
      <c r="R17" s="13">
        <f t="shared" si="15"/>
        <v>0.21440813174215323</v>
      </c>
      <c r="S17" s="8">
        <f>1-GEVCUM(KVD!$D$77,KVD!$E$77,KVD!$F$77,$A17)</f>
        <v>0.59723704077301853</v>
      </c>
      <c r="T17" s="3">
        <f t="shared" si="16"/>
        <v>0.90940708059111819</v>
      </c>
      <c r="U17" s="9">
        <f t="shared" si="17"/>
        <v>1.0996175654911287</v>
      </c>
      <c r="V17" s="32">
        <f t="shared" si="18"/>
        <v>0.24617793747303474</v>
      </c>
    </row>
    <row r="18" spans="1:22" x14ac:dyDescent="0.25">
      <c r="A18" s="23">
        <f t="shared" si="4"/>
        <v>87.5</v>
      </c>
      <c r="B18" s="13">
        <f t="shared" si="5"/>
        <v>85</v>
      </c>
      <c r="C18" s="8">
        <f>1-GEVCUM(KVD!$D$73,KVD!$E$73,KVD!$F$73,$A18)</f>
        <v>1.4205229066178493E-2</v>
      </c>
      <c r="D18" s="3">
        <f t="shared" si="0"/>
        <v>1.4307089113423098E-2</v>
      </c>
      <c r="E18" s="3">
        <f t="shared" si="1"/>
        <v>69.895419821058283</v>
      </c>
      <c r="F18" s="32">
        <f t="shared" si="6"/>
        <v>6.2832753115720976E-3</v>
      </c>
      <c r="G18" s="8">
        <f>1-GEVCUM(KVD!$D$74,KVD!$E$74,KVD!$F$74,$A18)</f>
        <v>4.1484179263714616E-2</v>
      </c>
      <c r="H18" s="3">
        <f t="shared" si="2"/>
        <v>4.2369210908831743E-2</v>
      </c>
      <c r="I18" s="3">
        <f t="shared" si="3"/>
        <v>23.602044469314222</v>
      </c>
      <c r="J18" s="13">
        <f t="shared" si="7"/>
        <v>1.769571906186284E-2</v>
      </c>
      <c r="K18" s="8">
        <f>1-GEVCUM(KVD!$D$75,KVD!$E$75,KVD!$F$75,$A18)</f>
        <v>0.13773427794656046</v>
      </c>
      <c r="L18" s="3">
        <f t="shared" si="8"/>
        <v>0.14819179357851786</v>
      </c>
      <c r="M18" s="3">
        <f t="shared" si="9"/>
        <v>6.7480119907595322</v>
      </c>
      <c r="N18" s="13">
        <f t="shared" si="14"/>
        <v>5.5750268225402161E-2</v>
      </c>
      <c r="O18" s="8">
        <f>1-GEVCUM(KVD!$D$76,KVD!$E$76,KVD!$F$76,$A18)</f>
        <v>0.43484481783616391</v>
      </c>
      <c r="P18" s="3">
        <f t="shared" si="10"/>
        <v>0.57065492685043595</v>
      </c>
      <c r="Q18" s="3">
        <f t="shared" si="11"/>
        <v>1.7523724985942195</v>
      </c>
      <c r="R18" s="13">
        <f t="shared" si="15"/>
        <v>0.16789623242892771</v>
      </c>
      <c r="S18" s="8">
        <f>1-GEVCUM(KVD!$D$77,KVD!$E$77,KVD!$F$77,$A18)</f>
        <v>0.50985332734190725</v>
      </c>
      <c r="T18" s="3">
        <f t="shared" si="16"/>
        <v>0.71305060071304516</v>
      </c>
      <c r="U18" s="9">
        <f t="shared" si="17"/>
        <v>1.4024250158404012</v>
      </c>
      <c r="V18" s="32">
        <f t="shared" si="18"/>
        <v>0.19635647987807303</v>
      </c>
    </row>
    <row r="19" spans="1:22" x14ac:dyDescent="0.25">
      <c r="A19" s="23">
        <f t="shared" si="4"/>
        <v>92.5</v>
      </c>
      <c r="B19" s="13">
        <f t="shared" si="5"/>
        <v>90</v>
      </c>
      <c r="C19" s="8">
        <f>1-GEVCUM(KVD!$D$73,KVD!$E$73,KVD!$F$73,$A19)</f>
        <v>9.9851548424090275E-3</v>
      </c>
      <c r="D19" s="3">
        <f t="shared" si="0"/>
        <v>1.0035340857249209E-2</v>
      </c>
      <c r="E19" s="3">
        <f t="shared" si="1"/>
        <v>99.647836005254561</v>
      </c>
      <c r="F19" s="32">
        <f t="shared" si="6"/>
        <v>4.2717482561738882E-3</v>
      </c>
      <c r="G19" s="8">
        <f>1-GEVCUM(KVD!$D$74,KVD!$E$74,KVD!$F$74,$A19)</f>
        <v>2.9639330123194307E-2</v>
      </c>
      <c r="H19" s="3">
        <f t="shared" si="2"/>
        <v>3.0087451979086622E-2</v>
      </c>
      <c r="I19" s="3">
        <f t="shared" si="3"/>
        <v>33.236446898031993</v>
      </c>
      <c r="J19" s="13">
        <f t="shared" si="7"/>
        <v>1.2281758929745125E-2</v>
      </c>
      <c r="K19" s="8">
        <f>1-GEVCUM(KVD!$D$75,KVD!$E$75,KVD!$F$75,$A19)</f>
        <v>0.10230216340653031</v>
      </c>
      <c r="L19" s="3">
        <f t="shared" si="8"/>
        <v>0.10792175216617708</v>
      </c>
      <c r="M19" s="3">
        <f t="shared" si="9"/>
        <v>9.2659726137526732</v>
      </c>
      <c r="N19" s="13">
        <f t="shared" si="14"/>
        <v>4.0270041412340793E-2</v>
      </c>
      <c r="O19" s="8">
        <f>1-GEVCUM(KVD!$D$76,KVD!$E$76,KVD!$F$76,$A19)</f>
        <v>0.35568249486865267</v>
      </c>
      <c r="P19" s="3">
        <f t="shared" si="10"/>
        <v>0.43956365398211394</v>
      </c>
      <c r="Q19" s="3">
        <f t="shared" si="11"/>
        <v>2.274983363480481</v>
      </c>
      <c r="R19" s="13">
        <f t="shared" si="15"/>
        <v>0.13109127286832195</v>
      </c>
      <c r="S19" s="8">
        <f>1-GEVCUM(KVD!$D$77,KVD!$E$77,KVD!$F$77,$A19)</f>
        <v>0.42706234405951993</v>
      </c>
      <c r="T19" s="3">
        <f t="shared" si="16"/>
        <v>0.55697837108305726</v>
      </c>
      <c r="U19" s="9">
        <f t="shared" si="17"/>
        <v>1.795401853855612</v>
      </c>
      <c r="V19" s="32">
        <f t="shared" si="18"/>
        <v>0.1560722296299879</v>
      </c>
    </row>
    <row r="20" spans="1:22" x14ac:dyDescent="0.25">
      <c r="A20" s="23">
        <f t="shared" si="4"/>
        <v>97.5</v>
      </c>
      <c r="B20" s="13">
        <f t="shared" si="5"/>
        <v>95</v>
      </c>
      <c r="C20" s="8">
        <f>1-GEVCUM(KVD!$D$73,KVD!$E$73,KVD!$F$73,$A20)</f>
        <v>7.0771533281250854E-3</v>
      </c>
      <c r="D20" s="3">
        <f t="shared" si="0"/>
        <v>7.1023151641341105E-3</v>
      </c>
      <c r="E20" s="3">
        <f t="shared" si="1"/>
        <v>140.79915870952715</v>
      </c>
      <c r="F20" s="32">
        <f t="shared" si="6"/>
        <v>2.9330256931150989E-3</v>
      </c>
      <c r="G20" s="8">
        <f>1-GEVCUM(KVD!$D$74,KVD!$E$74,KVD!$F$74,$A20)</f>
        <v>2.1274317073890825E-2</v>
      </c>
      <c r="H20" s="3">
        <f t="shared" si="2"/>
        <v>2.1503877016562308E-2</v>
      </c>
      <c r="I20" s="3">
        <f t="shared" si="3"/>
        <v>46.503242146976518</v>
      </c>
      <c r="J20" s="13">
        <f t="shared" si="7"/>
        <v>8.5835749625243103E-3</v>
      </c>
      <c r="K20" s="8">
        <f>1-GEVCUM(KVD!$D$75,KVD!$E$75,KVD!$F$75,$A20)</f>
        <v>7.5745351881351342E-2</v>
      </c>
      <c r="L20" s="3">
        <f t="shared" si="8"/>
        <v>7.8767652107282871E-2</v>
      </c>
      <c r="M20" s="3">
        <f t="shared" si="9"/>
        <v>12.695566939560203</v>
      </c>
      <c r="N20" s="13">
        <f t="shared" si="14"/>
        <v>2.9154100058894197E-2</v>
      </c>
      <c r="O20" s="8">
        <f>1-GEVCUM(KVD!$D$76,KVD!$E$76,KVD!$F$76,$A20)</f>
        <v>0.28645841365861757</v>
      </c>
      <c r="P20" s="3">
        <f t="shared" si="10"/>
        <v>0.33751455877232411</v>
      </c>
      <c r="Q20" s="3">
        <f t="shared" si="11"/>
        <v>2.9628351548371756</v>
      </c>
      <c r="R20" s="13">
        <f t="shared" si="15"/>
        <v>0.10204909520978989</v>
      </c>
      <c r="S20" s="8">
        <f>1-GEVCUM(KVD!$D$77,KVD!$E$77,KVD!$F$77,$A20)</f>
        <v>0.3516803672546589</v>
      </c>
      <c r="T20" s="3">
        <f t="shared" si="16"/>
        <v>0.43337144383331155</v>
      </c>
      <c r="U20" s="9">
        <f t="shared" si="17"/>
        <v>2.3074893702147845</v>
      </c>
      <c r="V20" s="32">
        <f t="shared" si="18"/>
        <v>0.12360692724974565</v>
      </c>
    </row>
    <row r="21" spans="1:22" x14ac:dyDescent="0.25">
      <c r="A21" s="23">
        <f t="shared" si="4"/>
        <v>102.5</v>
      </c>
      <c r="B21" s="13">
        <f t="shared" si="5"/>
        <v>100</v>
      </c>
      <c r="C21" s="8">
        <f>1-GEVCUM(KVD!$D$73,KVD!$E$73,KVD!$F$73,$A21)</f>
        <v>5.0566511040249784E-3</v>
      </c>
      <c r="D21" s="3">
        <f t="shared" si="0"/>
        <v>5.0694792273871733E-3</v>
      </c>
      <c r="E21" s="3">
        <f t="shared" si="1"/>
        <v>197.2589205213892</v>
      </c>
      <c r="F21" s="32">
        <f t="shared" si="6"/>
        <v>2.0328359367469372E-3</v>
      </c>
      <c r="G21" s="8">
        <f>1-GEVCUM(KVD!$D$74,KVD!$E$74,KVD!$F$74,$A21)</f>
        <v>1.5345724786208881E-2</v>
      </c>
      <c r="H21" s="3">
        <f t="shared" si="2"/>
        <v>1.5464689051994539E-2</v>
      </c>
      <c r="I21" s="3">
        <f t="shared" si="3"/>
        <v>64.663440476420462</v>
      </c>
      <c r="J21" s="13">
        <f t="shared" si="7"/>
        <v>6.0391879645677708E-3</v>
      </c>
      <c r="K21" s="8">
        <f>1-GEVCUM(KVD!$D$75,KVD!$E$75,KVD!$F$75,$A21)</f>
        <v>5.5985700203320499E-2</v>
      </c>
      <c r="L21" s="3">
        <f t="shared" si="8"/>
        <v>5.7613964861664653E-2</v>
      </c>
      <c r="M21" s="3">
        <f t="shared" si="9"/>
        <v>17.356903007822378</v>
      </c>
      <c r="N21" s="13">
        <f t="shared" si="14"/>
        <v>2.1153687245618218E-2</v>
      </c>
      <c r="O21" s="8">
        <f>1-GEVCUM(KVD!$D$76,KVD!$E$76,KVD!$F$76,$A21)</f>
        <v>0.2276491366272656</v>
      </c>
      <c r="P21" s="3">
        <f t="shared" si="10"/>
        <v>0.25831634597083558</v>
      </c>
      <c r="Q21" s="3">
        <f t="shared" si="11"/>
        <v>3.8712223039609812</v>
      </c>
      <c r="R21" s="13">
        <f t="shared" si="15"/>
        <v>7.9198212801488532E-2</v>
      </c>
      <c r="S21" s="8">
        <f>1-GEVCUM(KVD!$D$77,KVD!$E$77,KVD!$F$77,$A21)</f>
        <v>0.28526217073156745</v>
      </c>
      <c r="T21" s="3">
        <f t="shared" si="16"/>
        <v>0.33583947588071617</v>
      </c>
      <c r="U21" s="9">
        <f t="shared" si="17"/>
        <v>2.9776130318735405</v>
      </c>
      <c r="V21" s="32">
        <f t="shared" si="18"/>
        <v>9.7531967952595444E-2</v>
      </c>
    </row>
    <row r="22" spans="1:22" x14ac:dyDescent="0.25">
      <c r="A22" s="23">
        <f t="shared" si="4"/>
        <v>107.5</v>
      </c>
      <c r="B22" s="13">
        <f t="shared" si="5"/>
        <v>105</v>
      </c>
      <c r="C22" s="8">
        <f>1-GEVCUM(KVD!$D$73,KVD!$E$73,KVD!$F$73,$A22)</f>
        <v>3.6412699825987271E-3</v>
      </c>
      <c r="D22" s="3">
        <f t="shared" si="0"/>
        <v>3.6479155432334515E-3</v>
      </c>
      <c r="E22" s="3">
        <f t="shared" si="1"/>
        <v>274.12915352574657</v>
      </c>
      <c r="F22" s="32">
        <f t="shared" si="6"/>
        <v>5.0694792273871733E-3</v>
      </c>
      <c r="G22" s="8">
        <f>1-GEVCUM(KVD!$D$74,KVD!$E$74,KVD!$F$74,$A22)</f>
        <v>1.1125865795817536E-2</v>
      </c>
      <c r="H22" s="3">
        <f t="shared" si="2"/>
        <v>1.1188221177117168E-2</v>
      </c>
      <c r="I22" s="3">
        <f t="shared" si="3"/>
        <v>89.379713197417033</v>
      </c>
      <c r="J22" s="13">
        <f t="shared" si="7"/>
        <v>4.2764678748773693E-3</v>
      </c>
      <c r="K22" s="8">
        <f>1-GEVCUM(KVD!$D$75,KVD!$E$75,KVD!$F$75,$A22)</f>
        <v>4.1352098480549215E-2</v>
      </c>
      <c r="L22" s="3">
        <f t="shared" si="8"/>
        <v>4.2231423215646144E-2</v>
      </c>
      <c r="M22" s="3">
        <f t="shared" si="9"/>
        <v>23.679050428722331</v>
      </c>
      <c r="N22" s="13">
        <f t="shared" si="14"/>
        <v>1.5382541646018509E-2</v>
      </c>
      <c r="O22" s="8">
        <f>1-GEVCUM(KVD!$D$76,KVD!$E$76,KVD!$F$76,$A22)</f>
        <v>0.17884607055965573</v>
      </c>
      <c r="P22" s="3">
        <f t="shared" si="10"/>
        <v>0.19704469692067325</v>
      </c>
      <c r="Q22" s="3">
        <f t="shared" si="11"/>
        <v>5.0749906778896081</v>
      </c>
      <c r="R22" s="13">
        <f t="shared" si="15"/>
        <v>6.1271649050162302E-2</v>
      </c>
      <c r="S22" s="8">
        <f>1-GEVCUM(KVD!$D$77,KVD!$E$77,KVD!$F$77,$A22)</f>
        <v>0.22831315101007066</v>
      </c>
      <c r="T22" s="3">
        <f t="shared" si="16"/>
        <v>0.25917644727331485</v>
      </c>
      <c r="U22" s="9">
        <f t="shared" si="17"/>
        <v>3.8583752903497777</v>
      </c>
      <c r="V22" s="32">
        <f t="shared" si="18"/>
        <v>7.6663028607401318E-2</v>
      </c>
    </row>
    <row r="23" spans="1:22" x14ac:dyDescent="0.25">
      <c r="A23" s="23">
        <f t="shared" si="4"/>
        <v>112.5</v>
      </c>
      <c r="B23" s="13">
        <f t="shared" si="5"/>
        <v>110</v>
      </c>
      <c r="C23" s="8"/>
      <c r="D23" s="3"/>
      <c r="E23" s="3"/>
      <c r="F23" s="32"/>
      <c r="G23" s="8">
        <f>1-GEVCUM(KVD!$D$74,KVD!$E$74,KVD!$F$74,$A23)</f>
        <v>8.1080659972643243E-3</v>
      </c>
      <c r="H23" s="3">
        <f t="shared" si="2"/>
        <v>8.1411151286266432E-3</v>
      </c>
      <c r="I23" s="3">
        <f t="shared" si="3"/>
        <v>122.83329546387264</v>
      </c>
      <c r="J23" s="13">
        <f t="shared" si="7"/>
        <v>1.1188221177117168E-2</v>
      </c>
      <c r="K23" s="8">
        <f>1-GEVCUM(KVD!$D$75,KVD!$E$75,KVD!$F$75,$A23)</f>
        <v>3.0545019152470876E-2</v>
      </c>
      <c r="L23" s="3">
        <f t="shared" si="8"/>
        <v>3.1021240810771615E-2</v>
      </c>
      <c r="M23" s="3">
        <f t="shared" si="9"/>
        <v>32.235976829552428</v>
      </c>
      <c r="N23" s="13">
        <f t="shared" si="14"/>
        <v>1.1210182404874529E-2</v>
      </c>
      <c r="O23" s="8">
        <f>1-GEVCUM(KVD!$D$76,KVD!$E$76,KVD!$F$76,$A23)</f>
        <v>0.13911475678807317</v>
      </c>
      <c r="P23" s="3">
        <f t="shared" si="10"/>
        <v>0.14979406658265898</v>
      </c>
      <c r="Q23" s="3">
        <f t="shared" si="11"/>
        <v>6.6758318457706238</v>
      </c>
      <c r="R23" s="13">
        <f t="shared" si="15"/>
        <v>4.7250630338014299E-2</v>
      </c>
      <c r="S23" s="8">
        <f>1-GEVCUM(KVD!$D$77,KVD!$E$77,KVD!$F$77,$A23)</f>
        <v>0.18057729297821234</v>
      </c>
      <c r="T23" s="3">
        <f t="shared" si="16"/>
        <v>0.19915520248644272</v>
      </c>
      <c r="U23" s="9">
        <f t="shared" si="17"/>
        <v>5.0212095266156753</v>
      </c>
      <c r="V23" s="32">
        <f t="shared" si="18"/>
        <v>6.0021244786872124E-2</v>
      </c>
    </row>
    <row r="24" spans="1:22" x14ac:dyDescent="0.25">
      <c r="A24" s="23">
        <f t="shared" si="4"/>
        <v>117.5</v>
      </c>
      <c r="B24" s="13">
        <f t="shared" si="5"/>
        <v>115</v>
      </c>
      <c r="C24" s="8"/>
      <c r="D24" s="3"/>
      <c r="E24" s="3"/>
      <c r="F24" s="32"/>
      <c r="G24" s="8"/>
      <c r="H24" s="3"/>
      <c r="I24" s="3"/>
      <c r="J24" s="13"/>
      <c r="K24" s="8">
        <f>1-GEVCUM(KVD!$D$75,KVD!$E$75,KVD!$F$75,$A24)</f>
        <v>2.2575470738173675E-2</v>
      </c>
      <c r="L24" s="3">
        <f t="shared" si="8"/>
        <v>2.2834198019591013E-2</v>
      </c>
      <c r="M24" s="3">
        <f t="shared" si="9"/>
        <v>43.793961983776789</v>
      </c>
      <c r="N24" s="13">
        <f t="shared" si="14"/>
        <v>8.1870427911806022E-3</v>
      </c>
      <c r="O24" s="8">
        <f>1-GEVCUM(KVD!$D$76,KVD!$E$76,KVD!$F$76,$A24)</f>
        <v>0.10727427683758195</v>
      </c>
      <c r="P24" s="3">
        <f t="shared" si="10"/>
        <v>0.11347588619861464</v>
      </c>
      <c r="Q24" s="3">
        <f t="shared" si="11"/>
        <v>8.8124449475522884</v>
      </c>
      <c r="R24" s="13">
        <f t="shared" si="15"/>
        <v>3.6318180384044343E-2</v>
      </c>
      <c r="S24" s="8">
        <f>1-GEVCUM(KVD!$D$77,KVD!$E$77,KVD!$F$77,$A24)</f>
        <v>0.14131671525129974</v>
      </c>
      <c r="T24" s="3">
        <f t="shared" si="16"/>
        <v>0.15235512725687073</v>
      </c>
      <c r="U24" s="9">
        <f t="shared" si="17"/>
        <v>6.5636123838090468</v>
      </c>
      <c r="V24" s="32">
        <f t="shared" si="18"/>
        <v>4.6800075229571997E-2</v>
      </c>
    </row>
    <row r="25" spans="1:22" x14ac:dyDescent="0.25">
      <c r="A25" s="23">
        <f t="shared" si="4"/>
        <v>122.5</v>
      </c>
      <c r="B25" s="13">
        <f t="shared" si="5"/>
        <v>120</v>
      </c>
      <c r="C25" s="8"/>
      <c r="D25" s="3"/>
      <c r="E25" s="3"/>
      <c r="F25" s="32"/>
      <c r="G25" s="8"/>
      <c r="H25" s="3"/>
      <c r="I25" s="3"/>
      <c r="J25" s="13"/>
      <c r="K25" s="8">
        <f>1-GEVCUM(KVD!$D$75,KVD!$E$75,KVD!$F$75,$A25)</f>
        <v>1.67013383114063E-2</v>
      </c>
      <c r="L25" s="3">
        <f t="shared" si="8"/>
        <v>1.6842378237740176E-2</v>
      </c>
      <c r="M25" s="3">
        <f t="shared" si="9"/>
        <v>59.374037673564018</v>
      </c>
      <c r="N25" s="13">
        <f t="shared" si="14"/>
        <v>2.2834198019591013E-2</v>
      </c>
      <c r="O25" s="8">
        <f>1-GEVCUM(KVD!$D$76,KVD!$E$76,KVD!$F$76,$A25)</f>
        <v>8.2089070250098262E-2</v>
      </c>
      <c r="P25" s="3">
        <f t="shared" si="10"/>
        <v>8.5654919485242856E-2</v>
      </c>
      <c r="Q25" s="3">
        <f t="shared" si="11"/>
        <v>11.674752670478968</v>
      </c>
      <c r="R25" s="13">
        <f t="shared" si="15"/>
        <v>2.7820966713371781E-2</v>
      </c>
      <c r="S25" s="8">
        <f>1-GEVCUM(KVD!$D$77,KVD!$E$77,KVD!$F$77,$A25)</f>
        <v>0.10954083526025293</v>
      </c>
      <c r="T25" s="3">
        <f t="shared" si="16"/>
        <v>0.1160180338566472</v>
      </c>
      <c r="U25" s="9">
        <f t="shared" si="17"/>
        <v>8.6193496541719359</v>
      </c>
      <c r="V25" s="32">
        <f t="shared" si="18"/>
        <v>3.6337093400223522E-2</v>
      </c>
    </row>
    <row r="26" spans="1:22" x14ac:dyDescent="0.25">
      <c r="A26" s="23">
        <f t="shared" si="4"/>
        <v>127.5</v>
      </c>
      <c r="B26" s="13">
        <f t="shared" si="5"/>
        <v>125</v>
      </c>
      <c r="C26" s="8"/>
      <c r="D26" s="3"/>
      <c r="E26" s="3"/>
      <c r="F26" s="32"/>
      <c r="G26" s="8"/>
      <c r="H26" s="3"/>
      <c r="I26" s="3"/>
      <c r="J26" s="13"/>
      <c r="K26" s="8"/>
      <c r="L26" s="3"/>
      <c r="M26" s="3"/>
      <c r="N26" s="13"/>
      <c r="O26" s="8">
        <f>1-GEVCUM(KVD!$D$76,KVD!$E$76,KVD!$F$76,$A26)</f>
        <v>6.2385983091988728E-2</v>
      </c>
      <c r="P26" s="3">
        <f t="shared" si="10"/>
        <v>6.4416910497232832E-2</v>
      </c>
      <c r="Q26" s="3">
        <f t="shared" si="11"/>
        <v>15.523873968512618</v>
      </c>
      <c r="R26" s="13">
        <f t="shared" si="15"/>
        <v>2.1238008988010024E-2</v>
      </c>
      <c r="S26" s="8">
        <f>1-GEVCUM(KVD!$D$77,KVD!$E$77,KVD!$F$77,$A26)</f>
        <v>8.4173182846594918E-2</v>
      </c>
      <c r="T26" s="3">
        <f t="shared" si="16"/>
        <v>8.792799642591137E-2</v>
      </c>
      <c r="U26" s="9">
        <f t="shared" si="17"/>
        <v>11.372941959875154</v>
      </c>
      <c r="V26" s="32">
        <f t="shared" si="18"/>
        <v>2.8090037430735834E-2</v>
      </c>
    </row>
    <row r="27" spans="1:22" x14ac:dyDescent="0.25">
      <c r="A27" s="23">
        <f t="shared" si="4"/>
        <v>132.5</v>
      </c>
      <c r="B27" s="13">
        <f t="shared" si="5"/>
        <v>130</v>
      </c>
      <c r="C27" s="8"/>
      <c r="D27" s="3"/>
      <c r="E27" s="3"/>
      <c r="F27" s="32"/>
      <c r="G27" s="8"/>
      <c r="H27" s="3"/>
      <c r="I27" s="3"/>
      <c r="J27" s="13"/>
      <c r="K27" s="8"/>
      <c r="L27" s="3"/>
      <c r="M27" s="3"/>
      <c r="N27" s="13"/>
      <c r="O27" s="8">
        <f>1-GEVCUM(KVD!$D$76,KVD!$E$76,KVD!$F$76,$A27)</f>
        <v>4.7115739882010566E-2</v>
      </c>
      <c r="P27" s="3">
        <f t="shared" si="10"/>
        <v>4.8261830638285923E-2</v>
      </c>
      <c r="Q27" s="3">
        <f t="shared" si="11"/>
        <v>20.720308093881211</v>
      </c>
      <c r="R27" s="13">
        <f t="shared" si="15"/>
        <v>1.6155079858946909E-2</v>
      </c>
      <c r="S27" s="8">
        <f>1-GEVCUM(KVD!$D$77,KVD!$E$77,KVD!$F$77,$A27)</f>
        <v>6.4160662204181484E-2</v>
      </c>
      <c r="T27" s="3">
        <f t="shared" si="16"/>
        <v>6.631146489172958E-2</v>
      </c>
      <c r="U27" s="9">
        <f t="shared" si="17"/>
        <v>15.080348498298985</v>
      </c>
      <c r="V27" s="32">
        <f t="shared" si="18"/>
        <v>2.161653153418179E-2</v>
      </c>
    </row>
    <row r="28" spans="1:22" x14ac:dyDescent="0.25">
      <c r="A28" s="23">
        <f t="shared" si="4"/>
        <v>137.5</v>
      </c>
      <c r="B28" s="13">
        <f t="shared" si="5"/>
        <v>135</v>
      </c>
      <c r="C28" s="8"/>
      <c r="D28" s="3"/>
      <c r="E28" s="3"/>
      <c r="F28" s="32"/>
      <c r="G28" s="8"/>
      <c r="H28" s="3"/>
      <c r="I28" s="3"/>
      <c r="J28" s="13"/>
      <c r="K28" s="8"/>
      <c r="L28" s="3"/>
      <c r="M28" s="3"/>
      <c r="N28" s="13"/>
      <c r="O28" s="8">
        <f>1-GEVCUM(KVD!$D$76,KVD!$E$76,KVD!$F$76,$A28)</f>
        <v>3.5377083070714632E-2</v>
      </c>
      <c r="P28" s="3">
        <f t="shared" si="10"/>
        <v>3.6018013668372824E-2</v>
      </c>
      <c r="Q28" s="3">
        <f t="shared" si="11"/>
        <v>27.763885293821556</v>
      </c>
      <c r="R28" s="13">
        <f t="shared" si="15"/>
        <v>1.2243816969913099E-2</v>
      </c>
      <c r="S28" s="8">
        <f>1-GEVCUM(KVD!$D$77,KVD!$E$77,KVD!$F$77,$A28)</f>
        <v>4.8537019985157914E-2</v>
      </c>
      <c r="T28" s="3">
        <f t="shared" si="16"/>
        <v>4.9754499976194966E-2</v>
      </c>
      <c r="U28" s="9">
        <f t="shared" si="17"/>
        <v>20.098684550712999</v>
      </c>
      <c r="V28" s="32">
        <f t="shared" si="18"/>
        <v>1.6556964915534614E-2</v>
      </c>
    </row>
    <row r="29" spans="1:22" x14ac:dyDescent="0.25">
      <c r="A29" s="23">
        <f t="shared" si="4"/>
        <v>142.5</v>
      </c>
      <c r="B29" s="13">
        <f t="shared" si="5"/>
        <v>140</v>
      </c>
      <c r="C29" s="8"/>
      <c r="D29" s="3"/>
      <c r="E29" s="3"/>
      <c r="F29" s="32"/>
      <c r="G29" s="8"/>
      <c r="H29" s="3"/>
      <c r="I29" s="3"/>
      <c r="J29" s="13"/>
      <c r="K29" s="8"/>
      <c r="L29" s="3"/>
      <c r="M29" s="3"/>
      <c r="N29" s="13"/>
      <c r="O29" s="8">
        <f>1-GEVCUM(KVD!$D$76,KVD!$E$76,KVD!$F$76,$A29)</f>
        <v>2.6418062061456804E-2</v>
      </c>
      <c r="P29" s="3">
        <f t="shared" si="10"/>
        <v>2.6773289310669492E-2</v>
      </c>
      <c r="Q29" s="3">
        <f t="shared" si="11"/>
        <v>37.350659024234552</v>
      </c>
      <c r="R29" s="13">
        <f t="shared" si="15"/>
        <v>9.2447243577033315E-3</v>
      </c>
      <c r="S29" s="8">
        <f>1-GEVCUM(KVD!$D$77,KVD!$E$77,KVD!$F$77,$A29)</f>
        <v>3.6453394142168971E-2</v>
      </c>
      <c r="T29" s="3">
        <f t="shared" si="16"/>
        <v>3.7134420883116338E-2</v>
      </c>
      <c r="U29" s="9">
        <f t="shared" si="17"/>
        <v>26.929193352646664</v>
      </c>
      <c r="V29" s="32">
        <f t="shared" si="18"/>
        <v>1.2620079093078627E-2</v>
      </c>
    </row>
    <row r="30" spans="1:22" x14ac:dyDescent="0.25">
      <c r="A30" s="23">
        <f t="shared" si="4"/>
        <v>147.5</v>
      </c>
      <c r="B30" s="13">
        <f t="shared" si="5"/>
        <v>145</v>
      </c>
      <c r="C30" s="8"/>
      <c r="D30" s="3"/>
      <c r="E30" s="3"/>
      <c r="F30" s="32"/>
      <c r="G30" s="8"/>
      <c r="H30" s="3"/>
      <c r="I30" s="3"/>
      <c r="J30" s="13"/>
      <c r="K30" s="8"/>
      <c r="L30" s="3"/>
      <c r="M30" s="3"/>
      <c r="N30" s="13"/>
      <c r="O30" s="8">
        <f>1-GEVCUM(KVD!$D$76,KVD!$E$76,KVD!$F$76,$A30)</f>
        <v>1.9624789335854875E-2</v>
      </c>
      <c r="P30" s="3">
        <f t="shared" si="10"/>
        <v>1.9819912568141137E-2</v>
      </c>
      <c r="Q30" s="3">
        <f t="shared" si="11"/>
        <v>50.454309349851371</v>
      </c>
      <c r="R30" s="13">
        <f t="shared" si="15"/>
        <v>6.9533767425283555E-3</v>
      </c>
      <c r="S30" s="8">
        <f>1-GEVCUM(KVD!$D$77,KVD!$E$77,KVD!$F$77,$A30)</f>
        <v>2.7187140422656464E-2</v>
      </c>
      <c r="T30" s="3">
        <f t="shared" si="16"/>
        <v>2.7563548719712266E-2</v>
      </c>
      <c r="U30" s="9">
        <f t="shared" si="17"/>
        <v>36.279798735960398</v>
      </c>
      <c r="V30" s="32">
        <f t="shared" si="18"/>
        <v>9.5708721634040692E-3</v>
      </c>
    </row>
    <row r="31" spans="1:22" x14ac:dyDescent="0.25">
      <c r="A31" s="23">
        <f t="shared" si="4"/>
        <v>152.5</v>
      </c>
      <c r="B31" s="13">
        <f t="shared" si="5"/>
        <v>150</v>
      </c>
      <c r="C31" s="8"/>
      <c r="D31" s="3"/>
      <c r="E31" s="3"/>
      <c r="F31" s="32"/>
      <c r="G31" s="8"/>
      <c r="H31" s="3"/>
      <c r="I31" s="3"/>
      <c r="J31" s="13"/>
      <c r="K31" s="8"/>
      <c r="L31" s="3"/>
      <c r="M31" s="3"/>
      <c r="N31" s="13"/>
      <c r="O31" s="8">
        <f>1-GEVCUM(KVD!$D$76,KVD!$E$76,KVD!$F$76,$A31)</f>
        <v>1.4504440282489206E-2</v>
      </c>
      <c r="P31" s="3">
        <f t="shared" si="10"/>
        <v>1.4610658013403086E-2</v>
      </c>
      <c r="Q31" s="3">
        <f t="shared" si="11"/>
        <v>68.44318709551959</v>
      </c>
      <c r="R31" s="13">
        <f t="shared" si="15"/>
        <v>1.9819912568141137E-2</v>
      </c>
      <c r="S31" s="8">
        <f>1-GEVCUM(KVD!$D$77,KVD!$E$77,KVD!$F$77,$A31)</f>
        <v>2.0137544914133332E-2</v>
      </c>
      <c r="T31" s="3">
        <f t="shared" si="16"/>
        <v>2.0343069120973788E-2</v>
      </c>
      <c r="U31" s="9">
        <f t="shared" si="17"/>
        <v>49.156791143623252</v>
      </c>
      <c r="V31" s="32">
        <f t="shared" si="18"/>
        <v>7.2204795987384808E-3</v>
      </c>
    </row>
    <row r="32" spans="1:22" x14ac:dyDescent="0.25">
      <c r="A32" s="23">
        <f t="shared" si="4"/>
        <v>157.5</v>
      </c>
      <c r="B32" s="13">
        <f t="shared" si="5"/>
        <v>155</v>
      </c>
      <c r="C32" s="8"/>
      <c r="D32" s="3"/>
      <c r="E32" s="3"/>
      <c r="F32" s="32"/>
      <c r="G32" s="8"/>
      <c r="H32" s="3"/>
      <c r="I32" s="3"/>
      <c r="J32" s="13"/>
      <c r="K32" s="8"/>
      <c r="L32" s="3"/>
      <c r="M32" s="3"/>
      <c r="N32" s="13"/>
      <c r="O32" s="8"/>
      <c r="P32" s="3"/>
      <c r="Q32" s="3"/>
      <c r="R32" s="13"/>
      <c r="S32" s="8">
        <f>1-GEVCUM(KVD!$D$77,KVD!$E$77,KVD!$F$77,$A32)</f>
        <v>1.4814502113412065E-2</v>
      </c>
      <c r="T32" s="3">
        <f t="shared" si="16"/>
        <v>1.4925332813046572E-2</v>
      </c>
      <c r="U32" s="9">
        <f t="shared" si="17"/>
        <v>67.000181002722925</v>
      </c>
      <c r="V32" s="32">
        <f t="shared" si="18"/>
        <v>2.0343069120973788E-2</v>
      </c>
    </row>
    <row r="33" spans="1:22" x14ac:dyDescent="0.25">
      <c r="A33" s="23">
        <f t="shared" si="4"/>
        <v>162.5</v>
      </c>
      <c r="B33" s="13">
        <f t="shared" si="5"/>
        <v>160</v>
      </c>
      <c r="C33" s="8"/>
      <c r="D33" s="3"/>
      <c r="E33" s="3"/>
      <c r="F33" s="32"/>
      <c r="G33" s="8"/>
      <c r="H33" s="3"/>
      <c r="I33" s="3"/>
      <c r="J33" s="13"/>
      <c r="K33" s="8"/>
      <c r="L33" s="3"/>
      <c r="M33" s="3"/>
      <c r="N33" s="13"/>
      <c r="O33" s="8"/>
      <c r="P33" s="3"/>
      <c r="Q33" s="3"/>
      <c r="R33" s="13"/>
      <c r="S33" s="8"/>
      <c r="T33" s="3"/>
      <c r="U33" s="9"/>
      <c r="V33" s="32"/>
    </row>
    <row r="34" spans="1:22" x14ac:dyDescent="0.25">
      <c r="A34" s="23">
        <f t="shared" si="4"/>
        <v>167.5</v>
      </c>
      <c r="B34" s="13">
        <f t="shared" si="5"/>
        <v>165</v>
      </c>
      <c r="C34" s="8"/>
      <c r="D34" s="3"/>
      <c r="E34" s="3"/>
      <c r="F34" s="32"/>
      <c r="G34" s="8"/>
      <c r="H34" s="3"/>
      <c r="I34" s="3"/>
      <c r="J34" s="13"/>
      <c r="K34" s="8"/>
      <c r="L34" s="3"/>
      <c r="M34" s="3"/>
      <c r="N34" s="13"/>
      <c r="O34" s="8"/>
      <c r="P34" s="3"/>
      <c r="Q34" s="3"/>
      <c r="R34" s="13"/>
      <c r="S34" s="8"/>
      <c r="T34" s="3"/>
      <c r="U34" s="9"/>
      <c r="V34" s="32"/>
    </row>
    <row r="35" spans="1:22" x14ac:dyDescent="0.25">
      <c r="A35" s="23">
        <f t="shared" si="4"/>
        <v>172.5</v>
      </c>
      <c r="B35" s="13">
        <f t="shared" si="5"/>
        <v>170</v>
      </c>
      <c r="C35" s="8"/>
      <c r="D35" s="3"/>
      <c r="E35" s="3"/>
      <c r="F35" s="32"/>
      <c r="G35" s="8"/>
      <c r="H35" s="3"/>
      <c r="I35" s="3"/>
      <c r="J35" s="13"/>
      <c r="K35" s="8"/>
      <c r="L35" s="3"/>
      <c r="M35" s="3"/>
      <c r="N35" s="13"/>
      <c r="O35" s="8"/>
      <c r="P35" s="3"/>
      <c r="Q35" s="3"/>
      <c r="R35" s="13"/>
      <c r="S35" s="8"/>
      <c r="T35" s="3"/>
      <c r="U35" s="9"/>
      <c r="V35" s="32"/>
    </row>
    <row r="36" spans="1:22" x14ac:dyDescent="0.25">
      <c r="A36" s="23">
        <f t="shared" si="4"/>
        <v>177.5</v>
      </c>
      <c r="B36" s="13">
        <f t="shared" si="5"/>
        <v>175</v>
      </c>
      <c r="C36" s="8"/>
      <c r="D36" s="3"/>
      <c r="E36" s="3"/>
      <c r="F36" s="32"/>
      <c r="G36" s="8"/>
      <c r="H36" s="3"/>
      <c r="I36" s="3"/>
      <c r="J36" s="13"/>
      <c r="K36" s="8"/>
      <c r="L36" s="3"/>
      <c r="M36" s="3"/>
      <c r="N36" s="13"/>
      <c r="O36" s="8"/>
      <c r="P36" s="3"/>
      <c r="Q36" s="3"/>
      <c r="R36" s="13"/>
      <c r="S36" s="8"/>
      <c r="T36" s="3"/>
      <c r="U36" s="9"/>
      <c r="V36" s="32"/>
    </row>
    <row r="37" spans="1:22" x14ac:dyDescent="0.25">
      <c r="A37" s="14">
        <f t="shared" si="4"/>
        <v>182.5</v>
      </c>
      <c r="B37" s="15">
        <f t="shared" si="5"/>
        <v>180</v>
      </c>
      <c r="C37" s="10"/>
      <c r="D37" s="4"/>
      <c r="E37" s="4"/>
      <c r="F37" s="33"/>
      <c r="G37" s="10"/>
      <c r="H37" s="4"/>
      <c r="I37" s="4"/>
      <c r="J37" s="15"/>
      <c r="K37" s="10"/>
      <c r="L37" s="4"/>
      <c r="M37" s="4"/>
      <c r="N37" s="15"/>
      <c r="O37" s="8"/>
      <c r="P37" s="3"/>
      <c r="Q37" s="3"/>
      <c r="R37" s="13"/>
      <c r="S37" s="8"/>
      <c r="T37" s="3"/>
      <c r="U37" s="9"/>
      <c r="V37" s="32"/>
    </row>
    <row r="38" spans="1:22" x14ac:dyDescent="0.25">
      <c r="A38" s="14">
        <f t="shared" si="4"/>
        <v>187.5</v>
      </c>
      <c r="B38" s="15">
        <f t="shared" si="5"/>
        <v>185</v>
      </c>
      <c r="O38" s="8"/>
      <c r="P38" s="3"/>
      <c r="Q38" s="3"/>
      <c r="R38" s="13"/>
      <c r="S38" s="8"/>
      <c r="T38" s="3"/>
      <c r="U38" s="9"/>
      <c r="V38" s="32"/>
    </row>
    <row r="39" spans="1:22" x14ac:dyDescent="0.25">
      <c r="A39" s="14">
        <f t="shared" si="4"/>
        <v>192.5</v>
      </c>
      <c r="B39" s="15">
        <f t="shared" si="5"/>
        <v>190</v>
      </c>
      <c r="O39" s="8"/>
      <c r="P39" s="3"/>
      <c r="Q39" s="3"/>
      <c r="R39" s="13"/>
      <c r="S39" s="8"/>
      <c r="T39" s="3"/>
      <c r="U39" s="9"/>
      <c r="V39" s="32"/>
    </row>
    <row r="40" spans="1:22" x14ac:dyDescent="0.25">
      <c r="A40" s="14">
        <f t="shared" si="4"/>
        <v>197.5</v>
      </c>
      <c r="B40" s="15">
        <f t="shared" si="5"/>
        <v>195</v>
      </c>
      <c r="S40" s="8"/>
      <c r="T40" s="3"/>
      <c r="U40" s="9"/>
      <c r="V40" s="32"/>
    </row>
  </sheetData>
  <mergeCells count="11">
    <mergeCell ref="S2:U2"/>
    <mergeCell ref="A1:B2"/>
    <mergeCell ref="C1:F1"/>
    <mergeCell ref="G1:J1"/>
    <mergeCell ref="K1:N1"/>
    <mergeCell ref="O1:R1"/>
    <mergeCell ref="S1:V1"/>
    <mergeCell ref="C2:E2"/>
    <mergeCell ref="G2:I2"/>
    <mergeCell ref="K2:M2"/>
    <mergeCell ref="O2:Q2"/>
  </mergeCells>
  <pageMargins left="0.7" right="0.7" top="0.75" bottom="0.75" header="0.3" footer="0.3"/>
  <pageSetup paperSize="0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Blad19">
    <tabColor theme="6"/>
  </sheetPr>
  <dimension ref="A1:V40"/>
  <sheetViews>
    <sheetView topLeftCell="I1" workbookViewId="0">
      <selection activeCell="V6" sqref="V6:V33"/>
    </sheetView>
  </sheetViews>
  <sheetFormatPr defaultColWidth="9.140625" defaultRowHeight="15" x14ac:dyDescent="0.25"/>
  <cols>
    <col min="1" max="1" width="11.42578125" bestFit="1" customWidth="1"/>
    <col min="2" max="2" width="14" bestFit="1" customWidth="1"/>
    <col min="4" max="4" width="12.28515625" style="19" bestFit="1" customWidth="1"/>
    <col min="5" max="5" width="12" style="19" bestFit="1" customWidth="1"/>
    <col min="6" max="6" width="14.7109375" bestFit="1" customWidth="1"/>
    <col min="8" max="8" width="12.28515625" bestFit="1" customWidth="1"/>
    <col min="9" max="9" width="12" bestFit="1" customWidth="1"/>
    <col min="10" max="10" width="13.7109375" bestFit="1" customWidth="1"/>
    <col min="12" max="12" width="12.28515625" bestFit="1" customWidth="1"/>
    <col min="13" max="13" width="18.85546875" bestFit="1" customWidth="1"/>
    <col min="14" max="14" width="14.7109375" bestFit="1" customWidth="1"/>
    <col min="15" max="15" width="7.7109375" bestFit="1" customWidth="1"/>
    <col min="16" max="16" width="12.28515625" bestFit="1" customWidth="1"/>
    <col min="17" max="17" width="16.42578125" bestFit="1" customWidth="1"/>
    <col min="18" max="18" width="14.7109375" bestFit="1" customWidth="1"/>
    <col min="19" max="19" width="7.7109375" bestFit="1" customWidth="1"/>
    <col min="20" max="20" width="12.28515625" bestFit="1" customWidth="1"/>
    <col min="21" max="21" width="11.42578125" bestFit="1" customWidth="1"/>
    <col min="22" max="22" width="14.7109375" bestFit="1" customWidth="1"/>
  </cols>
  <sheetData>
    <row r="1" spans="1:22" x14ac:dyDescent="0.25">
      <c r="A1" s="50" t="s">
        <v>15</v>
      </c>
      <c r="B1" s="51"/>
      <c r="C1" s="63">
        <v>24</v>
      </c>
      <c r="D1" s="64"/>
      <c r="E1" s="64"/>
      <c r="F1" s="65"/>
      <c r="G1" s="66">
        <v>48</v>
      </c>
      <c r="H1" s="67"/>
      <c r="I1" s="67"/>
      <c r="J1" s="68"/>
      <c r="K1" s="66">
        <v>96</v>
      </c>
      <c r="L1" s="67"/>
      <c r="M1" s="67"/>
      <c r="N1" s="68"/>
      <c r="O1" s="66">
        <v>192</v>
      </c>
      <c r="P1" s="67"/>
      <c r="Q1" s="67"/>
      <c r="R1" s="68"/>
      <c r="S1" s="60">
        <v>216</v>
      </c>
      <c r="T1" s="61"/>
      <c r="U1" s="61"/>
      <c r="V1" s="62"/>
    </row>
    <row r="2" spans="1:22" x14ac:dyDescent="0.25">
      <c r="A2" s="52"/>
      <c r="B2" s="53"/>
      <c r="C2" s="57" t="s">
        <v>9</v>
      </c>
      <c r="D2" s="58"/>
      <c r="E2" s="59"/>
      <c r="F2" s="30">
        <f>24/24*365.25</f>
        <v>365.25</v>
      </c>
      <c r="G2" s="54" t="s">
        <v>9</v>
      </c>
      <c r="H2" s="55"/>
      <c r="I2" s="56"/>
      <c r="J2" s="30">
        <f>24/48*365.25</f>
        <v>182.625</v>
      </c>
      <c r="K2" s="54" t="s">
        <v>9</v>
      </c>
      <c r="L2" s="55"/>
      <c r="M2" s="56"/>
      <c r="N2" s="30">
        <f>24/96*365.25</f>
        <v>91.3125</v>
      </c>
      <c r="O2" s="54" t="s">
        <v>9</v>
      </c>
      <c r="P2" s="55"/>
      <c r="Q2" s="56"/>
      <c r="R2" s="30">
        <f>24/192*365.25</f>
        <v>45.65625</v>
      </c>
      <c r="S2" s="54" t="s">
        <v>9</v>
      </c>
      <c r="T2" s="55"/>
      <c r="U2" s="56"/>
      <c r="V2" s="30">
        <f>24/216*365.25</f>
        <v>40.583333333333329</v>
      </c>
    </row>
    <row r="3" spans="1:22" x14ac:dyDescent="0.25">
      <c r="A3" s="24" t="s">
        <v>12</v>
      </c>
      <c r="B3" s="27" t="s">
        <v>14</v>
      </c>
      <c r="C3" s="24" t="s">
        <v>8</v>
      </c>
      <c r="D3" s="25" t="s">
        <v>10</v>
      </c>
      <c r="E3" s="26" t="s">
        <v>17</v>
      </c>
      <c r="F3" s="36" t="s">
        <v>13</v>
      </c>
      <c r="G3" s="24" t="s">
        <v>8</v>
      </c>
      <c r="H3" s="25" t="s">
        <v>10</v>
      </c>
      <c r="I3" s="26" t="s">
        <v>17</v>
      </c>
      <c r="J3" s="29" t="s">
        <v>13</v>
      </c>
      <c r="K3" s="24" t="s">
        <v>8</v>
      </c>
      <c r="L3" s="25" t="s">
        <v>10</v>
      </c>
      <c r="M3" s="26" t="s">
        <v>17</v>
      </c>
      <c r="N3" s="29" t="s">
        <v>13</v>
      </c>
      <c r="O3" s="24" t="s">
        <v>8</v>
      </c>
      <c r="P3" s="25" t="s">
        <v>10</v>
      </c>
      <c r="Q3" s="26" t="s">
        <v>17</v>
      </c>
      <c r="R3" s="29" t="s">
        <v>13</v>
      </c>
      <c r="S3" s="24" t="s">
        <v>8</v>
      </c>
      <c r="T3" s="25" t="s">
        <v>10</v>
      </c>
      <c r="U3" s="26" t="s">
        <v>17</v>
      </c>
      <c r="V3" s="29" t="s">
        <v>13</v>
      </c>
    </row>
    <row r="4" spans="1:22" x14ac:dyDescent="0.25">
      <c r="A4" s="34">
        <v>17.5</v>
      </c>
      <c r="B4" s="12">
        <f>A4-2.5</f>
        <v>15</v>
      </c>
      <c r="C4" s="8">
        <f>1-GEVCUM(KVD!$D$78,KVD!$E$78,KVD!$F$78,$A4)</f>
        <v>0.99270296287148918</v>
      </c>
      <c r="D4" s="3">
        <f t="shared" ref="D4:D20" si="0">-LN(1-C4)</f>
        <v>4.9202868860231899</v>
      </c>
      <c r="E4" s="3">
        <f t="shared" ref="E4:E20" si="1">1/D4</f>
        <v>0.2032401815513338</v>
      </c>
      <c r="F4" s="31">
        <f>KLASSEFREQUENTIEUITHERHALINGSTIJD(F$2,E3,E4,E5)</f>
        <v>360.32971311397682</v>
      </c>
      <c r="G4" s="8">
        <f>1-GEVCUM(KVD!$D$79,KVD!$E$79,KVD!$F$79,$A4)</f>
        <v>0.99997813113593947</v>
      </c>
      <c r="H4" s="2">
        <f t="shared" ref="H4:H22" si="2">-LN(1-G4)</f>
        <v>10.730446665158354</v>
      </c>
      <c r="I4" s="2">
        <f t="shared" ref="I4:I22" si="3">1/H4</f>
        <v>9.3192765520841672E-2</v>
      </c>
      <c r="J4" s="12">
        <f>KLASSEFREQUENTIEUITHERHALINGSTIJD(J$2,I3,I4,I5)</f>
        <v>171.89455333484165</v>
      </c>
      <c r="K4" s="35"/>
      <c r="L4" s="2"/>
      <c r="M4" s="2"/>
      <c r="N4" s="12"/>
      <c r="O4" s="35"/>
      <c r="P4" s="2"/>
      <c r="Q4" s="2"/>
      <c r="R4" s="12"/>
      <c r="S4" s="35"/>
      <c r="T4" s="2"/>
      <c r="U4" s="37"/>
      <c r="V4" s="31"/>
    </row>
    <row r="5" spans="1:22" x14ac:dyDescent="0.25">
      <c r="A5" s="23">
        <f t="shared" ref="A5:A40" si="4">A4+5</f>
        <v>22.5</v>
      </c>
      <c r="B5" s="13">
        <f t="shared" ref="B5:B40" si="5">A5-2.5</f>
        <v>20</v>
      </c>
      <c r="C5" s="8">
        <f>1-GEVCUM(KVD!$D$78,KVD!$E$78,KVD!$F$78,$A5)</f>
        <v>0.87211936367893017</v>
      </c>
      <c r="D5" s="3">
        <f t="shared" si="0"/>
        <v>2.0566579788795902</v>
      </c>
      <c r="E5" s="3">
        <f t="shared" si="1"/>
        <v>0.48622571680332188</v>
      </c>
      <c r="F5" s="32">
        <f t="shared" ref="F5:F20" si="6">KLASSEFREQUENTIEUITHERHALINGSTIJD(F$2,E4,E5,E6)</f>
        <v>2.8636289071435996</v>
      </c>
      <c r="G5" s="8">
        <f>1-GEVCUM(KVD!$D$79,KVD!$E$79,KVD!$F$79,$A5)</f>
        <v>0.99590414643582847</v>
      </c>
      <c r="H5" s="3">
        <f t="shared" si="2"/>
        <v>5.4977801428186961</v>
      </c>
      <c r="I5" s="3">
        <f t="shared" si="3"/>
        <v>0.18189159515704148</v>
      </c>
      <c r="J5" s="13">
        <f t="shared" ref="J5:J22" si="7">KLASSEFREQUENTIEUITHERHALINGSTIJD(J$2,I4,I5,I6)</f>
        <v>5.2326665223396578</v>
      </c>
      <c r="K5" s="8">
        <f>1-GEVCUM(KVD!$D$80,KVD!$E$80,KVD!$F$80,$A5)</f>
        <v>0.99998579542587007</v>
      </c>
      <c r="L5" s="3">
        <f t="shared" ref="L5:L25" si="8">-LN(1-K5)</f>
        <v>11.161946523401244</v>
      </c>
      <c r="M5" s="3">
        <f t="shared" ref="M5:M25" si="9">1/L5</f>
        <v>8.9590108490797724E-2</v>
      </c>
      <c r="N5" s="13">
        <f>KLASSEFREQUENTIEUITHERHALINGSTIJD(N$2,M4,M5,M6)</f>
        <v>80.150553476598759</v>
      </c>
      <c r="O5" s="8"/>
      <c r="P5" s="3"/>
      <c r="Q5" s="3"/>
      <c r="R5" s="13"/>
      <c r="S5" s="8"/>
      <c r="T5" s="3"/>
      <c r="U5" s="9"/>
      <c r="V5" s="32"/>
    </row>
    <row r="6" spans="1:22" x14ac:dyDescent="0.25">
      <c r="A6" s="23">
        <f t="shared" si="4"/>
        <v>27.5</v>
      </c>
      <c r="B6" s="13">
        <f t="shared" si="5"/>
        <v>25</v>
      </c>
      <c r="C6" s="8">
        <f>1-GEVCUM(KVD!$D$78,KVD!$E$78,KVD!$F$78,$A6)</f>
        <v>0.59577036782334925</v>
      </c>
      <c r="D6" s="3">
        <f t="shared" si="0"/>
        <v>0.9057721660202207</v>
      </c>
      <c r="E6" s="3">
        <f t="shared" si="1"/>
        <v>1.1040303925365662</v>
      </c>
      <c r="F6" s="32">
        <f t="shared" si="6"/>
        <v>1.1508858128593698</v>
      </c>
      <c r="G6" s="8">
        <f>1-GEVCUM(KVD!$D$79,KVD!$E$79,KVD!$F$79,$A6)</f>
        <v>0.9441808645922235</v>
      </c>
      <c r="H6" s="3">
        <f t="shared" si="2"/>
        <v>2.8856385399266191</v>
      </c>
      <c r="I6" s="3">
        <f t="shared" si="3"/>
        <v>0.34654374973292035</v>
      </c>
      <c r="J6" s="13">
        <f t="shared" si="7"/>
        <v>2.612141602892077</v>
      </c>
      <c r="K6" s="8">
        <f>1-GEVCUM(KVD!$D$80,KVD!$E$80,KVD!$F$80,$A6)</f>
        <v>0.99914667350028097</v>
      </c>
      <c r="L6" s="3">
        <f t="shared" si="8"/>
        <v>7.0663683173326008</v>
      </c>
      <c r="M6" s="3">
        <f t="shared" si="9"/>
        <v>0.14151540863602735</v>
      </c>
      <c r="N6" s="13">
        <f t="shared" ref="N6:N25" si="10">KLASSEFREQUENTIEUITHERHALINGSTIJD(N$2,M5,M6,M7)</f>
        <v>4.0955782060686436</v>
      </c>
      <c r="O6" s="8">
        <f>1-GEVCUM(KVD!$D$81,KVD!$E$81,KVD!$F$81,$A6)</f>
        <v>0.99999107588416525</v>
      </c>
      <c r="P6" s="3">
        <f t="shared" ref="P6:P32" si="11">-LN(1-O6)</f>
        <v>11.62675330134018</v>
      </c>
      <c r="Q6" s="3">
        <f t="shared" ref="Q6:Q32" si="12">1/P6</f>
        <v>8.6008533429941539E-2</v>
      </c>
      <c r="R6" s="13">
        <f>KLASSEFREQUENTIEUITHERHALINGSTIJD(R$2,Q5,Q6,Q7)</f>
        <v>34.02949669865982</v>
      </c>
      <c r="S6" s="8">
        <f>1-GEVCUM(KVD!$D$82,KVD!$E$82,KVD!$F$82,$A6)</f>
        <v>0.99999421532772359</v>
      </c>
      <c r="T6" s="3">
        <f t="shared" ref="T6:T33" si="13">-LN(1-S6)</f>
        <v>12.060298849500715</v>
      </c>
      <c r="U6" s="9">
        <f t="shared" ref="U6:U33" si="14">1/T6</f>
        <v>8.2916684941136354E-2</v>
      </c>
      <c r="V6" s="32">
        <f>KLASSEFREQUENTIEUITHERHALINGSTIJD(V$2,U5,U6,U7)</f>
        <v>28.523034483832614</v>
      </c>
    </row>
    <row r="7" spans="1:22" x14ac:dyDescent="0.25">
      <c r="A7" s="23">
        <f t="shared" si="4"/>
        <v>32.5</v>
      </c>
      <c r="B7" s="13">
        <f t="shared" si="5"/>
        <v>30</v>
      </c>
      <c r="C7" s="8">
        <f>1-GEVCUM(KVD!$D$78,KVD!$E$78,KVD!$F$78,$A7)</f>
        <v>0.34152420067492961</v>
      </c>
      <c r="D7" s="3">
        <f t="shared" si="0"/>
        <v>0.41782750968891919</v>
      </c>
      <c r="E7" s="3">
        <f t="shared" si="1"/>
        <v>2.3933321210576097</v>
      </c>
      <c r="F7" s="32">
        <f t="shared" si="6"/>
        <v>0.48794465633130141</v>
      </c>
      <c r="G7" s="8">
        <f>1-GEVCUM(KVD!$D$79,KVD!$E$79,KVD!$F$79,$A7)</f>
        <v>0.78753915800252827</v>
      </c>
      <c r="H7" s="3">
        <f t="shared" si="2"/>
        <v>1.5489975805510865</v>
      </c>
      <c r="I7" s="3">
        <f t="shared" si="3"/>
        <v>0.64557880048090854</v>
      </c>
      <c r="J7" s="13">
        <f t="shared" si="7"/>
        <v>1.3366409593755324</v>
      </c>
      <c r="K7" s="8">
        <f>1-GEVCUM(KVD!$D$80,KVD!$E$80,KVD!$F$80,$A7)</f>
        <v>0.98882374903597181</v>
      </c>
      <c r="L7" s="3">
        <f t="shared" si="8"/>
        <v>4.493964201657894</v>
      </c>
      <c r="M7" s="3">
        <f t="shared" si="9"/>
        <v>0.22252068666481239</v>
      </c>
      <c r="N7" s="13">
        <f t="shared" si="10"/>
        <v>2.5724041156747068</v>
      </c>
      <c r="O7" s="8">
        <f>1-GEVCUM(KVD!$D$81,KVD!$E$81,KVD!$F$81,$A7)</f>
        <v>0.99984727052393785</v>
      </c>
      <c r="P7" s="3">
        <f t="shared" si="11"/>
        <v>8.7868423318719771</v>
      </c>
      <c r="Q7" s="3">
        <f t="shared" si="12"/>
        <v>0.11380652596584794</v>
      </c>
      <c r="R7" s="13">
        <f t="shared" ref="R7:R32" si="15">KLASSEFREQUENTIEUITHERHALINGSTIJD(R$2,Q6,Q7,Q8)</f>
        <v>2.8399109694682032</v>
      </c>
      <c r="S7" s="8">
        <f>1-GEVCUM(KVD!$D$82,KVD!$E$82,KVD!$F$82,$A7)</f>
        <v>0.99991433334496405</v>
      </c>
      <c r="T7" s="3">
        <f t="shared" si="13"/>
        <v>9.3650468975042447</v>
      </c>
      <c r="U7" s="9">
        <f t="shared" si="14"/>
        <v>0.10678003121014769</v>
      </c>
      <c r="V7" s="32">
        <f t="shared" ref="V7:V33" si="16">KLASSEFREQUENTIEUITHERHALINGSTIJD(V$2,U6,U7,U8)</f>
        <v>2.6952519519964699</v>
      </c>
    </row>
    <row r="8" spans="1:22" x14ac:dyDescent="0.25">
      <c r="A8" s="23">
        <f t="shared" si="4"/>
        <v>37.5</v>
      </c>
      <c r="B8" s="13">
        <f t="shared" si="5"/>
        <v>35</v>
      </c>
      <c r="C8" s="8">
        <f>1-GEVCUM(KVD!$D$78,KVD!$E$78,KVD!$F$78,$A8)</f>
        <v>0.18199207551893903</v>
      </c>
      <c r="D8" s="3">
        <f t="shared" si="0"/>
        <v>0.20088325479665589</v>
      </c>
      <c r="E8" s="3">
        <f t="shared" si="1"/>
        <v>4.9780157186931788</v>
      </c>
      <c r="F8" s="32">
        <f t="shared" si="6"/>
        <v>0.21694425489226329</v>
      </c>
      <c r="G8" s="8">
        <f>1-GEVCUM(KVD!$D$79,KVD!$E$79,KVD!$F$79,$A8)</f>
        <v>0.57219858168126192</v>
      </c>
      <c r="H8" s="3">
        <f t="shared" si="2"/>
        <v>0.84909616696125823</v>
      </c>
      <c r="I8" s="3">
        <f t="shared" si="3"/>
        <v>1.1777228998439551</v>
      </c>
      <c r="J8" s="13">
        <f t="shared" si="7"/>
        <v>0.6999014135898286</v>
      </c>
      <c r="K8" s="8">
        <f>1-GEVCUM(KVD!$D$80,KVD!$E$80,KVD!$F$80,$A8)</f>
        <v>0.94334567687893356</v>
      </c>
      <c r="L8" s="3">
        <f t="shared" si="8"/>
        <v>2.8707869816030898</v>
      </c>
      <c r="M8" s="3">
        <f t="shared" si="9"/>
        <v>0.3483365385200351</v>
      </c>
      <c r="N8" s="13">
        <f t="shared" si="10"/>
        <v>1.6231772200548042</v>
      </c>
      <c r="O8" s="8">
        <f>1-GEVCUM(KVD!$D$81,KVD!$E$81,KVD!$F$81,$A8)</f>
        <v>0.99866172232419925</v>
      </c>
      <c r="P8" s="3">
        <f t="shared" si="11"/>
        <v>6.6163718083137422</v>
      </c>
      <c r="Q8" s="3">
        <f t="shared" si="12"/>
        <v>0.15114023651806555</v>
      </c>
      <c r="R8" s="13">
        <f t="shared" si="15"/>
        <v>2.1704705235582349</v>
      </c>
      <c r="S8" s="8">
        <f>1-GEVCUM(KVD!$D$82,KVD!$E$82,KVD!$F$82,$A8)</f>
        <v>0.9992844141231747</v>
      </c>
      <c r="T8" s="3">
        <f t="shared" si="13"/>
        <v>7.2424089426545741</v>
      </c>
      <c r="U8" s="9">
        <f t="shared" si="14"/>
        <v>0.13807560549507827</v>
      </c>
      <c r="V8" s="32">
        <f t="shared" si="16"/>
        <v>2.1226379548496705</v>
      </c>
    </row>
    <row r="9" spans="1:22" x14ac:dyDescent="0.25">
      <c r="A9" s="23">
        <f t="shared" si="4"/>
        <v>42.5</v>
      </c>
      <c r="B9" s="13">
        <f t="shared" si="5"/>
        <v>40</v>
      </c>
      <c r="C9" s="8">
        <f>1-GEVCUM(KVD!$D$78,KVD!$E$78,KVD!$F$78,$A9)</f>
        <v>9.5378350052070959E-2</v>
      </c>
      <c r="D9" s="3">
        <f t="shared" si="0"/>
        <v>0.10023848905219351</v>
      </c>
      <c r="E9" s="3">
        <f t="shared" si="1"/>
        <v>9.9762078364859104</v>
      </c>
      <c r="F9" s="32">
        <f t="shared" si="6"/>
        <v>0.10064476574446238</v>
      </c>
      <c r="G9" s="8">
        <f>1-GEVCUM(KVD!$D$79,KVD!$E$79,KVD!$F$79,$A9)</f>
        <v>0.37789327221734048</v>
      </c>
      <c r="H9" s="3">
        <f t="shared" si="2"/>
        <v>0.47464361288749229</v>
      </c>
      <c r="I9" s="3">
        <f t="shared" si="3"/>
        <v>2.1068438989761273</v>
      </c>
      <c r="J9" s="13">
        <f t="shared" si="7"/>
        <v>0.37445255407376576</v>
      </c>
      <c r="K9" s="8">
        <f>1-GEVCUM(KVD!$D$80,KVD!$E$80,KVD!$F$80,$A9)</f>
        <v>0.84148838250211777</v>
      </c>
      <c r="L9" s="3">
        <f t="shared" si="8"/>
        <v>1.8419273918342531</v>
      </c>
      <c r="M9" s="3">
        <f t="shared" si="9"/>
        <v>0.54290956550907599</v>
      </c>
      <c r="N9" s="13">
        <f t="shared" si="10"/>
        <v>1.0288595897688364</v>
      </c>
      <c r="O9" s="8">
        <f>1-GEVCUM(KVD!$D$81,KVD!$E$81,KVD!$F$81,$A9)</f>
        <v>0.99301074848659676</v>
      </c>
      <c r="P9" s="3">
        <f t="shared" si="11"/>
        <v>4.9633818080974272</v>
      </c>
      <c r="Q9" s="3">
        <f t="shared" si="12"/>
        <v>0.20147553395319429</v>
      </c>
      <c r="R9" s="13">
        <f t="shared" si="15"/>
        <v>1.6529900002163149</v>
      </c>
      <c r="S9" s="8">
        <f>1-GEVCUM(KVD!$D$82,KVD!$E$82,KVD!$F$82,$A9)</f>
        <v>0.99621698054503427</v>
      </c>
      <c r="T9" s="3">
        <f t="shared" si="13"/>
        <v>5.5772327906096733</v>
      </c>
      <c r="U9" s="9">
        <f t="shared" si="14"/>
        <v>0.17930038740424986</v>
      </c>
      <c r="V9" s="32">
        <f t="shared" si="16"/>
        <v>1.6651761520449009</v>
      </c>
    </row>
    <row r="10" spans="1:22" x14ac:dyDescent="0.25">
      <c r="A10" s="23">
        <f t="shared" si="4"/>
        <v>47.5</v>
      </c>
      <c r="B10" s="13">
        <f t="shared" si="5"/>
        <v>45</v>
      </c>
      <c r="C10" s="8">
        <f>1-GEVCUM(KVD!$D$78,KVD!$E$78,KVD!$F$78,$A10)</f>
        <v>5.0411028328362084E-2</v>
      </c>
      <c r="D10" s="3">
        <f t="shared" si="0"/>
        <v>5.1726049410775431E-2</v>
      </c>
      <c r="E10" s="3">
        <f t="shared" si="1"/>
        <v>19.332618891085904</v>
      </c>
      <c r="F10" s="32">
        <f t="shared" si="6"/>
        <v>4.8512439641418083E-2</v>
      </c>
      <c r="G10" s="8">
        <f>1-GEVCUM(KVD!$D$79,KVD!$E$79,KVD!$F$79,$A10)</f>
        <v>0.23680216552546307</v>
      </c>
      <c r="H10" s="3">
        <f t="shared" si="2"/>
        <v>0.27023799628062756</v>
      </c>
      <c r="I10" s="3">
        <f t="shared" si="3"/>
        <v>3.700441883685202</v>
      </c>
      <c r="J10" s="13">
        <f t="shared" si="7"/>
        <v>0.20440561660686479</v>
      </c>
      <c r="K10" s="8">
        <f>1-GEVCUM(KVD!$D$80,KVD!$E$80,KVD!$F$80,$A10)</f>
        <v>0.69482863967415298</v>
      </c>
      <c r="L10" s="3">
        <f t="shared" si="8"/>
        <v>1.1868818230121916</v>
      </c>
      <c r="M10" s="3">
        <f t="shared" si="9"/>
        <v>0.84254386629841249</v>
      </c>
      <c r="N10" s="13">
        <f t="shared" si="10"/>
        <v>0.65504556882206177</v>
      </c>
      <c r="O10" s="8">
        <f>1-GEVCUM(KVD!$D$81,KVD!$E$81,KVD!$F$81,$A10)</f>
        <v>0.97549917535147324</v>
      </c>
      <c r="P10" s="3">
        <f t="shared" si="11"/>
        <v>3.7090485028743698</v>
      </c>
      <c r="Q10" s="3">
        <f t="shared" si="12"/>
        <v>0.26961092561206423</v>
      </c>
      <c r="R10" s="13">
        <f t="shared" si="15"/>
        <v>1.254333305223057</v>
      </c>
      <c r="S10" s="8">
        <f>1-GEVCUM(KVD!$D$82,KVD!$E$82,KVD!$F$82,$A10)</f>
        <v>0.9861043120010512</v>
      </c>
      <c r="T10" s="3">
        <f t="shared" si="13"/>
        <v>4.2761767028753619</v>
      </c>
      <c r="U10" s="9">
        <f t="shared" si="14"/>
        <v>0.23385375990837465</v>
      </c>
      <c r="V10" s="32">
        <f t="shared" si="16"/>
        <v>1.3010560877343114</v>
      </c>
    </row>
    <row r="11" spans="1:22" x14ac:dyDescent="0.25">
      <c r="A11" s="23">
        <f t="shared" si="4"/>
        <v>52.5</v>
      </c>
      <c r="B11" s="13">
        <f t="shared" si="5"/>
        <v>50</v>
      </c>
      <c r="C11" s="8">
        <f>1-GEVCUM(KVD!$D$78,KVD!$E$78,KVD!$F$78,$A11)</f>
        <v>2.714325827730546E-2</v>
      </c>
      <c r="D11" s="3">
        <f t="shared" si="0"/>
        <v>2.7518441220135643E-2</v>
      </c>
      <c r="E11" s="3">
        <f t="shared" si="1"/>
        <v>36.339267620590569</v>
      </c>
      <c r="F11" s="32">
        <f t="shared" si="6"/>
        <v>2.4207608190639787E-2</v>
      </c>
      <c r="G11" s="8">
        <f>1-GEVCUM(KVD!$D$79,KVD!$E$79,KVD!$F$79,$A11)</f>
        <v>0.1448966742994845</v>
      </c>
      <c r="H11" s="3">
        <f t="shared" si="2"/>
        <v>0.15653296857446874</v>
      </c>
      <c r="I11" s="3">
        <f t="shared" si="3"/>
        <v>6.3884305594336288</v>
      </c>
      <c r="J11" s="13">
        <f t="shared" si="7"/>
        <v>0.11370502770615881</v>
      </c>
      <c r="K11" s="8">
        <f>1-GEVCUM(KVD!$D$80,KVD!$E$80,KVD!$F$80,$A11)</f>
        <v>0.5360673428073045</v>
      </c>
      <c r="L11" s="3">
        <f t="shared" si="8"/>
        <v>0.76801587264960747</v>
      </c>
      <c r="M11" s="3">
        <f t="shared" si="9"/>
        <v>1.3020564230659213</v>
      </c>
      <c r="N11" s="13">
        <f t="shared" si="10"/>
        <v>0.41886595036258412</v>
      </c>
      <c r="O11" s="8">
        <f>1-GEVCUM(KVD!$D$81,KVD!$E$81,KVD!$F$81,$A11)</f>
        <v>0.93675643004764408</v>
      </c>
      <c r="P11" s="3">
        <f t="shared" si="11"/>
        <v>2.7607618173746378</v>
      </c>
      <c r="Q11" s="3">
        <f t="shared" si="12"/>
        <v>0.3622188606443984</v>
      </c>
      <c r="R11" s="13">
        <f t="shared" si="15"/>
        <v>0.9482866854997325</v>
      </c>
      <c r="S11" s="8">
        <f>1-GEVCUM(KVD!$D$82,KVD!$E$82,KVD!$F$82,$A11)</f>
        <v>0.96175877585551084</v>
      </c>
      <c r="T11" s="3">
        <f t="shared" si="13"/>
        <v>3.2638411791646313</v>
      </c>
      <c r="U11" s="9">
        <f t="shared" si="14"/>
        <v>0.30638745732595557</v>
      </c>
      <c r="V11" s="32">
        <f t="shared" si="16"/>
        <v>1.0123355237107305</v>
      </c>
    </row>
    <row r="12" spans="1:22" x14ac:dyDescent="0.25">
      <c r="A12" s="23">
        <f t="shared" si="4"/>
        <v>57.5</v>
      </c>
      <c r="B12" s="13">
        <f t="shared" si="5"/>
        <v>55</v>
      </c>
      <c r="C12" s="8">
        <f>1-GEVCUM(KVD!$D$78,KVD!$E$78,KVD!$F$78,$A12)</f>
        <v>1.4939874393122055E-2</v>
      </c>
      <c r="D12" s="3">
        <f t="shared" si="0"/>
        <v>1.5052598447731153E-2</v>
      </c>
      <c r="E12" s="3">
        <f t="shared" si="1"/>
        <v>66.433712655819093</v>
      </c>
      <c r="F12" s="32">
        <f t="shared" si="6"/>
        <v>1.2465842772404489E-2</v>
      </c>
      <c r="G12" s="8">
        <f>1-GEVCUM(KVD!$D$79,KVD!$E$79,KVD!$F$79,$A12)</f>
        <v>8.8032923444666844E-2</v>
      </c>
      <c r="H12" s="3">
        <f t="shared" si="2"/>
        <v>9.215138982771108E-2</v>
      </c>
      <c r="I12" s="3">
        <f t="shared" si="3"/>
        <v>10.851708279925338</v>
      </c>
      <c r="J12" s="13">
        <f t="shared" si="7"/>
        <v>6.4381578746757664E-2</v>
      </c>
      <c r="K12" s="8">
        <f>1-GEVCUM(KVD!$D$80,KVD!$E$80,KVD!$F$80,$A12)</f>
        <v>0.39288025213146871</v>
      </c>
      <c r="L12" s="3">
        <f t="shared" si="8"/>
        <v>0.49902922917756065</v>
      </c>
      <c r="M12" s="3">
        <f t="shared" si="9"/>
        <v>2.0038906371237584</v>
      </c>
      <c r="N12" s="13">
        <f t="shared" si="10"/>
        <v>0.26898664347204682</v>
      </c>
      <c r="O12" s="8">
        <f>1-GEVCUM(KVD!$D$81,KVD!$E$81,KVD!$F$81,$A12)</f>
        <v>0.87082462719947173</v>
      </c>
      <c r="P12" s="3">
        <f t="shared" si="11"/>
        <v>2.0465843188016093</v>
      </c>
      <c r="Q12" s="3">
        <f t="shared" si="12"/>
        <v>0.48861900817531745</v>
      </c>
      <c r="R12" s="13">
        <f t="shared" si="15"/>
        <v>0.71417749857302848</v>
      </c>
      <c r="S12" s="8">
        <f>1-GEVCUM(KVD!$D$82,KVD!$E$82,KVD!$F$82,$A12)</f>
        <v>0.916218138257342</v>
      </c>
      <c r="T12" s="3">
        <f t="shared" si="13"/>
        <v>2.4795387419071169</v>
      </c>
      <c r="U12" s="9">
        <f t="shared" si="14"/>
        <v>0.40330081684098157</v>
      </c>
      <c r="V12" s="32">
        <f t="shared" si="16"/>
        <v>0.78430243725751447</v>
      </c>
    </row>
    <row r="13" spans="1:22" x14ac:dyDescent="0.25">
      <c r="A13" s="23">
        <f t="shared" si="4"/>
        <v>62.5</v>
      </c>
      <c r="B13" s="13">
        <f t="shared" si="5"/>
        <v>60</v>
      </c>
      <c r="C13" s="8">
        <f>1-GEVCUM(KVD!$D$78,KVD!$E$78,KVD!$F$78,$A13)</f>
        <v>8.4104767801939095E-3</v>
      </c>
      <c r="D13" s="3">
        <f t="shared" si="0"/>
        <v>8.4460444075686071E-3</v>
      </c>
      <c r="E13" s="3">
        <f t="shared" si="1"/>
        <v>118.39861972592607</v>
      </c>
      <c r="F13" s="32">
        <f t="shared" si="6"/>
        <v>6.6065540401625475E-3</v>
      </c>
      <c r="G13" s="8">
        <f>1-GEVCUM(KVD!$D$79,KVD!$E$79,KVD!$F$79,$A13)</f>
        <v>5.3594780353140581E-2</v>
      </c>
      <c r="H13" s="3">
        <f t="shared" si="2"/>
        <v>5.5084451068102037E-2</v>
      </c>
      <c r="I13" s="3">
        <f t="shared" si="3"/>
        <v>18.1539432745491</v>
      </c>
      <c r="J13" s="13">
        <f t="shared" si="7"/>
        <v>3.7066938759609043E-2</v>
      </c>
      <c r="K13" s="8">
        <f>1-GEVCUM(KVD!$D$80,KVD!$E$80,KVD!$F$80,$A13)</f>
        <v>0.27788261974033857</v>
      </c>
      <c r="L13" s="3">
        <f t="shared" si="8"/>
        <v>0.3255675767665166</v>
      </c>
      <c r="M13" s="3">
        <f t="shared" si="9"/>
        <v>3.0715589369550704</v>
      </c>
      <c r="N13" s="13">
        <f t="shared" si="10"/>
        <v>0.17346165241104405</v>
      </c>
      <c r="O13" s="8">
        <f>1-GEVCUM(KVD!$D$81,KVD!$E$81,KVD!$F$81,$A13)</f>
        <v>0.77927308119368999</v>
      </c>
      <c r="P13" s="3">
        <f t="shared" si="11"/>
        <v>1.5108290030334544</v>
      </c>
      <c r="Q13" s="3">
        <f t="shared" si="12"/>
        <v>0.6618882732540825</v>
      </c>
      <c r="R13" s="13">
        <f t="shared" si="15"/>
        <v>0.53575531576815516</v>
      </c>
      <c r="S13" s="8">
        <f>1-GEVCUM(KVD!$D$82,KVD!$E$82,KVD!$F$82,$A13)</f>
        <v>0.8465843951010279</v>
      </c>
      <c r="T13" s="3">
        <f t="shared" si="13"/>
        <v>1.8746046683716193</v>
      </c>
      <c r="U13" s="9">
        <f t="shared" si="14"/>
        <v>0.53344580693307075</v>
      </c>
      <c r="V13" s="32">
        <f t="shared" si="16"/>
        <v>0.60493407353549755</v>
      </c>
    </row>
    <row r="14" spans="1:22" x14ac:dyDescent="0.25">
      <c r="A14" s="23">
        <f t="shared" si="4"/>
        <v>67.5</v>
      </c>
      <c r="B14" s="13">
        <f t="shared" si="5"/>
        <v>65</v>
      </c>
      <c r="C14" s="8">
        <f>1-GEVCUM(KVD!$D$78,KVD!$E$78,KVD!$F$78,$A14)</f>
        <v>4.8395096156886863E-3</v>
      </c>
      <c r="D14" s="3">
        <f t="shared" si="0"/>
        <v>4.8512579618309806E-3</v>
      </c>
      <c r="E14" s="3">
        <f t="shared" si="1"/>
        <v>206.13210179047582</v>
      </c>
      <c r="F14" s="32">
        <f t="shared" si="6"/>
        <v>3.5947864457376265E-3</v>
      </c>
      <c r="G14" s="8">
        <f>1-GEVCUM(KVD!$D$79,KVD!$E$79,KVD!$F$79,$A14)</f>
        <v>3.2853530409928555E-2</v>
      </c>
      <c r="H14" s="3">
        <f t="shared" si="2"/>
        <v>3.3405326963733176E-2</v>
      </c>
      <c r="I14" s="3">
        <f t="shared" si="3"/>
        <v>29.935345374276981</v>
      </c>
      <c r="J14" s="13">
        <f t="shared" si="7"/>
        <v>2.1679124104368862E-2</v>
      </c>
      <c r="K14" s="8">
        <f>1-GEVCUM(KVD!$D$80,KVD!$E$80,KVD!$F$80,$A14)</f>
        <v>0.19204345263220735</v>
      </c>
      <c r="L14" s="3">
        <f t="shared" si="8"/>
        <v>0.21324699991728832</v>
      </c>
      <c r="M14" s="3">
        <f t="shared" si="9"/>
        <v>4.6893977424670359</v>
      </c>
      <c r="N14" s="13">
        <f t="shared" si="10"/>
        <v>0.11232057684922828</v>
      </c>
      <c r="O14" s="8">
        <f>1-GEVCUM(KVD!$D$81,KVD!$E$81,KVD!$F$81,$A14)</f>
        <v>0.67061924450822841</v>
      </c>
      <c r="P14" s="3">
        <f t="shared" si="11"/>
        <v>1.1105408858603654</v>
      </c>
      <c r="Q14" s="3">
        <f t="shared" si="12"/>
        <v>0.90046211961414957</v>
      </c>
      <c r="R14" s="13">
        <f t="shared" si="15"/>
        <v>0.40028811717308876</v>
      </c>
      <c r="S14" s="8">
        <f>1-GEVCUM(KVD!$D$82,KVD!$E$82,KVD!$F$82,$A14)</f>
        <v>0.75589702082098875</v>
      </c>
      <c r="T14" s="3">
        <f t="shared" si="13"/>
        <v>1.4101650969095998</v>
      </c>
      <c r="U14" s="9">
        <f t="shared" si="14"/>
        <v>0.70913682532032352</v>
      </c>
      <c r="V14" s="32">
        <f t="shared" si="16"/>
        <v>0.46443957146201953</v>
      </c>
    </row>
    <row r="15" spans="1:22" x14ac:dyDescent="0.25">
      <c r="A15" s="23">
        <f t="shared" si="4"/>
        <v>72.5</v>
      </c>
      <c r="B15" s="13">
        <f t="shared" si="5"/>
        <v>70</v>
      </c>
      <c r="C15" s="8">
        <f>1-GEVCUM(KVD!$D$78,KVD!$E$78,KVD!$F$78,$A15)</f>
        <v>2.8431892470037745E-3</v>
      </c>
      <c r="D15" s="3">
        <f t="shared" si="0"/>
        <v>2.8472387871115675E-3</v>
      </c>
      <c r="E15" s="3">
        <f t="shared" si="1"/>
        <v>351.21746884267054</v>
      </c>
      <c r="F15" s="32">
        <f t="shared" si="6"/>
        <v>2.0040191747194131E-3</v>
      </c>
      <c r="G15" s="8">
        <f>1-GEVCUM(KVD!$D$79,KVD!$E$79,KVD!$F$79,$A15)</f>
        <v>2.0326804240687446E-2</v>
      </c>
      <c r="H15" s="3">
        <f t="shared" si="2"/>
        <v>2.0536236647230307E-2</v>
      </c>
      <c r="I15" s="3">
        <f t="shared" si="3"/>
        <v>48.694413547034607</v>
      </c>
      <c r="J15" s="13">
        <f t="shared" si="7"/>
        <v>1.2869090316502869E-2</v>
      </c>
      <c r="K15" s="8">
        <f>1-GEVCUM(KVD!$D$80,KVD!$E$80,KVD!$F$80,$A15)</f>
        <v>0.13083567426362908</v>
      </c>
      <c r="L15" s="3">
        <f t="shared" si="8"/>
        <v>0.14022307408321741</v>
      </c>
      <c r="M15" s="3">
        <f t="shared" si="9"/>
        <v>7.1314939180875152</v>
      </c>
      <c r="N15" s="13">
        <f t="shared" si="10"/>
        <v>7.3023925834070913E-2</v>
      </c>
      <c r="O15" s="8">
        <f>1-GEVCUM(KVD!$D$81,KVD!$E$81,KVD!$F$81,$A15)</f>
        <v>0.55634432259591493</v>
      </c>
      <c r="P15" s="3">
        <f t="shared" si="11"/>
        <v>0.81270651874878208</v>
      </c>
      <c r="Q15" s="3">
        <f t="shared" si="12"/>
        <v>1.2304564771297384</v>
      </c>
      <c r="R15" s="13">
        <f t="shared" si="15"/>
        <v>0.2978343671115834</v>
      </c>
      <c r="S15" s="8">
        <f>1-GEVCUM(KVD!$D$82,KVD!$E$82,KVD!$F$82,$A15)</f>
        <v>0.65190878669420083</v>
      </c>
      <c r="T15" s="3">
        <f t="shared" si="13"/>
        <v>1.0552907263511815</v>
      </c>
      <c r="U15" s="9">
        <f t="shared" si="14"/>
        <v>0.9476061667457677</v>
      </c>
      <c r="V15" s="32">
        <f t="shared" si="16"/>
        <v>0.35487437055841831</v>
      </c>
    </row>
    <row r="16" spans="1:22" x14ac:dyDescent="0.25">
      <c r="A16" s="23">
        <f t="shared" si="4"/>
        <v>77.5</v>
      </c>
      <c r="B16" s="13">
        <f t="shared" si="5"/>
        <v>75</v>
      </c>
      <c r="C16" s="8">
        <f>1-GEVCUM(KVD!$D$78,KVD!$E$78,KVD!$F$78,$A16)</f>
        <v>1.7032956442000202E-3</v>
      </c>
      <c r="D16" s="3">
        <f t="shared" si="0"/>
        <v>1.7047479015424851E-3</v>
      </c>
      <c r="E16" s="3">
        <f t="shared" si="1"/>
        <v>586.59699718367904</v>
      </c>
      <c r="F16" s="32">
        <f t="shared" si="6"/>
        <v>1.1424908855690822E-3</v>
      </c>
      <c r="G16" s="8">
        <f>1-GEVCUM(KVD!$D$79,KVD!$E$79,KVD!$F$79,$A16)</f>
        <v>1.2707389586318008E-2</v>
      </c>
      <c r="H16" s="3">
        <f t="shared" si="2"/>
        <v>1.278881903400521E-2</v>
      </c>
      <c r="I16" s="3">
        <f t="shared" si="3"/>
        <v>78.193302864089347</v>
      </c>
      <c r="J16" s="13">
        <f t="shared" si="7"/>
        <v>7.7474176132250969E-3</v>
      </c>
      <c r="K16" s="8">
        <f>1-GEVCUM(KVD!$D$80,KVD!$E$80,KVD!$F$80,$A16)</f>
        <v>8.8404803817604627E-2</v>
      </c>
      <c r="L16" s="3">
        <f t="shared" si="8"/>
        <v>9.2559251279609511E-2</v>
      </c>
      <c r="M16" s="3">
        <f t="shared" si="9"/>
        <v>10.803890331600993</v>
      </c>
      <c r="N16" s="13">
        <f t="shared" si="10"/>
        <v>4.7663822803607897E-2</v>
      </c>
      <c r="O16" s="8">
        <f>1-GEVCUM(KVD!$D$81,KVD!$E$81,KVD!$F$81,$A16)</f>
        <v>0.44680682202999555</v>
      </c>
      <c r="P16" s="3">
        <f t="shared" si="11"/>
        <v>0.59204801120899653</v>
      </c>
      <c r="Q16" s="3">
        <f t="shared" si="12"/>
        <v>1.6890522070295308</v>
      </c>
      <c r="R16" s="13">
        <f t="shared" si="15"/>
        <v>0.22065850753978544</v>
      </c>
      <c r="S16" s="8">
        <f>1-GEVCUM(KVD!$D$82,KVD!$E$82,KVD!$F$82,$A16)</f>
        <v>0.54409673004602888</v>
      </c>
      <c r="T16" s="3">
        <f t="shared" si="13"/>
        <v>0.78547461926385065</v>
      </c>
      <c r="U16" s="9">
        <f t="shared" si="14"/>
        <v>1.2731156112175888</v>
      </c>
      <c r="V16" s="32">
        <f t="shared" si="16"/>
        <v>0.26981610708733084</v>
      </c>
    </row>
    <row r="17" spans="1:22" x14ac:dyDescent="0.25">
      <c r="A17" s="23">
        <f t="shared" si="4"/>
        <v>82.5</v>
      </c>
      <c r="B17" s="13">
        <f t="shared" si="5"/>
        <v>80</v>
      </c>
      <c r="C17" s="8">
        <f>1-GEVCUM(KVD!$D$78,KVD!$E$78,KVD!$F$78,$A17)</f>
        <v>1.0392299921936354E-3</v>
      </c>
      <c r="D17" s="3">
        <f t="shared" si="0"/>
        <v>1.0397703660962577E-3</v>
      </c>
      <c r="E17" s="3">
        <f t="shared" si="1"/>
        <v>961.75081787955492</v>
      </c>
      <c r="F17" s="32">
        <f t="shared" si="6"/>
        <v>6.6497753544622769E-4</v>
      </c>
      <c r="G17" s="8">
        <f>1-GEVCUM(KVD!$D$79,KVD!$E$79,KVD!$F$79,$A17)</f>
        <v>8.0298108777187016E-3</v>
      </c>
      <c r="H17" s="3">
        <f t="shared" si="2"/>
        <v>8.0622234368361457E-3</v>
      </c>
      <c r="I17" s="3">
        <f t="shared" si="3"/>
        <v>124.03526246010735</v>
      </c>
      <c r="J17" s="13">
        <f t="shared" si="7"/>
        <v>4.7265955971690643E-3</v>
      </c>
      <c r="K17" s="8">
        <f>1-GEVCUM(KVD!$D$80,KVD!$E$80,KVD!$F$80,$A17)</f>
        <v>5.9484641045001618E-2</v>
      </c>
      <c r="L17" s="3">
        <f t="shared" si="8"/>
        <v>6.1327299747071046E-2</v>
      </c>
      <c r="M17" s="3">
        <f t="shared" si="9"/>
        <v>16.305951902729248</v>
      </c>
      <c r="N17" s="13">
        <f t="shared" si="10"/>
        <v>3.1231951532538466E-2</v>
      </c>
      <c r="O17" s="8">
        <f>1-GEVCUM(KVD!$D$81,KVD!$E$81,KVD!$F$81,$A17)</f>
        <v>0.34902559027389624</v>
      </c>
      <c r="P17" s="3">
        <f t="shared" si="11"/>
        <v>0.42928494672268563</v>
      </c>
      <c r="Q17" s="3">
        <f t="shared" si="12"/>
        <v>2.3294550802080449</v>
      </c>
      <c r="R17" s="13">
        <f t="shared" si="15"/>
        <v>0.16276306448631089</v>
      </c>
      <c r="S17" s="8">
        <f>1-GEVCUM(KVD!$D$82,KVD!$E$82,KVD!$F$82,$A17)</f>
        <v>0.44087464380652319</v>
      </c>
      <c r="T17" s="3">
        <f t="shared" si="13"/>
        <v>0.58138158017414909</v>
      </c>
      <c r="U17" s="9">
        <f t="shared" si="14"/>
        <v>1.7200407341774682</v>
      </c>
      <c r="V17" s="32">
        <f t="shared" si="16"/>
        <v>0.20409303908970156</v>
      </c>
    </row>
    <row r="18" spans="1:22" x14ac:dyDescent="0.25">
      <c r="A18" s="23">
        <f t="shared" si="4"/>
        <v>87.5</v>
      </c>
      <c r="B18" s="13">
        <f t="shared" si="5"/>
        <v>85</v>
      </c>
      <c r="C18" s="8">
        <f>1-GEVCUM(KVD!$D$78,KVD!$E$78,KVD!$F$78,$A18)</f>
        <v>6.449934017711545E-4</v>
      </c>
      <c r="D18" s="3">
        <f t="shared" si="0"/>
        <v>6.4520149950123842E-4</v>
      </c>
      <c r="E18" s="3">
        <f t="shared" si="1"/>
        <v>1549.9034034685787</v>
      </c>
      <c r="F18" s="32">
        <f t="shared" si="6"/>
        <v>3.9456886659501925E-4</v>
      </c>
      <c r="G18" s="8">
        <f>1-GEVCUM(KVD!$D$79,KVD!$E$79,KVD!$F$79,$A18)</f>
        <v>5.1287342162615879E-3</v>
      </c>
      <c r="H18" s="3">
        <f t="shared" si="2"/>
        <v>5.1419313158745667E-3</v>
      </c>
      <c r="I18" s="3">
        <f t="shared" si="3"/>
        <v>194.4794550080284</v>
      </c>
      <c r="J18" s="13">
        <f t="shared" si="7"/>
        <v>2.920292120961579E-3</v>
      </c>
      <c r="K18" s="8">
        <f>1-GEVCUM(KVD!$D$80,KVD!$E$80,KVD!$F$80,$A18)</f>
        <v>3.9963738531097692E-2</v>
      </c>
      <c r="L18" s="3">
        <f t="shared" si="8"/>
        <v>4.0784222870172984E-2</v>
      </c>
      <c r="M18" s="3">
        <f t="shared" si="9"/>
        <v>24.519285390903871</v>
      </c>
      <c r="N18" s="13">
        <f t="shared" si="10"/>
        <v>2.0543076876898062E-2</v>
      </c>
      <c r="O18" s="8">
        <f>1-GEVCUM(KVD!$D$81,KVD!$E$81,KVD!$F$81,$A18)</f>
        <v>0.26638407677139975</v>
      </c>
      <c r="P18" s="3">
        <f t="shared" si="11"/>
        <v>0.30976965267484496</v>
      </c>
      <c r="Q18" s="3">
        <f t="shared" si="12"/>
        <v>3.2282051884845777</v>
      </c>
      <c r="R18" s="13">
        <f t="shared" si="15"/>
        <v>0.11951529404784067</v>
      </c>
      <c r="S18" s="8">
        <f>1-GEVCUM(KVD!$D$82,KVD!$E$82,KVD!$F$82,$A18)</f>
        <v>0.34807409220370855</v>
      </c>
      <c r="T18" s="3">
        <f t="shared" si="13"/>
        <v>0.42782436186205675</v>
      </c>
      <c r="U18" s="9">
        <f t="shared" si="14"/>
        <v>2.3374077989565953</v>
      </c>
      <c r="V18" s="32">
        <f t="shared" si="16"/>
        <v>0.15355721831209235</v>
      </c>
    </row>
    <row r="19" spans="1:22" x14ac:dyDescent="0.25">
      <c r="A19" s="23">
        <f t="shared" si="4"/>
        <v>92.5</v>
      </c>
      <c r="B19" s="13">
        <f t="shared" si="5"/>
        <v>90</v>
      </c>
      <c r="C19" s="8">
        <f>1-GEVCUM(KVD!$D$78,KVD!$E$78,KVD!$F$78,$A19)</f>
        <v>4.0676341629952706E-4</v>
      </c>
      <c r="D19" s="3">
        <f t="shared" si="0"/>
        <v>4.0684616697867366E-4</v>
      </c>
      <c r="E19" s="3">
        <f t="shared" si="1"/>
        <v>2457.9314767205824</v>
      </c>
      <c r="F19" s="32">
        <f t="shared" si="6"/>
        <v>2.3835533252256476E-4</v>
      </c>
      <c r="G19" s="8">
        <f>1-GEVCUM(KVD!$D$79,KVD!$E$79,KVD!$F$79,$A19)</f>
        <v>3.3103728989414272E-3</v>
      </c>
      <c r="H19" s="3">
        <f t="shared" si="2"/>
        <v>3.3158643057250477E-3</v>
      </c>
      <c r="I19" s="3">
        <f t="shared" si="3"/>
        <v>301.58049540007931</v>
      </c>
      <c r="J19" s="13">
        <f t="shared" si="7"/>
        <v>1.8260670101495186E-3</v>
      </c>
      <c r="K19" s="8">
        <f>1-GEVCUM(KVD!$D$80,KVD!$E$80,KVD!$F$80,$A19)</f>
        <v>2.6853985515648993E-2</v>
      </c>
      <c r="L19" s="3">
        <f t="shared" si="8"/>
        <v>2.722114178120684E-2</v>
      </c>
      <c r="M19" s="3">
        <f t="shared" si="9"/>
        <v>36.736151923296191</v>
      </c>
      <c r="N19" s="13">
        <f t="shared" si="10"/>
        <v>1.3563081088966145E-2</v>
      </c>
      <c r="O19" s="8">
        <f>1-GEVCUM(KVD!$D$81,KVD!$E$81,KVD!$F$81,$A19)</f>
        <v>0.1994204783638035</v>
      </c>
      <c r="P19" s="3">
        <f t="shared" si="11"/>
        <v>0.22241941152148251</v>
      </c>
      <c r="Q19" s="3">
        <f t="shared" si="12"/>
        <v>4.4960104568184889</v>
      </c>
      <c r="R19" s="13">
        <f t="shared" si="15"/>
        <v>8.7350241153362457E-2</v>
      </c>
      <c r="S19" s="8">
        <f>1-GEVCUM(KVD!$D$82,KVD!$E$82,KVD!$F$82,$A19)</f>
        <v>0.2686979431430071</v>
      </c>
      <c r="T19" s="3">
        <f t="shared" si="13"/>
        <v>0.31292869410561397</v>
      </c>
      <c r="U19" s="9">
        <f t="shared" si="14"/>
        <v>3.1956161861669941</v>
      </c>
      <c r="V19" s="32">
        <f t="shared" si="16"/>
        <v>0.11489566775644278</v>
      </c>
    </row>
    <row r="20" spans="1:22" x14ac:dyDescent="0.25">
      <c r="A20" s="23">
        <f t="shared" si="4"/>
        <v>97.5</v>
      </c>
      <c r="B20" s="13">
        <f t="shared" si="5"/>
        <v>95</v>
      </c>
      <c r="C20" s="8">
        <f>1-GEVCUM(KVD!$D$78,KVD!$E$78,KVD!$F$78,$A20)</f>
        <v>2.6039399369892635E-4</v>
      </c>
      <c r="D20" s="3">
        <f t="shared" si="0"/>
        <v>2.6042790210139421E-4</v>
      </c>
      <c r="E20" s="3">
        <f t="shared" si="1"/>
        <v>3839.8343339211901</v>
      </c>
      <c r="F20" s="32">
        <f t="shared" si="6"/>
        <v>4.0684616697867366E-4</v>
      </c>
      <c r="G20" s="8">
        <f>1-GEVCUM(KVD!$D$79,KVD!$E$79,KVD!$F$79,$A20)</f>
        <v>2.1585740081438987E-3</v>
      </c>
      <c r="H20" s="3">
        <f t="shared" si="2"/>
        <v>2.1609070870384885E-3</v>
      </c>
      <c r="I20" s="3">
        <f t="shared" si="3"/>
        <v>462.7686243421482</v>
      </c>
      <c r="J20" s="13">
        <f t="shared" si="7"/>
        <v>1.1549572186865596E-3</v>
      </c>
      <c r="K20" s="8">
        <f>1-GEVCUM(KVD!$D$80,KVD!$E$80,KVD!$F$80,$A20)</f>
        <v>1.806821176567841E-2</v>
      </c>
      <c r="L20" s="3">
        <f t="shared" si="8"/>
        <v>1.8233435123448959E-2</v>
      </c>
      <c r="M20" s="3">
        <f t="shared" si="9"/>
        <v>54.844300771057576</v>
      </c>
      <c r="N20" s="13">
        <f t="shared" si="10"/>
        <v>8.987706657757881E-3</v>
      </c>
      <c r="O20" s="8">
        <f>1-GEVCUM(KVD!$D$81,KVD!$E$81,KVD!$F$81,$A20)</f>
        <v>0.14690472495736839</v>
      </c>
      <c r="P20" s="3">
        <f t="shared" si="11"/>
        <v>0.15888404365669581</v>
      </c>
      <c r="Q20" s="3">
        <f t="shared" si="12"/>
        <v>6.2938982227864342</v>
      </c>
      <c r="R20" s="13">
        <f t="shared" si="15"/>
        <v>6.3535367864786696E-2</v>
      </c>
      <c r="S20" s="8">
        <f>1-GEVCUM(KVD!$D$82,KVD!$E$82,KVD!$F$82,$A20)</f>
        <v>0.20344169709743731</v>
      </c>
      <c r="T20" s="3">
        <f t="shared" si="13"/>
        <v>0.2274549534376667</v>
      </c>
      <c r="U20" s="9">
        <f t="shared" si="14"/>
        <v>4.3964749278324549</v>
      </c>
      <c r="V20" s="32">
        <f t="shared" si="16"/>
        <v>8.5473740667947301E-2</v>
      </c>
    </row>
    <row r="21" spans="1:22" x14ac:dyDescent="0.25">
      <c r="A21" s="23">
        <f t="shared" si="4"/>
        <v>102.5</v>
      </c>
      <c r="B21" s="13">
        <f t="shared" si="5"/>
        <v>100</v>
      </c>
      <c r="C21" s="8"/>
      <c r="D21" s="3"/>
      <c r="E21" s="3"/>
      <c r="F21" s="32"/>
      <c r="G21" s="8">
        <f>1-GEVCUM(KVD!$D$79,KVD!$E$79,KVD!$F$79,$A21)</f>
        <v>1.4214168657995518E-3</v>
      </c>
      <c r="H21" s="3">
        <f t="shared" si="2"/>
        <v>1.4224280370635867E-3</v>
      </c>
      <c r="I21" s="3">
        <f t="shared" si="3"/>
        <v>703.02326300061327</v>
      </c>
      <c r="J21" s="13">
        <f t="shared" si="7"/>
        <v>7.3847904997490182E-4</v>
      </c>
      <c r="K21" s="8">
        <f>1-GEVCUM(KVD!$D$80,KVD!$E$80,KVD!$F$80,$A21)</f>
        <v>1.2181280785414472E-2</v>
      </c>
      <c r="L21" s="3">
        <f t="shared" si="8"/>
        <v>1.2256080645586899E-2</v>
      </c>
      <c r="M21" s="3">
        <f t="shared" si="9"/>
        <v>81.59215241130731</v>
      </c>
      <c r="N21" s="13">
        <f t="shared" si="10"/>
        <v>5.9773544778620596E-3</v>
      </c>
      <c r="O21" s="8">
        <f>1-GEVCUM(KVD!$D$81,KVD!$E$81,KVD!$F$81,$A21)</f>
        <v>0.10675949439444254</v>
      </c>
      <c r="P21" s="3">
        <f t="shared" si="11"/>
        <v>0.11289941118010242</v>
      </c>
      <c r="Q21" s="3">
        <f t="shared" si="12"/>
        <v>8.8574421207986038</v>
      </c>
      <c r="R21" s="13">
        <f t="shared" si="15"/>
        <v>4.5984632476593387E-2</v>
      </c>
      <c r="S21" s="8">
        <f>1-GEVCUM(KVD!$D$82,KVD!$E$82,KVD!$F$82,$A21)</f>
        <v>0.1514695520039967</v>
      </c>
      <c r="T21" s="3">
        <f t="shared" si="13"/>
        <v>0.16424931045433708</v>
      </c>
      <c r="U21" s="9">
        <f t="shared" si="14"/>
        <v>6.0883056204854498</v>
      </c>
      <c r="V21" s="32">
        <f t="shared" si="16"/>
        <v>6.3205642983329591E-2</v>
      </c>
    </row>
    <row r="22" spans="1:22" x14ac:dyDescent="0.25">
      <c r="A22" s="23">
        <f t="shared" si="4"/>
        <v>107.5</v>
      </c>
      <c r="B22" s="13">
        <f t="shared" si="5"/>
        <v>105</v>
      </c>
      <c r="C22" s="8"/>
      <c r="D22" s="3"/>
      <c r="E22" s="3"/>
      <c r="F22" s="32"/>
      <c r="G22" s="8">
        <f>1-GEVCUM(KVD!$D$79,KVD!$E$79,KVD!$F$79,$A22)</f>
        <v>9.4487599186721116E-4</v>
      </c>
      <c r="H22" s="3">
        <f t="shared" si="2"/>
        <v>9.4532266857878138E-4</v>
      </c>
      <c r="I22" s="3">
        <f t="shared" si="3"/>
        <v>1057.8398606514131</v>
      </c>
      <c r="J22" s="13">
        <f t="shared" si="7"/>
        <v>1.4224280370635867E-3</v>
      </c>
      <c r="K22" s="8">
        <f>1-GEVCUM(KVD!$D$80,KVD!$E$80,KVD!$F$80,$A22)</f>
        <v>8.2325709581256845E-3</v>
      </c>
      <c r="L22" s="3">
        <f t="shared" si="8"/>
        <v>8.2666457145169139E-3</v>
      </c>
      <c r="M22" s="3">
        <f t="shared" si="9"/>
        <v>120.96804853314534</v>
      </c>
      <c r="N22" s="13">
        <f t="shared" si="10"/>
        <v>3.989434931069985E-3</v>
      </c>
      <c r="O22" s="8">
        <f>1-GEVCUM(KVD!$D$81,KVD!$E$81,KVD!$F$81,$A22)</f>
        <v>7.668724538254279E-2</v>
      </c>
      <c r="P22" s="3">
        <f t="shared" si="11"/>
        <v>7.978725613514713E-2</v>
      </c>
      <c r="Q22" s="3">
        <f t="shared" si="12"/>
        <v>12.533329862931449</v>
      </c>
      <c r="R22" s="13">
        <f t="shared" si="15"/>
        <v>3.3112155044955294E-2</v>
      </c>
      <c r="S22" s="8">
        <f>1-GEVCUM(KVD!$D$82,KVD!$E$82,KVD!$F$82,$A22)</f>
        <v>0.11112752566275053</v>
      </c>
      <c r="T22" s="3">
        <f t="shared" si="13"/>
        <v>0.11780150219748331</v>
      </c>
      <c r="U22" s="9">
        <f t="shared" si="14"/>
        <v>8.4888560956004842</v>
      </c>
      <c r="V22" s="32">
        <f t="shared" si="16"/>
        <v>4.6447808256853768E-2</v>
      </c>
    </row>
    <row r="23" spans="1:22" x14ac:dyDescent="0.25">
      <c r="A23" s="23">
        <f t="shared" si="4"/>
        <v>112.5</v>
      </c>
      <c r="B23" s="13">
        <f t="shared" si="5"/>
        <v>110</v>
      </c>
      <c r="C23" s="8"/>
      <c r="D23" s="3"/>
      <c r="E23" s="3"/>
      <c r="F23" s="32"/>
      <c r="G23" s="8"/>
      <c r="H23" s="3"/>
      <c r="I23" s="3"/>
      <c r="J23" s="13"/>
      <c r="K23" s="8">
        <f>1-GEVCUM(KVD!$D$80,KVD!$E$80,KVD!$F$80,$A23)</f>
        <v>5.5790681009182386E-3</v>
      </c>
      <c r="L23" s="3">
        <f t="shared" si="8"/>
        <v>5.5946892293415075E-3</v>
      </c>
      <c r="M23" s="3">
        <f t="shared" si="9"/>
        <v>178.74093788006516</v>
      </c>
      <c r="N23" s="13">
        <f t="shared" si="10"/>
        <v>2.6719564851754064E-3</v>
      </c>
      <c r="O23" s="8">
        <f>1-GEVCUM(KVD!$D$81,KVD!$E$81,KVD!$F$81,$A23)</f>
        <v>5.4526852031874351E-2</v>
      </c>
      <c r="P23" s="3">
        <f t="shared" si="11"/>
        <v>5.6069791109090793E-2</v>
      </c>
      <c r="Q23" s="3">
        <f t="shared" si="12"/>
        <v>17.834915740177717</v>
      </c>
      <c r="R23" s="13">
        <f t="shared" si="15"/>
        <v>2.3717465026056338E-2</v>
      </c>
      <c r="S23" s="8">
        <f>1-GEVCUM(KVD!$D$82,KVD!$E$82,KVD!$F$82,$A23)</f>
        <v>8.0467664999851585E-2</v>
      </c>
      <c r="T23" s="3">
        <f t="shared" si="13"/>
        <v>8.3890069704897929E-2</v>
      </c>
      <c r="U23" s="9">
        <f t="shared" si="14"/>
        <v>11.920362010875941</v>
      </c>
      <c r="V23" s="32">
        <f t="shared" si="16"/>
        <v>3.3911432492585381E-2</v>
      </c>
    </row>
    <row r="24" spans="1:22" x14ac:dyDescent="0.25">
      <c r="A24" s="23">
        <f t="shared" si="4"/>
        <v>117.5</v>
      </c>
      <c r="B24" s="13">
        <f t="shared" si="5"/>
        <v>115</v>
      </c>
      <c r="C24" s="8"/>
      <c r="D24" s="3"/>
      <c r="E24" s="3"/>
      <c r="F24" s="32"/>
      <c r="G24" s="8"/>
      <c r="H24" s="3"/>
      <c r="I24" s="3"/>
      <c r="J24" s="13"/>
      <c r="K24" s="8">
        <f>1-GEVCUM(KVD!$D$80,KVD!$E$80,KVD!$F$80,$A24)</f>
        <v>3.7917687406110456E-3</v>
      </c>
      <c r="L24" s="3">
        <f t="shared" si="8"/>
        <v>3.7989757196022003E-3</v>
      </c>
      <c r="M24" s="3">
        <f t="shared" si="9"/>
        <v>263.22884740750919</v>
      </c>
      <c r="N24" s="13">
        <f t="shared" si="10"/>
        <v>1.7957135097393072E-3</v>
      </c>
      <c r="O24" s="8">
        <f>1-GEVCUM(KVD!$D$81,KVD!$E$81,KVD!$F$81,$A24)</f>
        <v>3.8416557655691075E-2</v>
      </c>
      <c r="P24" s="3">
        <f t="shared" si="11"/>
        <v>3.917393420935187E-2</v>
      </c>
      <c r="Q24" s="3">
        <f t="shared" si="12"/>
        <v>25.527178216408839</v>
      </c>
      <c r="R24" s="13">
        <f t="shared" si="15"/>
        <v>1.6895856899738923E-2</v>
      </c>
      <c r="S24" s="8">
        <f>1-GEVCUM(KVD!$D$82,KVD!$E$82,KVD!$F$82,$A24)</f>
        <v>5.7575108829377553E-2</v>
      </c>
      <c r="T24" s="3">
        <f t="shared" si="13"/>
        <v>5.9299053901125477E-2</v>
      </c>
      <c r="U24" s="9">
        <f t="shared" si="14"/>
        <v>16.863675458758379</v>
      </c>
      <c r="V24" s="32">
        <f t="shared" si="16"/>
        <v>2.4591015803772452E-2</v>
      </c>
    </row>
    <row r="25" spans="1:22" x14ac:dyDescent="0.25">
      <c r="A25" s="23">
        <f t="shared" si="4"/>
        <v>122.5</v>
      </c>
      <c r="B25" s="13">
        <f t="shared" si="5"/>
        <v>120</v>
      </c>
      <c r="C25" s="8"/>
      <c r="D25" s="3"/>
      <c r="E25" s="3"/>
      <c r="F25" s="32"/>
      <c r="G25" s="8"/>
      <c r="H25" s="3"/>
      <c r="I25" s="3"/>
      <c r="J25" s="13"/>
      <c r="K25" s="8">
        <f>1-GEVCUM(KVD!$D$80,KVD!$E$80,KVD!$F$80,$A25)</f>
        <v>2.5847272375832953E-3</v>
      </c>
      <c r="L25" s="3">
        <f t="shared" si="8"/>
        <v>2.5880734122391666E-3</v>
      </c>
      <c r="M25" s="3">
        <f t="shared" si="9"/>
        <v>386.38780309358123</v>
      </c>
      <c r="N25" s="13">
        <f t="shared" si="10"/>
        <v>3.7989757196022003E-3</v>
      </c>
      <c r="O25" s="8">
        <f>1-GEVCUM(KVD!$D$81,KVD!$E$81,KVD!$F$81,$A25)</f>
        <v>2.6838568566735499E-2</v>
      </c>
      <c r="P25" s="3">
        <f t="shared" si="11"/>
        <v>2.7205299526740667E-2</v>
      </c>
      <c r="Q25" s="3">
        <f t="shared" si="12"/>
        <v>36.757544206307259</v>
      </c>
      <c r="R25" s="13">
        <f t="shared" si="15"/>
        <v>1.1968634682611203E-2</v>
      </c>
      <c r="S25" s="8">
        <f>1-GEVCUM(KVD!$D$82,KVD!$E$82,KVD!$F$82,$A25)</f>
        <v>4.0739713791082877E-2</v>
      </c>
      <c r="T25" s="3">
        <f t="shared" si="13"/>
        <v>4.1592826734129666E-2</v>
      </c>
      <c r="U25" s="9">
        <f t="shared" si="14"/>
        <v>24.04260730803934</v>
      </c>
      <c r="V25" s="32">
        <f t="shared" si="16"/>
        <v>1.7706227166995811E-2</v>
      </c>
    </row>
    <row r="26" spans="1:22" x14ac:dyDescent="0.25">
      <c r="A26" s="23">
        <f t="shared" si="4"/>
        <v>127.5</v>
      </c>
      <c r="B26" s="13">
        <f t="shared" si="5"/>
        <v>125</v>
      </c>
      <c r="C26" s="8"/>
      <c r="D26" s="3"/>
      <c r="E26" s="3"/>
      <c r="F26" s="32"/>
      <c r="G26" s="8"/>
      <c r="H26" s="3"/>
      <c r="I26" s="3"/>
      <c r="J26" s="13"/>
      <c r="K26" s="8"/>
      <c r="L26" s="3"/>
      <c r="M26" s="3"/>
      <c r="N26" s="13"/>
      <c r="O26" s="8">
        <f>1-GEVCUM(KVD!$D$81,KVD!$E$81,KVD!$F$81,$A26)</f>
        <v>1.8601071528603463E-2</v>
      </c>
      <c r="P26" s="3">
        <f t="shared" si="11"/>
        <v>1.877624716369742E-2</v>
      </c>
      <c r="Q26" s="3">
        <f t="shared" si="12"/>
        <v>53.258779099022043</v>
      </c>
      <c r="R26" s="13">
        <f t="shared" si="15"/>
        <v>8.4290523630432476E-3</v>
      </c>
      <c r="S26" s="8">
        <f>1-GEVCUM(KVD!$D$82,KVD!$E$82,KVD!$F$82,$A26)</f>
        <v>2.8523316576825275E-2</v>
      </c>
      <c r="T26" s="3">
        <f t="shared" si="13"/>
        <v>2.89380110464082E-2</v>
      </c>
      <c r="U26" s="9">
        <f t="shared" si="14"/>
        <v>34.556625139035617</v>
      </c>
      <c r="V26" s="32">
        <f t="shared" si="16"/>
        <v>1.2654815687721466E-2</v>
      </c>
    </row>
    <row r="27" spans="1:22" x14ac:dyDescent="0.25">
      <c r="A27" s="23">
        <f t="shared" si="4"/>
        <v>132.5</v>
      </c>
      <c r="B27" s="13">
        <f t="shared" si="5"/>
        <v>130</v>
      </c>
      <c r="C27" s="8"/>
      <c r="D27" s="3"/>
      <c r="E27" s="3"/>
      <c r="F27" s="32"/>
      <c r="G27" s="8"/>
      <c r="H27" s="3"/>
      <c r="I27" s="3"/>
      <c r="J27" s="13"/>
      <c r="K27" s="8"/>
      <c r="L27" s="3"/>
      <c r="M27" s="3"/>
      <c r="N27" s="13"/>
      <c r="O27" s="8">
        <f>1-GEVCUM(KVD!$D$81,KVD!$E$81,KVD!$F$81,$A27)</f>
        <v>1.2793116988832565E-2</v>
      </c>
      <c r="P27" s="3">
        <f t="shared" si="11"/>
        <v>1.2875653599274939E-2</v>
      </c>
      <c r="Q27" s="3">
        <f t="shared" si="12"/>
        <v>77.665960200755364</v>
      </c>
      <c r="R27" s="13">
        <f t="shared" si="15"/>
        <v>5.9005935644224801E-3</v>
      </c>
      <c r="S27" s="8">
        <f>1-GEVCUM(KVD!$D$82,KVD!$E$82,KVD!$F$82,$A27)</f>
        <v>1.9765418530966472E-2</v>
      </c>
      <c r="T27" s="3">
        <f t="shared" si="13"/>
        <v>1.9963367115718153E-2</v>
      </c>
      <c r="U27" s="9">
        <f t="shared" si="14"/>
        <v>50.091750264545816</v>
      </c>
      <c r="V27" s="32">
        <f t="shared" si="16"/>
        <v>8.9746439306900468E-3</v>
      </c>
    </row>
    <row r="28" spans="1:22" x14ac:dyDescent="0.25">
      <c r="A28" s="23">
        <f t="shared" si="4"/>
        <v>137.5</v>
      </c>
      <c r="B28" s="13">
        <f t="shared" si="5"/>
        <v>135</v>
      </c>
      <c r="C28" s="8"/>
      <c r="D28" s="3"/>
      <c r="E28" s="3"/>
      <c r="F28" s="32"/>
      <c r="G28" s="8"/>
      <c r="H28" s="3"/>
      <c r="I28" s="3"/>
      <c r="J28" s="13"/>
      <c r="K28" s="8"/>
      <c r="L28" s="3"/>
      <c r="M28" s="3"/>
      <c r="N28" s="13"/>
      <c r="O28" s="8">
        <f>1-GEVCUM(KVD!$D$81,KVD!$E$81,KVD!$F$81,$A28)</f>
        <v>8.732389834982035E-3</v>
      </c>
      <c r="P28" s="3">
        <f t="shared" si="11"/>
        <v>8.7707405767442608E-3</v>
      </c>
      <c r="Q28" s="3">
        <f t="shared" si="12"/>
        <v>114.01545756027875</v>
      </c>
      <c r="R28" s="13">
        <f t="shared" si="15"/>
        <v>4.1049130225306787E-3</v>
      </c>
      <c r="S28" s="8">
        <f>1-GEVCUM(KVD!$D$82,KVD!$E$82,KVD!$F$82,$A28)</f>
        <v>1.355740387019011E-2</v>
      </c>
      <c r="T28" s="3">
        <f t="shared" si="13"/>
        <v>1.365014463999826E-2</v>
      </c>
      <c r="U28" s="9">
        <f t="shared" si="14"/>
        <v>73.259296979883686</v>
      </c>
      <c r="V28" s="32">
        <f t="shared" si="16"/>
        <v>6.3132224757198926E-3</v>
      </c>
    </row>
    <row r="29" spans="1:22" x14ac:dyDescent="0.25">
      <c r="A29" s="23">
        <f t="shared" si="4"/>
        <v>142.5</v>
      </c>
      <c r="B29" s="13">
        <f t="shared" si="5"/>
        <v>140</v>
      </c>
      <c r="C29" s="8"/>
      <c r="D29" s="3"/>
      <c r="E29" s="3"/>
      <c r="F29" s="32"/>
      <c r="G29" s="8"/>
      <c r="H29" s="3"/>
      <c r="I29" s="3"/>
      <c r="J29" s="13"/>
      <c r="K29" s="8"/>
      <c r="L29" s="3"/>
      <c r="M29" s="3"/>
      <c r="N29" s="13"/>
      <c r="O29" s="8">
        <f>1-GEVCUM(KVD!$D$81,KVD!$E$81,KVD!$F$81,$A29)</f>
        <v>5.9158602297200158E-3</v>
      </c>
      <c r="P29" s="3">
        <f t="shared" si="11"/>
        <v>5.9334282517564197E-3</v>
      </c>
      <c r="Q29" s="3">
        <f t="shared" si="12"/>
        <v>168.53662968014805</v>
      </c>
      <c r="R29" s="13">
        <f t="shared" si="15"/>
        <v>2.8373123249878411E-3</v>
      </c>
      <c r="S29" s="8">
        <f>1-GEVCUM(KVD!$D$82,KVD!$E$82,KVD!$F$82,$A29)</f>
        <v>9.2041390590534844E-3</v>
      </c>
      <c r="T29" s="3">
        <f t="shared" si="13"/>
        <v>9.2467588676380004E-3</v>
      </c>
      <c r="U29" s="9">
        <f t="shared" si="14"/>
        <v>108.14600167630853</v>
      </c>
      <c r="V29" s="32">
        <f t="shared" si="16"/>
        <v>4.4033857723602601E-3</v>
      </c>
    </row>
    <row r="30" spans="1:22" x14ac:dyDescent="0.25">
      <c r="A30" s="23">
        <f t="shared" si="4"/>
        <v>147.5</v>
      </c>
      <c r="B30" s="13">
        <f t="shared" si="5"/>
        <v>145</v>
      </c>
      <c r="C30" s="8"/>
      <c r="D30" s="3"/>
      <c r="E30" s="3"/>
      <c r="F30" s="32"/>
      <c r="G30" s="8"/>
      <c r="H30" s="3"/>
      <c r="I30" s="3"/>
      <c r="J30" s="13"/>
      <c r="K30" s="8"/>
      <c r="L30" s="3"/>
      <c r="M30" s="3"/>
      <c r="N30" s="13"/>
      <c r="O30" s="8">
        <f>1-GEVCUM(KVD!$D$81,KVD!$E$81,KVD!$F$81,$A30)</f>
        <v>3.9774313530368532E-3</v>
      </c>
      <c r="P30" s="3">
        <f t="shared" si="11"/>
        <v>3.9853623701569738E-3</v>
      </c>
      <c r="Q30" s="3">
        <f t="shared" si="12"/>
        <v>250.91821197694813</v>
      </c>
      <c r="R30" s="13">
        <f t="shared" si="15"/>
        <v>1.9480658815994459E-3</v>
      </c>
      <c r="S30" s="8">
        <f>1-GEVCUM(KVD!$D$82,KVD!$E$82,KVD!$F$82,$A30)</f>
        <v>6.1835884775262029E-3</v>
      </c>
      <c r="T30" s="3">
        <f t="shared" si="13"/>
        <v>6.2027860415621531E-3</v>
      </c>
      <c r="U30" s="9">
        <f t="shared" si="14"/>
        <v>161.21787746658322</v>
      </c>
      <c r="V30" s="32">
        <f t="shared" si="16"/>
        <v>3.0439728260758473E-3</v>
      </c>
    </row>
    <row r="31" spans="1:22" x14ac:dyDescent="0.25">
      <c r="A31" s="23">
        <f t="shared" si="4"/>
        <v>152.5</v>
      </c>
      <c r="B31" s="13">
        <f t="shared" si="5"/>
        <v>150</v>
      </c>
      <c r="C31" s="8"/>
      <c r="D31" s="3"/>
      <c r="E31" s="3"/>
      <c r="F31" s="32"/>
      <c r="G31" s="8"/>
      <c r="H31" s="3"/>
      <c r="I31" s="3"/>
      <c r="J31" s="13"/>
      <c r="K31" s="8"/>
      <c r="L31" s="3"/>
      <c r="M31" s="3"/>
      <c r="N31" s="13"/>
      <c r="O31" s="8">
        <f>1-GEVCUM(KVD!$D$81,KVD!$E$81,KVD!$F$81,$A31)</f>
        <v>2.6535658969348841E-3</v>
      </c>
      <c r="P31" s="3">
        <f t="shared" si="11"/>
        <v>2.6570928436248707E-3</v>
      </c>
      <c r="Q31" s="3">
        <f t="shared" si="12"/>
        <v>376.35116981301098</v>
      </c>
      <c r="R31" s="13">
        <f t="shared" si="15"/>
        <v>1.3282695265321031E-3</v>
      </c>
      <c r="S31" s="8">
        <f>1-GEVCUM(KVD!$D$82,KVD!$E$82,KVD!$F$82,$A31)</f>
        <v>4.1097508566005914E-3</v>
      </c>
      <c r="T31" s="3">
        <f t="shared" si="13"/>
        <v>4.1182190921747073E-3</v>
      </c>
      <c r="U31" s="9">
        <f t="shared" si="14"/>
        <v>242.82340924992656</v>
      </c>
      <c r="V31" s="32">
        <f t="shared" si="16"/>
        <v>2.0845669493874458E-3</v>
      </c>
    </row>
    <row r="32" spans="1:22" x14ac:dyDescent="0.25">
      <c r="A32" s="23">
        <f t="shared" si="4"/>
        <v>157.5</v>
      </c>
      <c r="B32" s="13">
        <f t="shared" si="5"/>
        <v>155</v>
      </c>
      <c r="C32" s="8"/>
      <c r="D32" s="3"/>
      <c r="E32" s="3"/>
      <c r="F32" s="32"/>
      <c r="G32" s="8"/>
      <c r="H32" s="3"/>
      <c r="I32" s="3"/>
      <c r="J32" s="13"/>
      <c r="K32" s="8"/>
      <c r="L32" s="3"/>
      <c r="M32" s="3"/>
      <c r="N32" s="13"/>
      <c r="O32" s="8">
        <f>1-GEVCUM(KVD!$D$81,KVD!$E$81,KVD!$F$81,$A32)</f>
        <v>1.7563790926546918E-3</v>
      </c>
      <c r="P32" s="3">
        <f t="shared" si="11"/>
        <v>1.7579233348613023E-3</v>
      </c>
      <c r="Q32" s="3">
        <f t="shared" si="12"/>
        <v>568.85302115800096</v>
      </c>
      <c r="R32" s="13">
        <f t="shared" si="15"/>
        <v>2.6570928436248707E-3</v>
      </c>
      <c r="S32" s="8">
        <f>1-GEVCUM(KVD!$D$82,KVD!$E$82,KVD!$F$82,$A32)</f>
        <v>2.7010537150845559E-3</v>
      </c>
      <c r="T32" s="3">
        <f t="shared" si="13"/>
        <v>2.7047081426906194E-3</v>
      </c>
      <c r="U32" s="9">
        <f t="shared" si="14"/>
        <v>369.72565883031245</v>
      </c>
      <c r="V32" s="32">
        <f t="shared" si="16"/>
        <v>1.4135109494840879E-3</v>
      </c>
    </row>
    <row r="33" spans="1:22" x14ac:dyDescent="0.25">
      <c r="A33" s="23">
        <f t="shared" si="4"/>
        <v>162.5</v>
      </c>
      <c r="B33" s="13">
        <f t="shared" si="5"/>
        <v>160</v>
      </c>
      <c r="C33" s="8"/>
      <c r="D33" s="3"/>
      <c r="E33" s="3"/>
      <c r="F33" s="32"/>
      <c r="G33" s="8"/>
      <c r="H33" s="3"/>
      <c r="I33" s="3"/>
      <c r="J33" s="13"/>
      <c r="K33" s="8"/>
      <c r="L33" s="3"/>
      <c r="M33" s="3"/>
      <c r="N33" s="13"/>
      <c r="O33" s="8"/>
      <c r="P33" s="3"/>
      <c r="Q33" s="3"/>
      <c r="R33" s="13"/>
      <c r="S33" s="8">
        <f>1-GEVCUM(KVD!$D$82,KVD!$E$82,KVD!$F$82,$A33)</f>
        <v>1.7546155629267757E-3</v>
      </c>
      <c r="T33" s="3">
        <f t="shared" si="13"/>
        <v>1.7561567038173087E-3</v>
      </c>
      <c r="U33" s="9">
        <f t="shared" si="14"/>
        <v>569.42526701992369</v>
      </c>
      <c r="V33" s="32">
        <f t="shared" si="16"/>
        <v>2.7047081426906194E-3</v>
      </c>
    </row>
    <row r="34" spans="1:22" x14ac:dyDescent="0.25">
      <c r="A34" s="23">
        <f t="shared" si="4"/>
        <v>167.5</v>
      </c>
      <c r="B34" s="13">
        <f t="shared" si="5"/>
        <v>165</v>
      </c>
      <c r="C34" s="8"/>
      <c r="D34" s="3"/>
      <c r="E34" s="3"/>
      <c r="F34" s="32"/>
      <c r="G34" s="8"/>
      <c r="H34" s="3"/>
      <c r="I34" s="3"/>
      <c r="J34" s="13"/>
      <c r="K34" s="8"/>
      <c r="L34" s="3"/>
      <c r="M34" s="3"/>
      <c r="N34" s="13"/>
      <c r="O34" s="8"/>
      <c r="P34" s="3"/>
      <c r="Q34" s="3"/>
      <c r="R34" s="13"/>
      <c r="S34" s="8"/>
      <c r="T34" s="3"/>
      <c r="U34" s="9"/>
      <c r="V34" s="32"/>
    </row>
    <row r="35" spans="1:22" x14ac:dyDescent="0.25">
      <c r="A35" s="23">
        <f t="shared" si="4"/>
        <v>172.5</v>
      </c>
      <c r="B35" s="13">
        <f t="shared" si="5"/>
        <v>170</v>
      </c>
      <c r="C35" s="8"/>
      <c r="D35" s="3"/>
      <c r="E35" s="3"/>
      <c r="F35" s="32"/>
      <c r="G35" s="8"/>
      <c r="H35" s="3"/>
      <c r="I35" s="3"/>
      <c r="J35" s="13"/>
      <c r="K35" s="8"/>
      <c r="L35" s="3"/>
      <c r="M35" s="3"/>
      <c r="N35" s="13"/>
      <c r="O35" s="8"/>
      <c r="P35" s="3"/>
      <c r="Q35" s="3"/>
      <c r="R35" s="13"/>
      <c r="S35" s="8"/>
      <c r="T35" s="3"/>
      <c r="U35" s="9"/>
      <c r="V35" s="32"/>
    </row>
    <row r="36" spans="1:22" x14ac:dyDescent="0.25">
      <c r="A36" s="23">
        <f t="shared" si="4"/>
        <v>177.5</v>
      </c>
      <c r="B36" s="13">
        <f t="shared" si="5"/>
        <v>175</v>
      </c>
      <c r="C36" s="8"/>
      <c r="D36" s="3"/>
      <c r="E36" s="3"/>
      <c r="F36" s="32"/>
      <c r="G36" s="8"/>
      <c r="H36" s="3"/>
      <c r="I36" s="3"/>
      <c r="J36" s="13"/>
      <c r="K36" s="8"/>
      <c r="L36" s="3"/>
      <c r="M36" s="3"/>
      <c r="N36" s="13"/>
      <c r="O36" s="8"/>
      <c r="P36" s="3"/>
      <c r="Q36" s="3"/>
      <c r="R36" s="13"/>
      <c r="S36" s="8"/>
      <c r="T36" s="3"/>
      <c r="U36" s="9"/>
      <c r="V36" s="32"/>
    </row>
    <row r="37" spans="1:22" x14ac:dyDescent="0.25">
      <c r="A37" s="14">
        <f t="shared" si="4"/>
        <v>182.5</v>
      </c>
      <c r="B37" s="15">
        <f t="shared" si="5"/>
        <v>180</v>
      </c>
      <c r="C37" s="10"/>
      <c r="D37" s="4"/>
      <c r="E37" s="4"/>
      <c r="F37" s="33"/>
      <c r="G37" s="10"/>
      <c r="H37" s="4"/>
      <c r="I37" s="4"/>
      <c r="J37" s="15"/>
      <c r="K37" s="10"/>
      <c r="L37" s="4"/>
      <c r="M37" s="4"/>
      <c r="N37" s="15"/>
      <c r="O37" s="8"/>
      <c r="P37" s="3"/>
      <c r="Q37" s="3"/>
      <c r="R37" s="13"/>
      <c r="S37" s="8"/>
      <c r="T37" s="3"/>
      <c r="U37" s="9"/>
      <c r="V37" s="32"/>
    </row>
    <row r="38" spans="1:22" x14ac:dyDescent="0.25">
      <c r="A38" s="14">
        <f t="shared" si="4"/>
        <v>187.5</v>
      </c>
      <c r="B38" s="15">
        <f t="shared" si="5"/>
        <v>185</v>
      </c>
      <c r="O38" s="8"/>
      <c r="P38" s="3"/>
      <c r="Q38" s="3"/>
      <c r="R38" s="13"/>
      <c r="S38" s="8"/>
      <c r="T38" s="3"/>
      <c r="U38" s="9"/>
      <c r="V38" s="32"/>
    </row>
    <row r="39" spans="1:22" x14ac:dyDescent="0.25">
      <c r="A39" s="14">
        <f t="shared" si="4"/>
        <v>192.5</v>
      </c>
      <c r="B39" s="15">
        <f t="shared" si="5"/>
        <v>190</v>
      </c>
      <c r="O39" s="8"/>
      <c r="P39" s="3"/>
      <c r="Q39" s="3"/>
      <c r="R39" s="13"/>
      <c r="S39" s="8"/>
      <c r="T39" s="3"/>
      <c r="U39" s="9"/>
      <c r="V39" s="32"/>
    </row>
    <row r="40" spans="1:22" x14ac:dyDescent="0.25">
      <c r="A40" s="14">
        <f t="shared" si="4"/>
        <v>197.5</v>
      </c>
      <c r="B40" s="15">
        <f t="shared" si="5"/>
        <v>195</v>
      </c>
      <c r="S40" s="8"/>
      <c r="T40" s="3"/>
      <c r="U40" s="9"/>
      <c r="V40" s="32"/>
    </row>
  </sheetData>
  <mergeCells count="11">
    <mergeCell ref="S2:U2"/>
    <mergeCell ref="A1:B2"/>
    <mergeCell ref="C1:F1"/>
    <mergeCell ref="G1:J1"/>
    <mergeCell ref="K1:N1"/>
    <mergeCell ref="O1:R1"/>
    <mergeCell ref="S1:V1"/>
    <mergeCell ref="C2:E2"/>
    <mergeCell ref="G2:I2"/>
    <mergeCell ref="K2:M2"/>
    <mergeCell ref="O2:Q2"/>
  </mergeCells>
  <pageMargins left="0.7" right="0.7" top="0.75" bottom="0.75" header="0.3" footer="0.3"/>
  <pageSetup paperSize="0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Blad20">
    <tabColor theme="6"/>
  </sheetPr>
  <dimension ref="A1:V40"/>
  <sheetViews>
    <sheetView topLeftCell="H1" workbookViewId="0">
      <selection activeCell="V5" sqref="V5:V32"/>
    </sheetView>
  </sheetViews>
  <sheetFormatPr defaultColWidth="9.140625" defaultRowHeight="15" x14ac:dyDescent="0.25"/>
  <cols>
    <col min="1" max="1" width="11.42578125" bestFit="1" customWidth="1"/>
    <col min="2" max="2" width="14" bestFit="1" customWidth="1"/>
    <col min="4" max="4" width="12.28515625" style="19" bestFit="1" customWidth="1"/>
    <col min="5" max="5" width="12" style="19" bestFit="1" customWidth="1"/>
    <col min="6" max="6" width="14.7109375" bestFit="1" customWidth="1"/>
    <col min="8" max="8" width="12.28515625" bestFit="1" customWidth="1"/>
    <col min="9" max="9" width="12" bestFit="1" customWidth="1"/>
    <col min="10" max="10" width="13.7109375" bestFit="1" customWidth="1"/>
    <col min="12" max="12" width="12.28515625" bestFit="1" customWidth="1"/>
    <col min="13" max="13" width="18.85546875" bestFit="1" customWidth="1"/>
    <col min="14" max="14" width="14.7109375" bestFit="1" customWidth="1"/>
    <col min="15" max="15" width="7.7109375" bestFit="1" customWidth="1"/>
    <col min="16" max="16" width="12.28515625" bestFit="1" customWidth="1"/>
    <col min="17" max="17" width="16.42578125" bestFit="1" customWidth="1"/>
    <col min="18" max="18" width="14.7109375" bestFit="1" customWidth="1"/>
    <col min="19" max="19" width="7.7109375" bestFit="1" customWidth="1"/>
    <col min="20" max="20" width="12.28515625" bestFit="1" customWidth="1"/>
    <col min="21" max="21" width="11.42578125" bestFit="1" customWidth="1"/>
    <col min="22" max="22" width="14.7109375" bestFit="1" customWidth="1"/>
  </cols>
  <sheetData>
    <row r="1" spans="1:22" x14ac:dyDescent="0.25">
      <c r="A1" s="50" t="s">
        <v>15</v>
      </c>
      <c r="B1" s="51"/>
      <c r="C1" s="63">
        <v>24</v>
      </c>
      <c r="D1" s="64"/>
      <c r="E1" s="64"/>
      <c r="F1" s="65"/>
      <c r="G1" s="66">
        <v>48</v>
      </c>
      <c r="H1" s="67"/>
      <c r="I1" s="67"/>
      <c r="J1" s="68"/>
      <c r="K1" s="66">
        <v>96</v>
      </c>
      <c r="L1" s="67"/>
      <c r="M1" s="67"/>
      <c r="N1" s="68"/>
      <c r="O1" s="66">
        <v>192</v>
      </c>
      <c r="P1" s="67"/>
      <c r="Q1" s="67"/>
      <c r="R1" s="68"/>
      <c r="S1" s="60">
        <v>216</v>
      </c>
      <c r="T1" s="61"/>
      <c r="U1" s="61"/>
      <c r="V1" s="62"/>
    </row>
    <row r="2" spans="1:22" x14ac:dyDescent="0.25">
      <c r="A2" s="52"/>
      <c r="B2" s="53"/>
      <c r="C2" s="57" t="s">
        <v>9</v>
      </c>
      <c r="D2" s="58"/>
      <c r="E2" s="59"/>
      <c r="F2" s="30">
        <f>24/24*365.25</f>
        <v>365.25</v>
      </c>
      <c r="G2" s="54" t="s">
        <v>9</v>
      </c>
      <c r="H2" s="55"/>
      <c r="I2" s="56"/>
      <c r="J2" s="30">
        <f>24/48*365.25</f>
        <v>182.625</v>
      </c>
      <c r="K2" s="54" t="s">
        <v>9</v>
      </c>
      <c r="L2" s="55"/>
      <c r="M2" s="56"/>
      <c r="N2" s="30">
        <f>24/96*365.25</f>
        <v>91.3125</v>
      </c>
      <c r="O2" s="54" t="s">
        <v>9</v>
      </c>
      <c r="P2" s="55"/>
      <c r="Q2" s="56"/>
      <c r="R2" s="30">
        <f>24/192*365.25</f>
        <v>45.65625</v>
      </c>
      <c r="S2" s="54" t="s">
        <v>9</v>
      </c>
      <c r="T2" s="55"/>
      <c r="U2" s="56"/>
      <c r="V2" s="30">
        <f>24/216*365.25</f>
        <v>40.583333333333329</v>
      </c>
    </row>
    <row r="3" spans="1:22" x14ac:dyDescent="0.25">
      <c r="A3" s="24" t="s">
        <v>12</v>
      </c>
      <c r="B3" s="27" t="s">
        <v>14</v>
      </c>
      <c r="C3" s="24" t="s">
        <v>8</v>
      </c>
      <c r="D3" s="25" t="s">
        <v>10</v>
      </c>
      <c r="E3" s="26" t="s">
        <v>17</v>
      </c>
      <c r="F3" s="36" t="s">
        <v>13</v>
      </c>
      <c r="G3" s="24" t="s">
        <v>8</v>
      </c>
      <c r="H3" s="25" t="s">
        <v>10</v>
      </c>
      <c r="I3" s="26" t="s">
        <v>17</v>
      </c>
      <c r="J3" s="29" t="s">
        <v>13</v>
      </c>
      <c r="K3" s="24" t="s">
        <v>8</v>
      </c>
      <c r="L3" s="25" t="s">
        <v>10</v>
      </c>
      <c r="M3" s="26" t="s">
        <v>17</v>
      </c>
      <c r="N3" s="29" t="s">
        <v>13</v>
      </c>
      <c r="O3" s="24" t="s">
        <v>8</v>
      </c>
      <c r="P3" s="25" t="s">
        <v>10</v>
      </c>
      <c r="Q3" s="26" t="s">
        <v>17</v>
      </c>
      <c r="R3" s="29" t="s">
        <v>13</v>
      </c>
      <c r="S3" s="24" t="s">
        <v>8</v>
      </c>
      <c r="T3" s="25" t="s">
        <v>10</v>
      </c>
      <c r="U3" s="26" t="s">
        <v>17</v>
      </c>
      <c r="V3" s="29" t="s">
        <v>13</v>
      </c>
    </row>
    <row r="4" spans="1:22" x14ac:dyDescent="0.25">
      <c r="A4" s="34">
        <v>17.5</v>
      </c>
      <c r="B4" s="12">
        <f>A4-2.5</f>
        <v>15</v>
      </c>
      <c r="C4" s="8">
        <f>1-GEVCUM(KVD!$D$83,KVD!$E$83,KVD!$F$83,$A4)</f>
        <v>0.99987174146878588</v>
      </c>
      <c r="D4" s="3">
        <f t="shared" ref="D4:D22" si="0">-LN(1-C4)</f>
        <v>8.9614625559376915</v>
      </c>
      <c r="E4" s="3">
        <f t="shared" ref="E4:E22" si="1">1/D4</f>
        <v>0.11158892800789748</v>
      </c>
      <c r="F4" s="31">
        <f>KLASSEFREQUENTIEUITHERHALINGSTIJD(F$2,E3,E4,E5)</f>
        <v>356.28853744406229</v>
      </c>
      <c r="G4" s="8">
        <f>1-GEVCUM(KVD!$D$84,KVD!$E$84,KVD!$F$84,$A4)</f>
        <v>0.99999872494171416</v>
      </c>
      <c r="H4" s="2">
        <f t="shared" ref="H4:H23" si="2">-LN(1-G4)</f>
        <v>13.572518666011774</v>
      </c>
      <c r="I4" s="2">
        <f t="shared" ref="I4:I23" si="3">1/H4</f>
        <v>7.3678292482602686E-2</v>
      </c>
      <c r="J4" s="12">
        <f>KLASSEFREQUENTIEUITHERHALINGSTIJD(J$2,I3,I4,I5)</f>
        <v>169.05248133398823</v>
      </c>
      <c r="K4" s="35"/>
      <c r="L4" s="2"/>
      <c r="M4" s="2"/>
      <c r="N4" s="12"/>
      <c r="O4" s="35"/>
      <c r="P4" s="2"/>
      <c r="Q4" s="2"/>
      <c r="R4" s="12"/>
      <c r="S4" s="35"/>
      <c r="T4" s="2"/>
      <c r="U4" s="37"/>
      <c r="V4" s="31"/>
    </row>
    <row r="5" spans="1:22" x14ac:dyDescent="0.25">
      <c r="A5" s="23">
        <f t="shared" ref="A5:A40" si="4">A4+5</f>
        <v>22.5</v>
      </c>
      <c r="B5" s="13">
        <f t="shared" ref="B5:B40" si="5">A5-2.5</f>
        <v>20</v>
      </c>
      <c r="C5" s="8">
        <f>1-GEVCUM(KVD!$D$83,KVD!$E$83,KVD!$F$83,$A5)</f>
        <v>0.99524522442882579</v>
      </c>
      <c r="D5" s="3">
        <f t="shared" si="0"/>
        <v>5.3486057825898961</v>
      </c>
      <c r="E5" s="3">
        <f t="shared" si="1"/>
        <v>0.18696461108707493</v>
      </c>
      <c r="F5" s="32">
        <f t="shared" ref="F5:F22" si="6">KLASSEFREQUENTIEUITHERHALINGSTIJD(F$2,E4,E5,E6)</f>
        <v>3.6128567733477954</v>
      </c>
      <c r="G5" s="8">
        <f>1-GEVCUM(KVD!$D$84,KVD!$E$84,KVD!$F$84,$A5)</f>
        <v>0.99984940475701234</v>
      </c>
      <c r="H5" s="3">
        <f t="shared" si="2"/>
        <v>8.800914830164686</v>
      </c>
      <c r="I5" s="3">
        <f t="shared" si="3"/>
        <v>0.11362455145828149</v>
      </c>
      <c r="J5" s="13">
        <f t="shared" ref="J5:J23" si="7">KLASSEFREQUENTIEUITHERHALINGSTIJD(J$2,I4,I5,I6)</f>
        <v>4.7716038358470882</v>
      </c>
      <c r="K5" s="8">
        <f>1-GEVCUM(KVD!$D$85,KVD!$E$85,KVD!$F$85,$A5)</f>
        <v>0.99999610041191733</v>
      </c>
      <c r="L5" s="3">
        <f t="shared" ref="L5:L25" si="8">-LN(1-K5)</f>
        <v>12.454639630235674</v>
      </c>
      <c r="M5" s="3">
        <f t="shared" ref="M5:M25" si="9">1/L5</f>
        <v>8.0291363675616637E-2</v>
      </c>
      <c r="N5" s="13">
        <f>KLASSEFREQUENTIEUITHERHALINGSTIJD(N$2,M4,M5,M6)</f>
        <v>78.857860369764325</v>
      </c>
      <c r="O5" s="8">
        <f>1-GEVCUM(KVD!$D$86,KVD!$E$86,KVD!$F$86,$A5)</f>
        <v>0.99999859131105762</v>
      </c>
      <c r="P5" s="3">
        <f t="shared" ref="P5:P31" si="10">-LN(1-O5)</f>
        <v>13.472851114229192</v>
      </c>
      <c r="Q5" s="3">
        <f t="shared" ref="Q5:Q31" si="11">1/P5</f>
        <v>7.4223339330445198E-2</v>
      </c>
      <c r="R5" s="13">
        <f>KLASSEFREQUENTIEUITHERHALINGSTIJD(R$2,Q4,Q5,Q6)</f>
        <v>32.183398885770806</v>
      </c>
      <c r="S5" s="8">
        <f>1-GEVCUM(KVD!$D$87,KVD!$E$87,KVD!$F$87,$A5)</f>
        <v>0.99999819264420631</v>
      </c>
      <c r="T5" s="3">
        <f t="shared" ref="T5" si="12">-LN(1-S5)</f>
        <v>13.22364566828568</v>
      </c>
      <c r="U5" s="9">
        <f t="shared" ref="U5" si="13">1/T5</f>
        <v>7.5622110958274077E-2</v>
      </c>
      <c r="V5" s="32">
        <f>KLASSEFREQUENTIEUITHERHALINGSTIJD(V$2,U4,U5,U6)</f>
        <v>27.359687665047652</v>
      </c>
    </row>
    <row r="6" spans="1:22" x14ac:dyDescent="0.25">
      <c r="A6" s="23">
        <f t="shared" si="4"/>
        <v>27.5</v>
      </c>
      <c r="B6" s="13">
        <f t="shared" si="5"/>
        <v>25</v>
      </c>
      <c r="C6" s="8">
        <f>1-GEVCUM(KVD!$D$83,KVD!$E$83,KVD!$F$83,$A6)</f>
        <v>0.96132947591646067</v>
      </c>
      <c r="D6" s="3">
        <f t="shared" si="0"/>
        <v>3.2526776207384684</v>
      </c>
      <c r="E6" s="3">
        <f t="shared" si="1"/>
        <v>0.30743901382177741</v>
      </c>
      <c r="F6" s="32">
        <f t="shared" si="6"/>
        <v>2.0959281618514276</v>
      </c>
      <c r="G6" s="8">
        <f>1-GEVCUM(KVD!$D$84,KVD!$E$84,KVD!$F$84,$A6)</f>
        <v>0.99686676207094371</v>
      </c>
      <c r="H6" s="3">
        <f t="shared" si="2"/>
        <v>5.765688327011369</v>
      </c>
      <c r="I6" s="3">
        <f t="shared" si="3"/>
        <v>0.17343982943288017</v>
      </c>
      <c r="J6" s="13">
        <f t="shared" si="7"/>
        <v>3.035226503153317</v>
      </c>
      <c r="K6" s="8">
        <f>1-GEVCUM(KVD!$D$85,KVD!$E$85,KVD!$F$85,$A6)</f>
        <v>0.99987958770800167</v>
      </c>
      <c r="L6" s="3">
        <f t="shared" si="8"/>
        <v>9.0245889372913162</v>
      </c>
      <c r="M6" s="3">
        <f t="shared" si="9"/>
        <v>0.11080837110129305</v>
      </c>
      <c r="N6" s="13">
        <f t="shared" ref="N6:N25" si="14">KLASSEFREQUENTIEUITHERHALINGSTIJD(N$2,M5,M6,M7)</f>
        <v>3.4300506929443575</v>
      </c>
      <c r="O6" s="8">
        <f>1-GEVCUM(KVD!$D$86,KVD!$E$86,KVD!$F$86,$A6)</f>
        <v>0.99998221035735313</v>
      </c>
      <c r="P6" s="3">
        <f t="shared" si="10"/>
        <v>10.936894143791799</v>
      </c>
      <c r="Q6" s="3">
        <f t="shared" si="11"/>
        <v>9.1433636172444668E-2</v>
      </c>
      <c r="R6" s="13">
        <f t="shared" ref="R6:R31" si="15">KLASSEFREQUENTIEUITHERHALINGSTIJD(R$2,Q5,Q6,Q7)</f>
        <v>2.5359569704373932</v>
      </c>
      <c r="S6" s="8">
        <f>1-GEVCUM(KVD!$D$87,KVD!$E$87,KVD!$F$87,$A6)</f>
        <v>0.99998219356011742</v>
      </c>
      <c r="T6" s="3">
        <f t="shared" ref="T6:T32" si="16">-LN(1-S6)</f>
        <v>10.935950374940475</v>
      </c>
      <c r="U6" s="9">
        <f t="shared" ref="U6:U32" si="17">1/T6</f>
        <v>9.1441526864595252E-2</v>
      </c>
      <c r="V6" s="32">
        <f t="shared" ref="V6:V32" si="18">KLASSEFREQUENTIEUITHERHALINGSTIJD(V$2,U5,U6,U7)</f>
        <v>2.2876952933452035</v>
      </c>
    </row>
    <row r="7" spans="1:22" x14ac:dyDescent="0.25">
      <c r="A7" s="23">
        <f t="shared" si="4"/>
        <v>32.5</v>
      </c>
      <c r="B7" s="13">
        <f t="shared" si="5"/>
        <v>30</v>
      </c>
      <c r="C7" s="8">
        <f>1-GEVCUM(KVD!$D$83,KVD!$E$83,KVD!$F$83,$A7)</f>
        <v>0.86639164339177055</v>
      </c>
      <c r="D7" s="3">
        <f t="shared" si="0"/>
        <v>2.0128424703729326</v>
      </c>
      <c r="E7" s="3">
        <f t="shared" si="1"/>
        <v>0.49680986700102936</v>
      </c>
      <c r="F7" s="32">
        <f t="shared" si="6"/>
        <v>1.2398351503655358</v>
      </c>
      <c r="G7" s="8">
        <f>1-GEVCUM(KVD!$D$84,KVD!$E$84,KVD!$F$84,$A7)</f>
        <v>0.97794867911622707</v>
      </c>
      <c r="H7" s="3">
        <f t="shared" si="2"/>
        <v>3.8143827748574735</v>
      </c>
      <c r="I7" s="3">
        <f t="shared" si="3"/>
        <v>0.26216561342283368</v>
      </c>
      <c r="J7" s="13">
        <f t="shared" si="7"/>
        <v>1.9513055521538956</v>
      </c>
      <c r="K7" s="8">
        <f>1-GEVCUM(KVD!$D$85,KVD!$E$85,KVD!$F$85,$A7)</f>
        <v>0.9985756319571254</v>
      </c>
      <c r="L7" s="3">
        <f t="shared" si="8"/>
        <v>6.5540270423117679</v>
      </c>
      <c r="M7" s="3">
        <f t="shared" si="9"/>
        <v>0.15257794841921726</v>
      </c>
      <c r="N7" s="13">
        <f t="shared" si="14"/>
        <v>2.4705618949795483</v>
      </c>
      <c r="O7" s="8">
        <f>1-GEVCUM(KVD!$D$86,KVD!$E$86,KVD!$F$86,$A7)</f>
        <v>0.9998580959123915</v>
      </c>
      <c r="P7" s="3">
        <f t="shared" si="10"/>
        <v>8.8603591679517031</v>
      </c>
      <c r="Q7" s="3">
        <f t="shared" si="11"/>
        <v>0.11286224192999339</v>
      </c>
      <c r="R7" s="13">
        <f t="shared" si="15"/>
        <v>2.0765349758400955</v>
      </c>
      <c r="S7" s="8">
        <f>1-GEVCUM(KVD!$D$87,KVD!$E$87,KVD!$F$87,$A7)</f>
        <v>0.99987942560416143</v>
      </c>
      <c r="T7" s="3">
        <f t="shared" si="16"/>
        <v>9.0232436026909308</v>
      </c>
      <c r="U7" s="9">
        <f t="shared" si="17"/>
        <v>0.11082489224847901</v>
      </c>
      <c r="V7" s="32">
        <f t="shared" si="18"/>
        <v>1.9127067722495443</v>
      </c>
    </row>
    <row r="8" spans="1:22" x14ac:dyDescent="0.25">
      <c r="A8" s="23">
        <f t="shared" si="4"/>
        <v>37.5</v>
      </c>
      <c r="B8" s="13">
        <f t="shared" si="5"/>
        <v>35</v>
      </c>
      <c r="C8" s="8">
        <f>1-GEVCUM(KVD!$D$83,KVD!$E$83,KVD!$F$83,$A8)</f>
        <v>0.7180433921769136</v>
      </c>
      <c r="D8" s="3">
        <f t="shared" si="0"/>
        <v>1.2660020928514619</v>
      </c>
      <c r="E8" s="3">
        <f t="shared" si="1"/>
        <v>0.78988810970103862</v>
      </c>
      <c r="F8" s="32">
        <f t="shared" si="6"/>
        <v>0.7468403775214707</v>
      </c>
      <c r="G8" s="8">
        <f>1-GEVCUM(KVD!$D$84,KVD!$E$84,KVD!$F$84,$A8)</f>
        <v>0.92169567280447273</v>
      </c>
      <c r="H8" s="3">
        <f t="shared" si="2"/>
        <v>2.5471524132017023</v>
      </c>
      <c r="I8" s="3">
        <f t="shared" si="3"/>
        <v>0.39259527416462164</v>
      </c>
      <c r="J8" s="13">
        <f t="shared" si="7"/>
        <v>1.2672303616557712</v>
      </c>
      <c r="K8" s="8">
        <f>1-GEVCUM(KVD!$D$85,KVD!$E$85,KVD!$F$85,$A8)</f>
        <v>0.99152347767600058</v>
      </c>
      <c r="L8" s="3">
        <f t="shared" si="8"/>
        <v>4.770455016595637</v>
      </c>
      <c r="M8" s="3">
        <f t="shared" si="9"/>
        <v>0.20962360959723186</v>
      </c>
      <c r="N8" s="13">
        <f t="shared" si="14"/>
        <v>1.7835720257161309</v>
      </c>
      <c r="O8" s="8">
        <f>1-GEVCUM(KVD!$D$86,KVD!$E$86,KVD!$F$86,$A8)</f>
        <v>0.99922552041290491</v>
      </c>
      <c r="P8" s="3">
        <f t="shared" si="10"/>
        <v>7.1633192546908484</v>
      </c>
      <c r="Q8" s="3">
        <f t="shared" si="11"/>
        <v>0.13960008823355977</v>
      </c>
      <c r="R8" s="13">
        <f t="shared" si="15"/>
        <v>1.6970399132608547</v>
      </c>
      <c r="S8" s="8">
        <f>1-GEVCUM(KVD!$D$87,KVD!$E$87,KVD!$F$87,$A8)</f>
        <v>0.99940535305333444</v>
      </c>
      <c r="T8" s="3">
        <f t="shared" si="16"/>
        <v>7.4275426954791275</v>
      </c>
      <c r="U8" s="9">
        <f t="shared" si="17"/>
        <v>0.13463402918015716</v>
      </c>
      <c r="V8" s="32">
        <f t="shared" si="18"/>
        <v>1.5957009072118034</v>
      </c>
    </row>
    <row r="9" spans="1:22" x14ac:dyDescent="0.25">
      <c r="A9" s="23">
        <f t="shared" si="4"/>
        <v>42.5</v>
      </c>
      <c r="B9" s="13">
        <f t="shared" si="5"/>
        <v>40</v>
      </c>
      <c r="C9" s="8">
        <f>1-GEVCUM(KVD!$D$83,KVD!$E$83,KVD!$F$83,$A9)</f>
        <v>0.5544515800945905</v>
      </c>
      <c r="D9" s="3">
        <f t="shared" si="0"/>
        <v>0.80844935132087725</v>
      </c>
      <c r="E9" s="3">
        <f t="shared" si="1"/>
        <v>1.236935867863781</v>
      </c>
      <c r="F9" s="32">
        <f t="shared" si="6"/>
        <v>0.45755274153058467</v>
      </c>
      <c r="G9" s="8">
        <f>1-GEVCUM(KVD!$D$84,KVD!$E$84,KVD!$F$84,$A9)</f>
        <v>0.82024910942667939</v>
      </c>
      <c r="H9" s="3">
        <f t="shared" si="2"/>
        <v>1.7161833278824306</v>
      </c>
      <c r="I9" s="3">
        <f t="shared" si="3"/>
        <v>0.58268833157462441</v>
      </c>
      <c r="J9" s="13">
        <f t="shared" si="7"/>
        <v>0.83096908531927172</v>
      </c>
      <c r="K9" s="8">
        <f>1-GEVCUM(KVD!$D$85,KVD!$E$85,KVD!$F$85,$A9)</f>
        <v>0.96918998199230444</v>
      </c>
      <c r="L9" s="3">
        <f t="shared" si="8"/>
        <v>3.4799153818980559</v>
      </c>
      <c r="M9" s="3">
        <f t="shared" si="9"/>
        <v>0.28736330923499881</v>
      </c>
      <c r="N9" s="13">
        <f t="shared" si="14"/>
        <v>1.290539634697581</v>
      </c>
      <c r="O9" s="8">
        <f>1-GEVCUM(KVD!$D$86,KVD!$E$86,KVD!$F$86,$A9)</f>
        <v>0.99690871218770649</v>
      </c>
      <c r="P9" s="3">
        <f t="shared" si="10"/>
        <v>5.7791675071635051</v>
      </c>
      <c r="Q9" s="3">
        <f t="shared" si="11"/>
        <v>0.17303530288064167</v>
      </c>
      <c r="R9" s="13">
        <f t="shared" si="15"/>
        <v>1.3841517475273433</v>
      </c>
      <c r="S9" s="8">
        <f>1-GEVCUM(KVD!$D$87,KVD!$E$87,KVD!$F$87,$A9)</f>
        <v>0.99775551589692368</v>
      </c>
      <c r="T9" s="3">
        <f t="shared" si="16"/>
        <v>6.0992795823798369</v>
      </c>
      <c r="U9" s="9">
        <f t="shared" si="17"/>
        <v>0.16395378937684582</v>
      </c>
      <c r="V9" s="32">
        <f t="shared" si="18"/>
        <v>1.3282631130992897</v>
      </c>
    </row>
    <row r="10" spans="1:22" x14ac:dyDescent="0.25">
      <c r="A10" s="23">
        <f t="shared" si="4"/>
        <v>47.5</v>
      </c>
      <c r="B10" s="13">
        <f t="shared" si="5"/>
        <v>45</v>
      </c>
      <c r="C10" s="8">
        <f>1-GEVCUM(KVD!$D$83,KVD!$E$83,KVD!$F$83,$A10)</f>
        <v>0.40764957349913233</v>
      </c>
      <c r="D10" s="3">
        <f t="shared" si="0"/>
        <v>0.52365688256665788</v>
      </c>
      <c r="E10" s="3">
        <f t="shared" si="1"/>
        <v>1.9096473918161612</v>
      </c>
      <c r="F10" s="32">
        <f t="shared" si="6"/>
        <v>0.28479246875421937</v>
      </c>
      <c r="G10" s="8">
        <f>1-GEVCUM(KVD!$D$84,KVD!$E$84,KVD!$F$84,$A10)</f>
        <v>0.68845950181019466</v>
      </c>
      <c r="H10" s="3">
        <f t="shared" si="2"/>
        <v>1.1662259389650824</v>
      </c>
      <c r="I10" s="3">
        <f t="shared" si="3"/>
        <v>0.85746677945390881</v>
      </c>
      <c r="J10" s="13">
        <f t="shared" si="7"/>
        <v>0.54995738891734813</v>
      </c>
      <c r="K10" s="8">
        <f>1-GEVCUM(KVD!$D$85,KVD!$E$85,KVD!$F$85,$A10)</f>
        <v>0.92145053537409083</v>
      </c>
      <c r="L10" s="3">
        <f t="shared" si="8"/>
        <v>2.5440267300146293</v>
      </c>
      <c r="M10" s="3">
        <f t="shared" si="9"/>
        <v>0.39307763090769471</v>
      </c>
      <c r="N10" s="13">
        <f t="shared" si="14"/>
        <v>0.93588865188342663</v>
      </c>
      <c r="O10" s="8">
        <f>1-GEVCUM(KVD!$D$86,KVD!$E$86,KVD!$F$86,$A10)</f>
        <v>0.99046223908145425</v>
      </c>
      <c r="P10" s="3">
        <f t="shared" si="10"/>
        <v>4.6524965256243194</v>
      </c>
      <c r="Q10" s="3">
        <f t="shared" si="11"/>
        <v>0.2149383657768148</v>
      </c>
      <c r="R10" s="13">
        <f t="shared" si="15"/>
        <v>1.1266709815391858</v>
      </c>
      <c r="S10" s="8">
        <f>1-GEVCUM(KVD!$D$87,KVD!$E$87,KVD!$F$87,$A10)</f>
        <v>0.99323613930872512</v>
      </c>
      <c r="T10" s="3">
        <f t="shared" si="16"/>
        <v>4.996161443770716</v>
      </c>
      <c r="U10" s="9">
        <f t="shared" si="17"/>
        <v>0.2001536602158471</v>
      </c>
      <c r="V10" s="32">
        <f t="shared" si="18"/>
        <v>1.1031181386091218</v>
      </c>
    </row>
    <row r="11" spans="1:22" x14ac:dyDescent="0.25">
      <c r="A11" s="23">
        <f t="shared" si="4"/>
        <v>52.5</v>
      </c>
      <c r="B11" s="13">
        <f t="shared" si="5"/>
        <v>50</v>
      </c>
      <c r="C11" s="8">
        <f>1-GEVCUM(KVD!$D$83,KVD!$E$83,KVD!$F$83,$A11)</f>
        <v>0.29089051711796354</v>
      </c>
      <c r="D11" s="3">
        <f t="shared" si="0"/>
        <v>0.34374534563787618</v>
      </c>
      <c r="E11" s="3">
        <f t="shared" si="1"/>
        <v>2.9091302986061822</v>
      </c>
      <c r="F11" s="32">
        <f t="shared" si="6"/>
        <v>0.1799115369287817</v>
      </c>
      <c r="G11" s="8">
        <f>1-GEVCUM(KVD!$D$84,KVD!$E$84,KVD!$F$84,$A11)</f>
        <v>0.55022814788884689</v>
      </c>
      <c r="H11" s="3">
        <f t="shared" si="2"/>
        <v>0.79901482009189828</v>
      </c>
      <c r="I11" s="3">
        <f t="shared" si="3"/>
        <v>1.2515412416067395</v>
      </c>
      <c r="J11" s="13">
        <f t="shared" si="7"/>
        <v>0.36721111887318414</v>
      </c>
      <c r="K11" s="8">
        <f>1-GEVCUM(KVD!$D$85,KVD!$E$85,KVD!$F$85,$A11)</f>
        <v>0.84492215089326039</v>
      </c>
      <c r="L11" s="3">
        <f t="shared" si="8"/>
        <v>1.8638280358478154</v>
      </c>
      <c r="M11" s="3">
        <f t="shared" si="9"/>
        <v>0.53653018452698686</v>
      </c>
      <c r="N11" s="13">
        <f t="shared" si="14"/>
        <v>0.68019869416681367</v>
      </c>
      <c r="O11" s="8">
        <f>1-GEVCUM(KVD!$D$86,KVD!$E$86,KVD!$F$86,$A11)</f>
        <v>0.97618165890956698</v>
      </c>
      <c r="P11" s="3">
        <f t="shared" si="10"/>
        <v>3.7372993610388558</v>
      </c>
      <c r="Q11" s="3">
        <f t="shared" si="11"/>
        <v>0.26757289245409294</v>
      </c>
      <c r="R11" s="13">
        <f t="shared" si="15"/>
        <v>0.91519716458546352</v>
      </c>
      <c r="S11" s="8">
        <f>1-GEVCUM(KVD!$D$87,KVD!$E$87,KVD!$F$87,$A11)</f>
        <v>0.98312925642339288</v>
      </c>
      <c r="T11" s="3">
        <f t="shared" si="16"/>
        <v>4.0821743065368663</v>
      </c>
      <c r="U11" s="9">
        <f t="shared" si="17"/>
        <v>0.24496749156415987</v>
      </c>
      <c r="V11" s="32">
        <f t="shared" si="18"/>
        <v>0.91398713723384972</v>
      </c>
    </row>
    <row r="12" spans="1:22" x14ac:dyDescent="0.25">
      <c r="A12" s="23">
        <f t="shared" si="4"/>
        <v>57.5</v>
      </c>
      <c r="B12" s="13">
        <f t="shared" si="5"/>
        <v>55</v>
      </c>
      <c r="C12" s="8">
        <f>1-GEVCUM(KVD!$D$83,KVD!$E$83,KVD!$F$83,$A12)</f>
        <v>0.20426993790878123</v>
      </c>
      <c r="D12" s="3">
        <f t="shared" si="0"/>
        <v>0.22849526862711358</v>
      </c>
      <c r="E12" s="3">
        <f t="shared" si="1"/>
        <v>4.3764582348176404</v>
      </c>
      <c r="F12" s="32">
        <f t="shared" si="6"/>
        <v>0.11525007701076262</v>
      </c>
      <c r="G12" s="8">
        <f>1-GEVCUM(KVD!$D$84,KVD!$E$84,KVD!$F$84,$A12)</f>
        <v>0.42405192734713426</v>
      </c>
      <c r="H12" s="3">
        <f t="shared" si="2"/>
        <v>0.55173777399447987</v>
      </c>
      <c r="I12" s="3">
        <f t="shared" si="3"/>
        <v>1.812455204508084</v>
      </c>
      <c r="J12" s="13">
        <f t="shared" si="7"/>
        <v>0.24727704609741841</v>
      </c>
      <c r="K12" s="8">
        <f>1-GEVCUM(KVD!$D$85,KVD!$E$85,KVD!$F$85,$A12)</f>
        <v>0.74548250929840076</v>
      </c>
      <c r="L12" s="3">
        <f t="shared" si="8"/>
        <v>1.3683857196100428</v>
      </c>
      <c r="M12" s="3">
        <f t="shared" si="9"/>
        <v>0.73078809992622262</v>
      </c>
      <c r="N12" s="13">
        <f t="shared" si="14"/>
        <v>0.4954423162377728</v>
      </c>
      <c r="O12" s="8">
        <f>1-GEVCUM(KVD!$D$86,KVD!$E$86,KVD!$F$86,$A12)</f>
        <v>0.94998566952430252</v>
      </c>
      <c r="P12" s="3">
        <f t="shared" si="10"/>
        <v>2.9954457051047019</v>
      </c>
      <c r="Q12" s="3">
        <f t="shared" si="11"/>
        <v>0.3338401354749464</v>
      </c>
      <c r="R12" s="13">
        <f t="shared" si="15"/>
        <v>0.74185365593415398</v>
      </c>
      <c r="S12" s="8">
        <f>1-GEVCUM(KVD!$D$87,KVD!$E$87,KVD!$F$87,$A12)</f>
        <v>0.96408905279117119</v>
      </c>
      <c r="T12" s="3">
        <f t="shared" si="16"/>
        <v>3.3267130937924154</v>
      </c>
      <c r="U12" s="9">
        <f t="shared" si="17"/>
        <v>0.30059700725799932</v>
      </c>
      <c r="V12" s="32">
        <f t="shared" si="18"/>
        <v>0.75546121274445088</v>
      </c>
    </row>
    <row r="13" spans="1:22" x14ac:dyDescent="0.25">
      <c r="A13" s="23">
        <f t="shared" si="4"/>
        <v>62.5</v>
      </c>
      <c r="B13" s="13">
        <f t="shared" si="5"/>
        <v>60</v>
      </c>
      <c r="C13" s="8">
        <f>1-GEVCUM(KVD!$D$83,KVD!$E$83,KVD!$F$83,$A13)</f>
        <v>0.14246423147982412</v>
      </c>
      <c r="D13" s="3">
        <f t="shared" si="0"/>
        <v>0.15369238825201484</v>
      </c>
      <c r="E13" s="3">
        <f t="shared" si="1"/>
        <v>6.5065030960431471</v>
      </c>
      <c r="F13" s="32">
        <f t="shared" si="6"/>
        <v>7.4802880375098718E-2</v>
      </c>
      <c r="G13" s="8">
        <f>1-GEVCUM(KVD!$D$84,KVD!$E$84,KVD!$F$84,$A13)</f>
        <v>0.31877627716375234</v>
      </c>
      <c r="H13" s="3">
        <f t="shared" si="2"/>
        <v>0.38386450573209097</v>
      </c>
      <c r="I13" s="3">
        <f t="shared" si="3"/>
        <v>2.6050858703198938</v>
      </c>
      <c r="J13" s="13">
        <f t="shared" si="7"/>
        <v>0.16787326826238891</v>
      </c>
      <c r="K13" s="8">
        <f>1-GEVCUM(KVD!$D$85,KVD!$E$85,KVD!$F$85,$A13)</f>
        <v>0.6345917468761586</v>
      </c>
      <c r="L13" s="3">
        <f t="shared" si="8"/>
        <v>1.0067400487474862</v>
      </c>
      <c r="M13" s="3">
        <f t="shared" si="9"/>
        <v>0.99330507537087476</v>
      </c>
      <c r="N13" s="13">
        <f t="shared" si="14"/>
        <v>0.36164567086255661</v>
      </c>
      <c r="O13" s="8">
        <f>1-GEVCUM(KVD!$D$86,KVD!$E$86,KVD!$F$86,$A13)</f>
        <v>0.90886317699576225</v>
      </c>
      <c r="P13" s="3">
        <f t="shared" si="10"/>
        <v>2.3953933521669848</v>
      </c>
      <c r="Q13" s="3">
        <f t="shared" si="11"/>
        <v>0.41746796996633279</v>
      </c>
      <c r="R13" s="13">
        <f t="shared" si="15"/>
        <v>0.60005235293771708</v>
      </c>
      <c r="S13" s="8">
        <f>1-GEVCUM(KVD!$D$87,KVD!$E$87,KVD!$F$87,$A13)</f>
        <v>0.93305094899857233</v>
      </c>
      <c r="T13" s="3">
        <f t="shared" si="16"/>
        <v>2.7038233816813753</v>
      </c>
      <c r="U13" s="9">
        <f t="shared" si="17"/>
        <v>0.36984664263763745</v>
      </c>
      <c r="V13" s="32">
        <f t="shared" si="18"/>
        <v>0.62288971211104016</v>
      </c>
    </row>
    <row r="14" spans="1:22" x14ac:dyDescent="0.25">
      <c r="A14" s="23">
        <f t="shared" si="4"/>
        <v>67.5</v>
      </c>
      <c r="B14" s="13">
        <f t="shared" si="5"/>
        <v>65</v>
      </c>
      <c r="C14" s="8">
        <f>1-GEVCUM(KVD!$D$83,KVD!$E$83,KVD!$F$83,$A14)</f>
        <v>9.9259239273800426E-2</v>
      </c>
      <c r="D14" s="3">
        <f t="shared" si="0"/>
        <v>0.10453778671855926</v>
      </c>
      <c r="E14" s="3">
        <f t="shared" si="1"/>
        <v>9.5659189981919095</v>
      </c>
      <c r="F14" s="32">
        <f t="shared" si="6"/>
        <v>4.9154601533455564E-2</v>
      </c>
      <c r="G14" s="8">
        <f>1-GEVCUM(KVD!$D$84,KVD!$E$84,KVD!$F$84,$A14)</f>
        <v>0.23586059989810326</v>
      </c>
      <c r="H14" s="3">
        <f t="shared" si="2"/>
        <v>0.26900504559321892</v>
      </c>
      <c r="I14" s="3">
        <f t="shared" si="3"/>
        <v>3.7174023921921857</v>
      </c>
      <c r="J14" s="13">
        <f t="shared" si="7"/>
        <v>0.11485946013887205</v>
      </c>
      <c r="K14" s="8">
        <f>1-GEVCUM(KVD!$D$85,KVD!$E$85,KVD!$F$85,$A14)</f>
        <v>0.5239339078749925</v>
      </c>
      <c r="L14" s="3">
        <f t="shared" si="8"/>
        <v>0.74219858538723094</v>
      </c>
      <c r="M14" s="3">
        <f t="shared" si="9"/>
        <v>1.3473482969228041</v>
      </c>
      <c r="N14" s="13">
        <f t="shared" si="14"/>
        <v>0.2645414633602553</v>
      </c>
      <c r="O14" s="8">
        <f>1-GEVCUM(KVD!$D$86,KVD!$E$86,KVD!$F$86,$A14)</f>
        <v>0.85208247945702342</v>
      </c>
      <c r="P14" s="3">
        <f t="shared" si="10"/>
        <v>1.9111004541923711</v>
      </c>
      <c r="Q14" s="3">
        <f t="shared" si="11"/>
        <v>0.52325873179837579</v>
      </c>
      <c r="R14" s="13">
        <f t="shared" si="15"/>
        <v>0.48429289797461372</v>
      </c>
      <c r="S14" s="8">
        <f>1-GEVCUM(KVD!$D$87,KVD!$E$87,KVD!$F$87,$A14)</f>
        <v>0.88825565829590902</v>
      </c>
      <c r="T14" s="3">
        <f t="shared" si="16"/>
        <v>2.1915416802908174</v>
      </c>
      <c r="U14" s="9">
        <f t="shared" si="17"/>
        <v>0.45629978612467004</v>
      </c>
      <c r="V14" s="32">
        <f t="shared" si="18"/>
        <v>0.51228170139055784</v>
      </c>
    </row>
    <row r="15" spans="1:22" x14ac:dyDescent="0.25">
      <c r="A15" s="23">
        <f t="shared" si="4"/>
        <v>72.5</v>
      </c>
      <c r="B15" s="13">
        <f t="shared" si="5"/>
        <v>70</v>
      </c>
      <c r="C15" s="8">
        <f>1-GEVCUM(KVD!$D$83,KVD!$E$83,KVD!$F$83,$A15)</f>
        <v>6.9336908686884025E-2</v>
      </c>
      <c r="D15" s="3">
        <f t="shared" si="0"/>
        <v>7.1857945487630984E-2</v>
      </c>
      <c r="E15" s="3">
        <f t="shared" si="1"/>
        <v>13.916345551128114</v>
      </c>
      <c r="F15" s="32">
        <f t="shared" si="6"/>
        <v>3.2679841230928292E-2</v>
      </c>
      <c r="G15" s="8">
        <f>1-GEVCUM(KVD!$D$84,KVD!$E$84,KVD!$F$84,$A15)</f>
        <v>0.17289765962491976</v>
      </c>
      <c r="H15" s="3">
        <f t="shared" si="2"/>
        <v>0.18982684267265854</v>
      </c>
      <c r="I15" s="3">
        <f t="shared" si="3"/>
        <v>5.2679588719937849</v>
      </c>
      <c r="J15" s="13">
        <f t="shared" si="7"/>
        <v>7.9178202920560381E-2</v>
      </c>
      <c r="K15" s="8">
        <f>1-GEVCUM(KVD!$D$85,KVD!$E$85,KVD!$F$85,$A15)</f>
        <v>0.42205884114838443</v>
      </c>
      <c r="L15" s="3">
        <f t="shared" si="8"/>
        <v>0.54828321678664582</v>
      </c>
      <c r="M15" s="3">
        <f t="shared" si="9"/>
        <v>1.8238749051279666</v>
      </c>
      <c r="N15" s="13">
        <f t="shared" si="14"/>
        <v>0.19391536860058511</v>
      </c>
      <c r="O15" s="8">
        <f>1-GEVCUM(KVD!$D$86,KVD!$E$86,KVD!$F$86,$A15)</f>
        <v>0.78153050103621369</v>
      </c>
      <c r="P15" s="3">
        <f t="shared" si="10"/>
        <v>1.5211088670335631</v>
      </c>
      <c r="Q15" s="3">
        <f t="shared" si="11"/>
        <v>0.65741514080460295</v>
      </c>
      <c r="R15" s="13">
        <f t="shared" si="15"/>
        <v>0.389991587158808</v>
      </c>
      <c r="S15" s="8">
        <f>1-GEVCUM(KVD!$D$87,KVD!$E$87,KVD!$F$87,$A15)</f>
        <v>0.82989212274633539</v>
      </c>
      <c r="T15" s="3">
        <f t="shared" si="16"/>
        <v>1.7713224711072215</v>
      </c>
      <c r="U15" s="9">
        <f t="shared" si="17"/>
        <v>0.56454994294456062</v>
      </c>
      <c r="V15" s="32">
        <f t="shared" si="18"/>
        <v>0.4202192091835959</v>
      </c>
    </row>
    <row r="16" spans="1:22" x14ac:dyDescent="0.25">
      <c r="A16" s="23">
        <f t="shared" si="4"/>
        <v>77.5</v>
      </c>
      <c r="B16" s="13">
        <f t="shared" si="5"/>
        <v>75</v>
      </c>
      <c r="C16" s="8">
        <f>1-GEVCUM(KVD!$D$83,KVD!$E$83,KVD!$F$83,$A16)</f>
        <v>4.86658578058764E-2</v>
      </c>
      <c r="D16" s="3">
        <f t="shared" si="0"/>
        <v>4.9889919374733686E-2</v>
      </c>
      <c r="E16" s="3">
        <f t="shared" si="1"/>
        <v>20.044129405958536</v>
      </c>
      <c r="F16" s="32">
        <f t="shared" si="6"/>
        <v>2.1968026112897297E-2</v>
      </c>
      <c r="G16" s="8">
        <f>1-GEVCUM(KVD!$D$84,KVD!$E$84,KVD!$F$84,$A16)</f>
        <v>0.12615387232111419</v>
      </c>
      <c r="H16" s="3">
        <f t="shared" si="2"/>
        <v>0.13485097411346891</v>
      </c>
      <c r="I16" s="3">
        <f t="shared" si="3"/>
        <v>7.4155934473158549</v>
      </c>
      <c r="J16" s="13">
        <f t="shared" si="7"/>
        <v>5.4975868559189622E-2</v>
      </c>
      <c r="K16" s="8">
        <f>1-GEVCUM(KVD!$D$85,KVD!$E$85,KVD!$F$85,$A16)</f>
        <v>0.33358652169413061</v>
      </c>
      <c r="L16" s="3">
        <f t="shared" si="8"/>
        <v>0.40584496278501409</v>
      </c>
      <c r="M16" s="3">
        <f t="shared" si="9"/>
        <v>2.4639951008329359</v>
      </c>
      <c r="N16" s="13">
        <f t="shared" si="14"/>
        <v>0.14243825400163168</v>
      </c>
      <c r="O16" s="8">
        <f>1-GEVCUM(KVD!$D$86,KVD!$E$86,KVD!$F$86,$A16)</f>
        <v>0.7011379072835433</v>
      </c>
      <c r="P16" s="3">
        <f t="shared" si="10"/>
        <v>1.2077730403630285</v>
      </c>
      <c r="Q16" s="3">
        <f t="shared" si="11"/>
        <v>0.82797012897342304</v>
      </c>
      <c r="R16" s="13">
        <f t="shared" si="15"/>
        <v>0.31333582667053461</v>
      </c>
      <c r="S16" s="8">
        <f>1-GEVCUM(KVD!$D$87,KVD!$E$87,KVD!$F$87,$A16)</f>
        <v>0.76010201591698401</v>
      </c>
      <c r="T16" s="3">
        <f t="shared" si="16"/>
        <v>1.4275415123272097</v>
      </c>
      <c r="U16" s="9">
        <f t="shared" si="17"/>
        <v>0.7005050230516785</v>
      </c>
      <c r="V16" s="32">
        <f t="shared" si="18"/>
        <v>0.3437809587800118</v>
      </c>
    </row>
    <row r="17" spans="1:22" x14ac:dyDescent="0.25">
      <c r="A17" s="23">
        <f t="shared" si="4"/>
        <v>82.5</v>
      </c>
      <c r="B17" s="13">
        <f t="shared" si="5"/>
        <v>80</v>
      </c>
      <c r="C17" s="8">
        <f>1-GEVCUM(KVD!$D$83,KVD!$E$83,KVD!$F$83,$A17)</f>
        <v>3.4363021571327312E-2</v>
      </c>
      <c r="D17" s="3">
        <f t="shared" si="0"/>
        <v>3.4967314127738847E-2</v>
      </c>
      <c r="E17" s="3">
        <f t="shared" si="1"/>
        <v>28.598135857587092</v>
      </c>
      <c r="F17" s="32">
        <f t="shared" si="6"/>
        <v>1.492260524699484E-2</v>
      </c>
      <c r="G17" s="8">
        <f>1-GEVCUM(KVD!$D$84,KVD!$E$84,KVD!$F$84,$A17)</f>
        <v>9.1912163572448025E-2</v>
      </c>
      <c r="H17" s="3">
        <f t="shared" si="2"/>
        <v>9.6414168905792144E-2</v>
      </c>
      <c r="I17" s="3">
        <f t="shared" si="3"/>
        <v>10.371919515036387</v>
      </c>
      <c r="J17" s="13">
        <f t="shared" si="7"/>
        <v>3.8436805207676769E-2</v>
      </c>
      <c r="K17" s="8">
        <f>1-GEVCUM(KVD!$D$85,KVD!$E$85,KVD!$F$85,$A17)</f>
        <v>0.25992623100625789</v>
      </c>
      <c r="L17" s="3">
        <f t="shared" si="8"/>
        <v>0.30100540992304187</v>
      </c>
      <c r="M17" s="3">
        <f t="shared" si="9"/>
        <v>3.3221994257700227</v>
      </c>
      <c r="N17" s="13">
        <f t="shared" si="14"/>
        <v>0.10483955286197227</v>
      </c>
      <c r="O17" s="8">
        <f>1-GEVCUM(KVD!$D$86,KVD!$E$86,KVD!$F$86,$A17)</f>
        <v>0.61580786921256514</v>
      </c>
      <c r="P17" s="3">
        <f t="shared" si="10"/>
        <v>0.95661251093074984</v>
      </c>
      <c r="Q17" s="3">
        <f t="shared" si="11"/>
        <v>1.045355343541384</v>
      </c>
      <c r="R17" s="13">
        <f t="shared" si="15"/>
        <v>0.25116052943227862</v>
      </c>
      <c r="S17" s="8">
        <f>1-GEVCUM(KVD!$D$87,KVD!$E$87,KVD!$F$87,$A17)</f>
        <v>0.68243287870355052</v>
      </c>
      <c r="T17" s="3">
        <f t="shared" si="16"/>
        <v>1.1470660773343093</v>
      </c>
      <c r="U17" s="9">
        <f t="shared" si="17"/>
        <v>0.87178935874724917</v>
      </c>
      <c r="V17" s="32">
        <f t="shared" si="18"/>
        <v>0.2804754349929004</v>
      </c>
    </row>
    <row r="18" spans="1:22" x14ac:dyDescent="0.25">
      <c r="A18" s="23">
        <f t="shared" si="4"/>
        <v>87.5</v>
      </c>
      <c r="B18" s="13">
        <f t="shared" si="5"/>
        <v>85</v>
      </c>
      <c r="C18" s="8">
        <f>1-GEVCUM(KVD!$D$83,KVD!$E$83,KVD!$F$83,$A18)</f>
        <v>2.4426226009978347E-2</v>
      </c>
      <c r="D18" s="3">
        <f t="shared" si="0"/>
        <v>2.4729494930744462E-2</v>
      </c>
      <c r="E18" s="3">
        <f t="shared" si="1"/>
        <v>40.43754240838819</v>
      </c>
      <c r="F18" s="32">
        <f t="shared" si="6"/>
        <v>1.0237819196994385E-2</v>
      </c>
      <c r="G18" s="8">
        <f>1-GEVCUM(KVD!$D$84,KVD!$E$84,KVD!$F$84,$A18)</f>
        <v>6.7010141493638931E-2</v>
      </c>
      <c r="H18" s="3">
        <f t="shared" si="2"/>
        <v>6.9360947961971328E-2</v>
      </c>
      <c r="I18" s="3">
        <f t="shared" si="3"/>
        <v>14.417334672938324</v>
      </c>
      <c r="J18" s="13">
        <f t="shared" si="7"/>
        <v>2.7053220943820816E-2</v>
      </c>
      <c r="K18" s="8">
        <f>1-GEVCUM(KVD!$D$85,KVD!$E$85,KVD!$F$85,$A18)</f>
        <v>0.20043275062373389</v>
      </c>
      <c r="L18" s="3">
        <f t="shared" si="8"/>
        <v>0.2236846359537718</v>
      </c>
      <c r="M18" s="3">
        <f t="shared" si="9"/>
        <v>4.4705797326494379</v>
      </c>
      <c r="N18" s="13">
        <f t="shared" si="14"/>
        <v>7.7320773969270062E-2</v>
      </c>
      <c r="O18" s="8">
        <f>1-GEVCUM(KVD!$D$86,KVD!$E$86,KVD!$F$86,$A18)</f>
        <v>0.5303507721387315</v>
      </c>
      <c r="P18" s="3">
        <f t="shared" si="10"/>
        <v>0.75576918661563852</v>
      </c>
      <c r="Q18" s="3">
        <f t="shared" si="11"/>
        <v>1.3231552935864399</v>
      </c>
      <c r="R18" s="13">
        <f t="shared" si="15"/>
        <v>0.20084332431511143</v>
      </c>
      <c r="S18" s="8">
        <f>1-GEVCUM(KVD!$D$87,KVD!$E$87,KVD!$F$87,$A18)</f>
        <v>0.60103589620164632</v>
      </c>
      <c r="T18" s="3">
        <f t="shared" si="16"/>
        <v>0.91888383155706443</v>
      </c>
      <c r="U18" s="9">
        <f t="shared" si="17"/>
        <v>1.0882768481250593</v>
      </c>
      <c r="V18" s="32">
        <f t="shared" si="18"/>
        <v>0.22818224577724489</v>
      </c>
    </row>
    <row r="19" spans="1:22" x14ac:dyDescent="0.25">
      <c r="A19" s="23">
        <f t="shared" si="4"/>
        <v>92.5</v>
      </c>
      <c r="B19" s="13">
        <f t="shared" si="5"/>
        <v>90</v>
      </c>
      <c r="C19" s="8">
        <f>1-GEVCUM(KVD!$D$83,KVD!$E$83,KVD!$F$83,$A19)</f>
        <v>1.7484550172570001E-2</v>
      </c>
      <c r="D19" s="3">
        <f t="shared" si="0"/>
        <v>1.763921034716158E-2</v>
      </c>
      <c r="E19" s="3">
        <f t="shared" si="1"/>
        <v>56.691880209984305</v>
      </c>
      <c r="F19" s="32">
        <f t="shared" si="6"/>
        <v>7.0902845835828822E-3</v>
      </c>
      <c r="G19" s="8">
        <f>1-GEVCUM(KVD!$D$84,KVD!$E$84,KVD!$F$84,$A19)</f>
        <v>4.8958110329263116E-2</v>
      </c>
      <c r="H19" s="3">
        <f t="shared" si="2"/>
        <v>5.0197169382924067E-2</v>
      </c>
      <c r="I19" s="3">
        <f t="shared" si="3"/>
        <v>19.921442031354406</v>
      </c>
      <c r="J19" s="13">
        <f t="shared" si="7"/>
        <v>1.9163778579047261E-2</v>
      </c>
      <c r="K19" s="8">
        <f>1-GEVCUM(KVD!$D$85,KVD!$E$85,KVD!$F$85,$A19)</f>
        <v>0.15341629341926943</v>
      </c>
      <c r="L19" s="3">
        <f t="shared" si="8"/>
        <v>0.16654619679191268</v>
      </c>
      <c r="M19" s="3">
        <f t="shared" si="9"/>
        <v>6.0043400525646771</v>
      </c>
      <c r="N19" s="13">
        <f t="shared" si="14"/>
        <v>5.7138439161859123E-2</v>
      </c>
      <c r="O19" s="8">
        <f>1-GEVCUM(KVD!$D$86,KVD!$E$86,KVD!$F$86,$A19)</f>
        <v>0.44874253853328461</v>
      </c>
      <c r="P19" s="3">
        <f t="shared" si="10"/>
        <v>0.59555331677215917</v>
      </c>
      <c r="Q19" s="3">
        <f t="shared" si="11"/>
        <v>1.6791107896433226</v>
      </c>
      <c r="R19" s="13">
        <f t="shared" si="15"/>
        <v>0.16021586984347924</v>
      </c>
      <c r="S19" s="8">
        <f>1-GEVCUM(KVD!$D$87,KVD!$E$87,KVD!$F$87,$A19)</f>
        <v>0.51991062221996809</v>
      </c>
      <c r="T19" s="3">
        <f t="shared" si="16"/>
        <v>0.73378298870555947</v>
      </c>
      <c r="U19" s="9">
        <f t="shared" si="17"/>
        <v>1.362800739989986</v>
      </c>
      <c r="V19" s="32">
        <f t="shared" si="18"/>
        <v>0.18510084285150497</v>
      </c>
    </row>
    <row r="20" spans="1:22" x14ac:dyDescent="0.25">
      <c r="A20" s="23">
        <f t="shared" si="4"/>
        <v>97.5</v>
      </c>
      <c r="B20" s="13">
        <f t="shared" si="5"/>
        <v>95</v>
      </c>
      <c r="C20" s="8">
        <f>1-GEVCUM(KVD!$D$83,KVD!$E$83,KVD!$F$83,$A20)</f>
        <v>1.2604446507525791E-2</v>
      </c>
      <c r="D20" s="3">
        <f t="shared" si="0"/>
        <v>1.2684556415970534E-2</v>
      </c>
      <c r="E20" s="3">
        <f t="shared" si="1"/>
        <v>78.836024469956755</v>
      </c>
      <c r="F20" s="32">
        <f t="shared" si="6"/>
        <v>4.954653931191046E-3</v>
      </c>
      <c r="G20" s="8">
        <f>1-GEVCUM(KVD!$D$84,KVD!$E$84,KVD!$F$84,$A20)</f>
        <v>3.5878265534629472E-2</v>
      </c>
      <c r="H20" s="3">
        <f t="shared" si="2"/>
        <v>3.6537711778573824E-2</v>
      </c>
      <c r="I20" s="3">
        <f t="shared" si="3"/>
        <v>27.368982657157328</v>
      </c>
      <c r="J20" s="13">
        <f t="shared" si="7"/>
        <v>1.3659457604350243E-2</v>
      </c>
      <c r="K20" s="8">
        <f>1-GEVCUM(KVD!$D$85,KVD!$E$85,KVD!$F$85,$A20)</f>
        <v>0.11683157966868329</v>
      </c>
      <c r="L20" s="3">
        <f t="shared" si="8"/>
        <v>0.12423936006401352</v>
      </c>
      <c r="M20" s="3">
        <f t="shared" si="9"/>
        <v>8.0489789989642286</v>
      </c>
      <c r="N20" s="13">
        <f t="shared" si="14"/>
        <v>4.2306836727899144E-2</v>
      </c>
      <c r="O20" s="8">
        <f>1-GEVCUM(KVD!$D$86,KVD!$E$86,KVD!$F$86,$A20)</f>
        <v>0.37378679661885639</v>
      </c>
      <c r="P20" s="3">
        <f t="shared" si="10"/>
        <v>0.46806438538534528</v>
      </c>
      <c r="Q20" s="3">
        <f t="shared" si="11"/>
        <v>2.1364582122109672</v>
      </c>
      <c r="R20" s="13">
        <f t="shared" si="15"/>
        <v>0.12748893138681389</v>
      </c>
      <c r="S20" s="8">
        <f>1-GEVCUM(KVD!$D$87,KVD!$E$87,KVD!$F$87,$A20)</f>
        <v>0.44237981938140336</v>
      </c>
      <c r="T20" s="3">
        <f t="shared" si="16"/>
        <v>0.58407722826355302</v>
      </c>
      <c r="U20" s="9">
        <f t="shared" si="17"/>
        <v>1.7121023584038277</v>
      </c>
      <c r="V20" s="32">
        <f t="shared" si="18"/>
        <v>0.14970576044200645</v>
      </c>
    </row>
    <row r="21" spans="1:22" x14ac:dyDescent="0.25">
      <c r="A21" s="23">
        <f t="shared" si="4"/>
        <v>102.5</v>
      </c>
      <c r="B21" s="13">
        <f t="shared" si="5"/>
        <v>100</v>
      </c>
      <c r="C21" s="8">
        <f>1-GEVCUM(KVD!$D$83,KVD!$E$83,KVD!$F$83,$A21)</f>
        <v>9.1504615164692549E-3</v>
      </c>
      <c r="D21" s="3">
        <f t="shared" si="0"/>
        <v>9.1925841473646901E-3</v>
      </c>
      <c r="E21" s="3">
        <f t="shared" si="1"/>
        <v>108.7833392622985</v>
      </c>
      <c r="F21" s="32">
        <f t="shared" si="6"/>
        <v>3.4919722686058436E-3</v>
      </c>
      <c r="G21" s="8">
        <f>1-GEVCUM(KVD!$D$84,KVD!$E$84,KVD!$F$84,$A21)</f>
        <v>2.6388808672022201E-2</v>
      </c>
      <c r="H21" s="3">
        <f t="shared" si="2"/>
        <v>2.6743242584438671E-2</v>
      </c>
      <c r="I21" s="3">
        <f t="shared" si="3"/>
        <v>37.392623457780651</v>
      </c>
      <c r="J21" s="13">
        <f t="shared" si="7"/>
        <v>9.794469194135149E-3</v>
      </c>
      <c r="K21" s="8">
        <f>1-GEVCUM(KVD!$D$85,KVD!$E$85,KVD!$F$85,$A21)</f>
        <v>8.8673146745651521E-2</v>
      </c>
      <c r="L21" s="3">
        <f t="shared" si="8"/>
        <v>9.2853660939164695E-2</v>
      </c>
      <c r="M21" s="3">
        <f t="shared" si="9"/>
        <v>10.76963460444682</v>
      </c>
      <c r="N21" s="13">
        <f t="shared" si="14"/>
        <v>3.1385699124848856E-2</v>
      </c>
      <c r="O21" s="8">
        <f>1-GEVCUM(KVD!$D$86,KVD!$E$86,KVD!$F$86,$A21)</f>
        <v>0.30710387591944721</v>
      </c>
      <c r="P21" s="3">
        <f t="shared" si="10"/>
        <v>0.36687518412898296</v>
      </c>
      <c r="Q21" s="3">
        <f t="shared" si="11"/>
        <v>2.7257226524441847</v>
      </c>
      <c r="R21" s="13">
        <f t="shared" si="15"/>
        <v>0.10118920125636233</v>
      </c>
      <c r="S21" s="8">
        <f>1-GEVCUM(KVD!$D$87,KVD!$E$87,KVD!$F$87,$A21)</f>
        <v>0.37083995469832465</v>
      </c>
      <c r="T21" s="3">
        <f t="shared" si="16"/>
        <v>0.46336961060627213</v>
      </c>
      <c r="U21" s="9">
        <f t="shared" si="17"/>
        <v>2.1581044097639492</v>
      </c>
      <c r="V21" s="32">
        <f t="shared" si="18"/>
        <v>0.12070761765728083</v>
      </c>
    </row>
    <row r="22" spans="1:22" x14ac:dyDescent="0.25">
      <c r="A22" s="23">
        <f t="shared" si="4"/>
        <v>107.5</v>
      </c>
      <c r="B22" s="13">
        <f t="shared" si="5"/>
        <v>105</v>
      </c>
      <c r="C22" s="8">
        <f>1-GEVCUM(KVD!$D$83,KVD!$E$83,KVD!$F$83,$A22)</f>
        <v>6.6889039803208483E-3</v>
      </c>
      <c r="D22" s="3">
        <f t="shared" si="0"/>
        <v>6.7113749587493056E-3</v>
      </c>
      <c r="E22" s="3">
        <f t="shared" si="1"/>
        <v>149.00076454472966</v>
      </c>
      <c r="F22" s="32">
        <f t="shared" si="6"/>
        <v>9.1925841473646901E-3</v>
      </c>
      <c r="G22" s="8">
        <f>1-GEVCUM(KVD!$D$84,KVD!$E$84,KVD!$F$84,$A22)</f>
        <v>1.9487145431375419E-2</v>
      </c>
      <c r="H22" s="3">
        <f t="shared" si="2"/>
        <v>1.967952321380113E-2</v>
      </c>
      <c r="I22" s="3">
        <f t="shared" si="3"/>
        <v>50.81423920365642</v>
      </c>
      <c r="J22" s="13">
        <f t="shared" si="7"/>
        <v>7.0637193706375445E-3</v>
      </c>
      <c r="K22" s="8">
        <f>1-GEVCUM(KVD!$D$85,KVD!$E$85,KVD!$F$85,$A22)</f>
        <v>6.7163608816502962E-2</v>
      </c>
      <c r="L22" s="3">
        <f t="shared" si="8"/>
        <v>6.952545130008829E-2</v>
      </c>
      <c r="M22" s="3">
        <f t="shared" si="9"/>
        <v>14.383221989940971</v>
      </c>
      <c r="N22" s="13">
        <f t="shared" si="14"/>
        <v>2.3328209639076392E-2</v>
      </c>
      <c r="O22" s="8">
        <f>1-GEVCUM(KVD!$D$86,KVD!$E$86,KVD!$F$86,$A22)</f>
        <v>0.24931493071483346</v>
      </c>
      <c r="P22" s="3">
        <f t="shared" si="10"/>
        <v>0.28676906365762866</v>
      </c>
      <c r="Q22" s="3">
        <f t="shared" si="11"/>
        <v>3.4871264956037664</v>
      </c>
      <c r="R22" s="13">
        <f t="shared" si="15"/>
        <v>8.0106120471354292E-2</v>
      </c>
      <c r="S22" s="8">
        <f>1-GEVCUM(KVD!$D$87,KVD!$E$87,KVD!$F$87,$A22)</f>
        <v>0.3067401610381133</v>
      </c>
      <c r="T22" s="3">
        <f t="shared" si="16"/>
        <v>0.36635040207071767</v>
      </c>
      <c r="U22" s="9">
        <f t="shared" si="17"/>
        <v>2.7296271393390397</v>
      </c>
      <c r="V22" s="32">
        <f t="shared" si="18"/>
        <v>9.7019208535554569E-2</v>
      </c>
    </row>
    <row r="23" spans="1:22" x14ac:dyDescent="0.25">
      <c r="A23" s="23">
        <f t="shared" si="4"/>
        <v>112.5</v>
      </c>
      <c r="B23" s="13">
        <f t="shared" si="5"/>
        <v>110</v>
      </c>
      <c r="C23" s="8"/>
      <c r="D23" s="3"/>
      <c r="E23" s="3"/>
      <c r="F23" s="32"/>
      <c r="G23" s="8">
        <f>1-GEVCUM(KVD!$D$84,KVD!$E$84,KVD!$F$84,$A23)</f>
        <v>1.4451307222839271E-2</v>
      </c>
      <c r="H23" s="3">
        <f t="shared" si="2"/>
        <v>1.4556744399240892E-2</v>
      </c>
      <c r="I23" s="3">
        <f t="shared" si="3"/>
        <v>68.696679186875613</v>
      </c>
      <c r="J23" s="13">
        <f t="shared" si="7"/>
        <v>1.967952321380113E-2</v>
      </c>
      <c r="K23" s="8">
        <f>1-GEVCUM(KVD!$D$85,KVD!$E$85,KVD!$F$85,$A23)</f>
        <v>5.0816834797312915E-2</v>
      </c>
      <c r="L23" s="3">
        <f t="shared" si="8"/>
        <v>5.2153490352475206E-2</v>
      </c>
      <c r="M23" s="3">
        <f t="shared" si="9"/>
        <v>19.174172107016801</v>
      </c>
      <c r="N23" s="13">
        <f t="shared" si="14"/>
        <v>1.7371960947613077E-2</v>
      </c>
      <c r="O23" s="8">
        <f>1-GEVCUM(KVD!$D$86,KVD!$E$86,KVD!$F$86,$A23)</f>
        <v>0.20030258933528511</v>
      </c>
      <c r="P23" s="3">
        <f t="shared" si="10"/>
        <v>0.22352185953284742</v>
      </c>
      <c r="Q23" s="3">
        <f t="shared" si="11"/>
        <v>4.47383536487198</v>
      </c>
      <c r="R23" s="13">
        <f t="shared" si="15"/>
        <v>6.3247204124781214E-2</v>
      </c>
      <c r="S23" s="8">
        <f>1-GEVCUM(KVD!$D$87,KVD!$E$87,KVD!$F$87,$A23)</f>
        <v>0.25070635804493979</v>
      </c>
      <c r="T23" s="3">
        <f t="shared" si="16"/>
        <v>0.28862432696075091</v>
      </c>
      <c r="U23" s="9">
        <f t="shared" si="17"/>
        <v>3.4647114140728226</v>
      </c>
      <c r="V23" s="32">
        <f t="shared" si="18"/>
        <v>7.7726075109966708E-2</v>
      </c>
    </row>
    <row r="24" spans="1:22" x14ac:dyDescent="0.25">
      <c r="A24" s="23">
        <f t="shared" si="4"/>
        <v>117.5</v>
      </c>
      <c r="B24" s="13">
        <f t="shared" si="5"/>
        <v>115</v>
      </c>
      <c r="C24" s="8"/>
      <c r="D24" s="3"/>
      <c r="E24" s="3"/>
      <c r="F24" s="32"/>
      <c r="G24" s="8"/>
      <c r="H24" s="3"/>
      <c r="I24" s="3"/>
      <c r="J24" s="13"/>
      <c r="K24" s="8">
        <f>1-GEVCUM(KVD!$D$85,KVD!$E$85,KVD!$F$85,$A24)</f>
        <v>3.8434823082721947E-2</v>
      </c>
      <c r="L24" s="3">
        <f t="shared" si="8"/>
        <v>3.9192929545280135E-2</v>
      </c>
      <c r="M24" s="3">
        <f t="shared" si="9"/>
        <v>25.514806155143013</v>
      </c>
      <c r="N24" s="13">
        <f t="shared" si="14"/>
        <v>1.2960560807195078E-2</v>
      </c>
      <c r="O24" s="8">
        <f>1-GEVCUM(KVD!$D$86,KVD!$E$86,KVD!$F$86,$A24)</f>
        <v>0.15946885870550875</v>
      </c>
      <c r="P24" s="3">
        <f t="shared" si="10"/>
        <v>0.17372127590431891</v>
      </c>
      <c r="Q24" s="3">
        <f t="shared" si="11"/>
        <v>5.7563473143656489</v>
      </c>
      <c r="R24" s="13">
        <f t="shared" si="15"/>
        <v>4.9800583628528544E-2</v>
      </c>
      <c r="S24" s="8">
        <f>1-GEVCUM(KVD!$D$87,KVD!$E$87,KVD!$F$87,$A24)</f>
        <v>0.20273112917809422</v>
      </c>
      <c r="T24" s="3">
        <f t="shared" si="16"/>
        <v>0.22656330347945935</v>
      </c>
      <c r="U24" s="9">
        <f t="shared" si="17"/>
        <v>4.4137774504628098</v>
      </c>
      <c r="V24" s="32">
        <f t="shared" si="18"/>
        <v>6.2061023481291555E-2</v>
      </c>
    </row>
    <row r="25" spans="1:22" x14ac:dyDescent="0.25">
      <c r="A25" s="23">
        <f t="shared" si="4"/>
        <v>122.5</v>
      </c>
      <c r="B25" s="13">
        <f t="shared" si="5"/>
        <v>120</v>
      </c>
      <c r="C25" s="8"/>
      <c r="D25" s="3"/>
      <c r="E25" s="3"/>
      <c r="F25" s="32"/>
      <c r="G25" s="8"/>
      <c r="H25" s="3"/>
      <c r="I25" s="3"/>
      <c r="J25" s="13"/>
      <c r="K25" s="8">
        <f>1-GEVCUM(KVD!$D$85,KVD!$E$85,KVD!$F$85,$A25)</f>
        <v>2.9074731504972307E-2</v>
      </c>
      <c r="L25" s="3">
        <f t="shared" si="8"/>
        <v>2.9505777097523677E-2</v>
      </c>
      <c r="M25" s="3">
        <f t="shared" si="9"/>
        <v>33.891667950135997</v>
      </c>
      <c r="N25" s="13">
        <f t="shared" si="14"/>
        <v>3.9192929545280135E-2</v>
      </c>
      <c r="O25" s="8">
        <f>1-GEVCUM(KVD!$D$86,KVD!$E$86,KVD!$F$86,$A25)</f>
        <v>0.12594992714951891</v>
      </c>
      <c r="P25" s="3">
        <f t="shared" si="10"/>
        <v>0.13461761337676265</v>
      </c>
      <c r="Q25" s="3">
        <f t="shared" si="11"/>
        <v>7.4284484393675747</v>
      </c>
      <c r="R25" s="13">
        <f t="shared" si="15"/>
        <v>3.910366252755626E-2</v>
      </c>
      <c r="S25" s="8">
        <f>1-GEVCUM(KVD!$D$87,KVD!$E$87,KVD!$F$87,$A25)</f>
        <v>0.16237200915068706</v>
      </c>
      <c r="T25" s="3">
        <f t="shared" si="16"/>
        <v>0.17718120206474813</v>
      </c>
      <c r="U25" s="9">
        <f t="shared" si="17"/>
        <v>5.6439395847115064</v>
      </c>
      <c r="V25" s="32">
        <f t="shared" si="18"/>
        <v>4.9382101414711221E-2</v>
      </c>
    </row>
    <row r="26" spans="1:22" x14ac:dyDescent="0.25">
      <c r="A26" s="23">
        <f t="shared" si="4"/>
        <v>127.5</v>
      </c>
      <c r="B26" s="13">
        <f t="shared" si="5"/>
        <v>125</v>
      </c>
      <c r="C26" s="8"/>
      <c r="D26" s="3"/>
      <c r="E26" s="3"/>
      <c r="F26" s="32"/>
      <c r="G26" s="8"/>
      <c r="H26" s="3"/>
      <c r="I26" s="3"/>
      <c r="J26" s="13"/>
      <c r="K26" s="8"/>
      <c r="L26" s="3"/>
      <c r="M26" s="3"/>
      <c r="N26" s="13"/>
      <c r="O26" s="8">
        <f>1-GEVCUM(KVD!$D$86,KVD!$E$86,KVD!$F$86,$A26)</f>
        <v>9.8775308106377357E-2</v>
      </c>
      <c r="P26" s="3">
        <f t="shared" si="10"/>
        <v>0.10400067189390633</v>
      </c>
      <c r="Q26" s="3">
        <f t="shared" si="11"/>
        <v>9.6153224954173844</v>
      </c>
      <c r="R26" s="13">
        <f t="shared" si="15"/>
        <v>3.0616941482856319E-2</v>
      </c>
      <c r="S26" s="8">
        <f>1-GEVCUM(KVD!$D$87,KVD!$E$87,KVD!$F$87,$A26)</f>
        <v>0.12892534430300429</v>
      </c>
      <c r="T26" s="3">
        <f t="shared" si="16"/>
        <v>0.13802759317703883</v>
      </c>
      <c r="U26" s="9">
        <f t="shared" si="17"/>
        <v>7.2449281841592814</v>
      </c>
      <c r="V26" s="32">
        <f t="shared" si="18"/>
        <v>3.9153608887709301E-2</v>
      </c>
    </row>
    <row r="27" spans="1:22" x14ac:dyDescent="0.25">
      <c r="A27" s="23">
        <f t="shared" si="4"/>
        <v>132.5</v>
      </c>
      <c r="B27" s="13">
        <f t="shared" si="5"/>
        <v>130</v>
      </c>
      <c r="C27" s="8"/>
      <c r="D27" s="3"/>
      <c r="E27" s="3"/>
      <c r="F27" s="32"/>
      <c r="G27" s="8"/>
      <c r="H27" s="3"/>
      <c r="I27" s="3"/>
      <c r="J27" s="13"/>
      <c r="K27" s="8"/>
      <c r="L27" s="3"/>
      <c r="M27" s="3"/>
      <c r="N27" s="13"/>
      <c r="O27" s="8">
        <f>1-GEVCUM(KVD!$D$86,KVD!$E$86,KVD!$F$86,$A27)</f>
        <v>7.6974545093065005E-2</v>
      </c>
      <c r="P27" s="3">
        <f t="shared" si="10"/>
        <v>8.0098466412179756E-2</v>
      </c>
      <c r="Q27" s="3">
        <f t="shared" si="11"/>
        <v>12.484633536603395</v>
      </c>
      <c r="R27" s="13">
        <f t="shared" si="15"/>
        <v>2.3902205481726571E-2</v>
      </c>
      <c r="S27" s="8">
        <f>1-GEVCUM(KVD!$D$87,KVD!$E$87,KVD!$F$87,$A27)</f>
        <v>0.10156222763249101</v>
      </c>
      <c r="T27" s="3">
        <f t="shared" si="16"/>
        <v>0.10709783239953348</v>
      </c>
      <c r="U27" s="9">
        <f t="shared" si="17"/>
        <v>9.3372571376557207</v>
      </c>
      <c r="V27" s="32">
        <f t="shared" si="18"/>
        <v>3.0929760777505366E-2</v>
      </c>
    </row>
    <row r="28" spans="1:22" x14ac:dyDescent="0.25">
      <c r="A28" s="23">
        <f t="shared" si="4"/>
        <v>137.5</v>
      </c>
      <c r="B28" s="13">
        <f t="shared" si="5"/>
        <v>135</v>
      </c>
      <c r="C28" s="8"/>
      <c r="D28" s="3"/>
      <c r="E28" s="3"/>
      <c r="F28" s="32"/>
      <c r="G28" s="8"/>
      <c r="H28" s="3"/>
      <c r="I28" s="3"/>
      <c r="J28" s="13"/>
      <c r="K28" s="8"/>
      <c r="L28" s="3"/>
      <c r="M28" s="3"/>
      <c r="N28" s="13"/>
      <c r="O28" s="8">
        <f>1-GEVCUM(KVD!$D$86,KVD!$E$86,KVD!$F$86,$A28)</f>
        <v>5.9641488646049678E-2</v>
      </c>
      <c r="P28" s="3">
        <f t="shared" si="10"/>
        <v>6.1494081373300848E-2</v>
      </c>
      <c r="Q28" s="3">
        <f t="shared" si="11"/>
        <v>16.261727595042576</v>
      </c>
      <c r="R28" s="13">
        <f t="shared" si="15"/>
        <v>1.8604385038878908E-2</v>
      </c>
      <c r="S28" s="8">
        <f>1-GEVCUM(KVD!$D$87,KVD!$E$87,KVD!$F$87,$A28)</f>
        <v>7.9425335371104411E-2</v>
      </c>
      <c r="T28" s="3">
        <f t="shared" si="16"/>
        <v>8.2757168476393153E-2</v>
      </c>
      <c r="U28" s="9">
        <f t="shared" si="17"/>
        <v>12.083545370275138</v>
      </c>
      <c r="V28" s="32">
        <f t="shared" si="18"/>
        <v>2.4340663923140313E-2</v>
      </c>
    </row>
    <row r="29" spans="1:22" x14ac:dyDescent="0.25">
      <c r="A29" s="23">
        <f t="shared" si="4"/>
        <v>142.5</v>
      </c>
      <c r="B29" s="13">
        <f t="shared" si="5"/>
        <v>140</v>
      </c>
      <c r="C29" s="8"/>
      <c r="D29" s="3"/>
      <c r="E29" s="3"/>
      <c r="F29" s="32"/>
      <c r="G29" s="8"/>
      <c r="H29" s="3"/>
      <c r="I29" s="3"/>
      <c r="J29" s="13"/>
      <c r="K29" s="8"/>
      <c r="L29" s="3"/>
      <c r="M29" s="3"/>
      <c r="N29" s="13"/>
      <c r="O29" s="8">
        <f>1-GEVCUM(KVD!$D$86,KVD!$E$86,KVD!$F$86,$A29)</f>
        <v>4.5967533255880877E-2</v>
      </c>
      <c r="P29" s="3">
        <f t="shared" si="10"/>
        <v>4.705757588639365E-2</v>
      </c>
      <c r="Q29" s="3">
        <f t="shared" si="11"/>
        <v>21.250563403737562</v>
      </c>
      <c r="R29" s="13">
        <f t="shared" si="15"/>
        <v>1.4436505486907204E-2</v>
      </c>
      <c r="S29" s="8">
        <f>1-GEVCUM(KVD!$D$87,KVD!$E$87,KVD!$F$87,$A29)</f>
        <v>6.1691843564115834E-2</v>
      </c>
      <c r="T29" s="3">
        <f t="shared" si="16"/>
        <v>6.3676858943477938E-2</v>
      </c>
      <c r="U29" s="9">
        <f t="shared" si="17"/>
        <v>15.704292212146315</v>
      </c>
      <c r="V29" s="32">
        <f t="shared" si="18"/>
        <v>1.9080309532915216E-2</v>
      </c>
    </row>
    <row r="30" spans="1:22" x14ac:dyDescent="0.25">
      <c r="A30" s="23">
        <f t="shared" si="4"/>
        <v>147.5</v>
      </c>
      <c r="B30" s="13">
        <f t="shared" si="5"/>
        <v>145</v>
      </c>
      <c r="C30" s="8"/>
      <c r="D30" s="3"/>
      <c r="E30" s="3"/>
      <c r="F30" s="32"/>
      <c r="G30" s="8"/>
      <c r="H30" s="3"/>
      <c r="I30" s="3"/>
      <c r="J30" s="13"/>
      <c r="K30" s="8"/>
      <c r="L30" s="3"/>
      <c r="M30" s="3"/>
      <c r="N30" s="13"/>
      <c r="O30" s="8">
        <f>1-GEVCUM(KVD!$D$86,KVD!$E$86,KVD!$F$86,$A30)</f>
        <v>3.5253927295074261E-2</v>
      </c>
      <c r="P30" s="3">
        <f t="shared" si="10"/>
        <v>3.5890349363131777E-2</v>
      </c>
      <c r="Q30" s="3">
        <f t="shared" si="11"/>
        <v>27.862643238219523</v>
      </c>
      <c r="R30" s="13">
        <f t="shared" si="15"/>
        <v>1.1167226523261867E-2</v>
      </c>
      <c r="S30" s="8">
        <f>1-GEVCUM(KVD!$D$87,KVD!$E$87,KVD!$F$87,$A30)</f>
        <v>4.7609883829346611E-2</v>
      </c>
      <c r="T30" s="3">
        <f t="shared" si="16"/>
        <v>4.878054223653689E-2</v>
      </c>
      <c r="U30" s="9">
        <f t="shared" si="17"/>
        <v>20.499977125120896</v>
      </c>
      <c r="V30" s="32">
        <f t="shared" si="18"/>
        <v>1.4896316706941047E-2</v>
      </c>
    </row>
    <row r="31" spans="1:22" x14ac:dyDescent="0.25">
      <c r="A31" s="23">
        <f t="shared" si="4"/>
        <v>152.5</v>
      </c>
      <c r="B31" s="13">
        <f t="shared" si="5"/>
        <v>150</v>
      </c>
      <c r="C31" s="8"/>
      <c r="D31" s="3"/>
      <c r="E31" s="3"/>
      <c r="F31" s="32"/>
      <c r="G31" s="8"/>
      <c r="H31" s="3"/>
      <c r="I31" s="3"/>
      <c r="J31" s="13"/>
      <c r="K31" s="8"/>
      <c r="L31" s="3"/>
      <c r="M31" s="3"/>
      <c r="N31" s="13"/>
      <c r="O31" s="8">
        <f>1-GEVCUM(KVD!$D$86,KVD!$E$86,KVD!$F$86,$A31)</f>
        <v>2.6911066392717564E-2</v>
      </c>
      <c r="P31" s="3">
        <f t="shared" si="10"/>
        <v>2.7279799526656236E-2</v>
      </c>
      <c r="Q31" s="3">
        <f t="shared" si="11"/>
        <v>36.657160879164749</v>
      </c>
      <c r="R31" s="13">
        <f t="shared" si="15"/>
        <v>3.5890349363131777E-2</v>
      </c>
      <c r="S31" s="8">
        <f>1-GEVCUM(KVD!$D$87,KVD!$E$87,KVD!$F$87,$A31)</f>
        <v>3.6515952590170819E-2</v>
      </c>
      <c r="T31" s="3">
        <f t="shared" si="16"/>
        <v>3.7199348182448862E-2</v>
      </c>
      <c r="U31" s="9">
        <f t="shared" si="17"/>
        <v>26.882191459252855</v>
      </c>
      <c r="V31" s="32">
        <f t="shared" si="18"/>
        <v>1.1581194054088029E-2</v>
      </c>
    </row>
    <row r="32" spans="1:22" x14ac:dyDescent="0.25">
      <c r="A32" s="23">
        <f t="shared" si="4"/>
        <v>157.5</v>
      </c>
      <c r="B32" s="13">
        <f t="shared" si="5"/>
        <v>155</v>
      </c>
      <c r="C32" s="8"/>
      <c r="D32" s="3"/>
      <c r="E32" s="3"/>
      <c r="F32" s="32"/>
      <c r="G32" s="8"/>
      <c r="H32" s="3"/>
      <c r="I32" s="3"/>
      <c r="J32" s="13"/>
      <c r="K32" s="8"/>
      <c r="L32" s="3"/>
      <c r="M32" s="3"/>
      <c r="N32" s="13"/>
      <c r="O32" s="8"/>
      <c r="P32" s="3"/>
      <c r="Q32" s="3"/>
      <c r="R32" s="13"/>
      <c r="S32" s="8">
        <f>1-GEVCUM(KVD!$D$87,KVD!$E$87,KVD!$F$87,$A32)</f>
        <v>2.7839567236695784E-2</v>
      </c>
      <c r="T32" s="3">
        <f t="shared" si="16"/>
        <v>2.8234433858422725E-2</v>
      </c>
      <c r="U32" s="9">
        <f t="shared" si="17"/>
        <v>35.417745757338288</v>
      </c>
      <c r="V32" s="32">
        <f t="shared" si="18"/>
        <v>3.7199348182448862E-2</v>
      </c>
    </row>
    <row r="33" spans="1:22" x14ac:dyDescent="0.25">
      <c r="A33" s="23">
        <f t="shared" si="4"/>
        <v>162.5</v>
      </c>
      <c r="B33" s="13">
        <f t="shared" si="5"/>
        <v>160</v>
      </c>
      <c r="C33" s="8"/>
      <c r="D33" s="3"/>
      <c r="E33" s="3"/>
      <c r="F33" s="32"/>
      <c r="G33" s="8"/>
      <c r="H33" s="3"/>
      <c r="I33" s="3"/>
      <c r="J33" s="13"/>
      <c r="K33" s="8"/>
      <c r="L33" s="3"/>
      <c r="M33" s="3"/>
      <c r="N33" s="13"/>
      <c r="O33" s="8"/>
      <c r="P33" s="3"/>
      <c r="Q33" s="3"/>
      <c r="R33" s="13"/>
      <c r="S33" s="8"/>
      <c r="T33" s="3"/>
      <c r="U33" s="9"/>
      <c r="V33" s="32"/>
    </row>
    <row r="34" spans="1:22" x14ac:dyDescent="0.25">
      <c r="A34" s="23">
        <f t="shared" si="4"/>
        <v>167.5</v>
      </c>
      <c r="B34" s="13">
        <f t="shared" si="5"/>
        <v>165</v>
      </c>
      <c r="C34" s="8"/>
      <c r="D34" s="3"/>
      <c r="E34" s="3"/>
      <c r="F34" s="32"/>
      <c r="G34" s="8"/>
      <c r="H34" s="3"/>
      <c r="I34" s="3"/>
      <c r="J34" s="13"/>
      <c r="K34" s="8"/>
      <c r="L34" s="3"/>
      <c r="M34" s="3"/>
      <c r="N34" s="13"/>
      <c r="O34" s="8"/>
      <c r="P34" s="3"/>
      <c r="Q34" s="3"/>
      <c r="R34" s="13"/>
      <c r="S34" s="8"/>
      <c r="T34" s="3"/>
      <c r="U34" s="9"/>
      <c r="V34" s="32"/>
    </row>
    <row r="35" spans="1:22" x14ac:dyDescent="0.25">
      <c r="A35" s="23">
        <f t="shared" si="4"/>
        <v>172.5</v>
      </c>
      <c r="B35" s="13">
        <f t="shared" si="5"/>
        <v>170</v>
      </c>
      <c r="C35" s="8"/>
      <c r="D35" s="3"/>
      <c r="E35" s="3"/>
      <c r="F35" s="32"/>
      <c r="G35" s="8"/>
      <c r="H35" s="3"/>
      <c r="I35" s="3"/>
      <c r="J35" s="13"/>
      <c r="K35" s="8"/>
      <c r="L35" s="3"/>
      <c r="M35" s="3"/>
      <c r="N35" s="13"/>
      <c r="O35" s="8"/>
      <c r="P35" s="3"/>
      <c r="Q35" s="3"/>
      <c r="R35" s="13"/>
      <c r="S35" s="8"/>
      <c r="T35" s="3"/>
      <c r="U35" s="9"/>
      <c r="V35" s="32"/>
    </row>
    <row r="36" spans="1:22" x14ac:dyDescent="0.25">
      <c r="A36" s="23">
        <f t="shared" si="4"/>
        <v>177.5</v>
      </c>
      <c r="B36" s="13">
        <f t="shared" si="5"/>
        <v>175</v>
      </c>
      <c r="C36" s="8"/>
      <c r="D36" s="3"/>
      <c r="E36" s="3"/>
      <c r="F36" s="32"/>
      <c r="G36" s="8"/>
      <c r="H36" s="3"/>
      <c r="I36" s="3"/>
      <c r="J36" s="13"/>
      <c r="K36" s="8"/>
      <c r="L36" s="3"/>
      <c r="M36" s="3"/>
      <c r="N36" s="13"/>
      <c r="O36" s="8"/>
      <c r="P36" s="3"/>
      <c r="Q36" s="3"/>
      <c r="R36" s="13"/>
      <c r="S36" s="8"/>
      <c r="T36" s="3"/>
      <c r="U36" s="9"/>
      <c r="V36" s="32"/>
    </row>
    <row r="37" spans="1:22" x14ac:dyDescent="0.25">
      <c r="A37" s="14">
        <f t="shared" si="4"/>
        <v>182.5</v>
      </c>
      <c r="B37" s="15">
        <f t="shared" si="5"/>
        <v>180</v>
      </c>
      <c r="C37" s="10"/>
      <c r="D37" s="4"/>
      <c r="E37" s="4"/>
      <c r="F37" s="33"/>
      <c r="G37" s="10"/>
      <c r="H37" s="4"/>
      <c r="I37" s="4"/>
      <c r="J37" s="15"/>
      <c r="K37" s="10"/>
      <c r="L37" s="4"/>
      <c r="M37" s="4"/>
      <c r="N37" s="15"/>
      <c r="O37" s="8"/>
      <c r="P37" s="3"/>
      <c r="Q37" s="3"/>
      <c r="R37" s="13"/>
      <c r="S37" s="8"/>
      <c r="T37" s="3"/>
      <c r="U37" s="9"/>
      <c r="V37" s="32"/>
    </row>
    <row r="38" spans="1:22" x14ac:dyDescent="0.25">
      <c r="A38" s="14">
        <f t="shared" si="4"/>
        <v>187.5</v>
      </c>
      <c r="B38" s="15">
        <f t="shared" si="5"/>
        <v>185</v>
      </c>
      <c r="O38" s="8"/>
      <c r="P38" s="3"/>
      <c r="Q38" s="3"/>
      <c r="R38" s="13"/>
      <c r="S38" s="8"/>
      <c r="T38" s="3"/>
      <c r="U38" s="9"/>
      <c r="V38" s="32"/>
    </row>
    <row r="39" spans="1:22" x14ac:dyDescent="0.25">
      <c r="A39" s="14">
        <f t="shared" si="4"/>
        <v>192.5</v>
      </c>
      <c r="B39" s="15">
        <f t="shared" si="5"/>
        <v>190</v>
      </c>
      <c r="O39" s="8"/>
      <c r="P39" s="3"/>
      <c r="Q39" s="3"/>
      <c r="R39" s="13"/>
      <c r="S39" s="8"/>
      <c r="T39" s="3"/>
      <c r="U39" s="9"/>
      <c r="V39" s="32"/>
    </row>
    <row r="40" spans="1:22" x14ac:dyDescent="0.25">
      <c r="A40" s="14">
        <f t="shared" si="4"/>
        <v>197.5</v>
      </c>
      <c r="B40" s="15">
        <f t="shared" si="5"/>
        <v>195</v>
      </c>
      <c r="S40" s="8"/>
      <c r="T40" s="3"/>
      <c r="U40" s="9"/>
      <c r="V40" s="32"/>
    </row>
  </sheetData>
  <mergeCells count="11">
    <mergeCell ref="S2:U2"/>
    <mergeCell ref="A1:B2"/>
    <mergeCell ref="C1:F1"/>
    <mergeCell ref="G1:J1"/>
    <mergeCell ref="K1:N1"/>
    <mergeCell ref="O1:R1"/>
    <mergeCell ref="S1:V1"/>
    <mergeCell ref="C2:E2"/>
    <mergeCell ref="G2:I2"/>
    <mergeCell ref="K2:M2"/>
    <mergeCell ref="O2:Q2"/>
  </mergeCells>
  <pageMargins left="0.7" right="0.7" top="0.75" bottom="0.75" header="0.3" footer="0.3"/>
  <pageSetup paperSize="0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Blad21">
    <tabColor theme="6"/>
  </sheetPr>
  <dimension ref="A1:V40"/>
  <sheetViews>
    <sheetView topLeftCell="H1" workbookViewId="0">
      <selection activeCell="V6" sqref="V6:V33"/>
    </sheetView>
  </sheetViews>
  <sheetFormatPr defaultColWidth="9.140625" defaultRowHeight="15" x14ac:dyDescent="0.25"/>
  <cols>
    <col min="1" max="1" width="11.42578125" bestFit="1" customWidth="1"/>
    <col min="2" max="2" width="14" bestFit="1" customWidth="1"/>
    <col min="4" max="4" width="12.28515625" style="19" bestFit="1" customWidth="1"/>
    <col min="5" max="5" width="12" style="19" bestFit="1" customWidth="1"/>
    <col min="6" max="6" width="14.7109375" bestFit="1" customWidth="1"/>
    <col min="8" max="8" width="12.28515625" bestFit="1" customWidth="1"/>
    <col min="9" max="9" width="12" bestFit="1" customWidth="1"/>
    <col min="10" max="10" width="13.7109375" bestFit="1" customWidth="1"/>
    <col min="12" max="12" width="12.28515625" bestFit="1" customWidth="1"/>
    <col min="13" max="13" width="18.85546875" bestFit="1" customWidth="1"/>
    <col min="14" max="14" width="14.7109375" bestFit="1" customWidth="1"/>
    <col min="15" max="15" width="7.7109375" bestFit="1" customWidth="1"/>
    <col min="16" max="16" width="12.28515625" bestFit="1" customWidth="1"/>
    <col min="17" max="17" width="16.42578125" bestFit="1" customWidth="1"/>
    <col min="18" max="18" width="14.7109375" bestFit="1" customWidth="1"/>
    <col min="19" max="19" width="7.7109375" bestFit="1" customWidth="1"/>
    <col min="20" max="20" width="12.28515625" bestFit="1" customWidth="1"/>
    <col min="21" max="21" width="11.42578125" bestFit="1" customWidth="1"/>
    <col min="22" max="22" width="14.7109375" bestFit="1" customWidth="1"/>
  </cols>
  <sheetData>
    <row r="1" spans="1:22" x14ac:dyDescent="0.25">
      <c r="A1" s="50" t="s">
        <v>15</v>
      </c>
      <c r="B1" s="51"/>
      <c r="C1" s="63">
        <v>24</v>
      </c>
      <c r="D1" s="64"/>
      <c r="E1" s="64"/>
      <c r="F1" s="65"/>
      <c r="G1" s="66">
        <v>48</v>
      </c>
      <c r="H1" s="67"/>
      <c r="I1" s="67"/>
      <c r="J1" s="68"/>
      <c r="K1" s="66">
        <v>96</v>
      </c>
      <c r="L1" s="67"/>
      <c r="M1" s="67"/>
      <c r="N1" s="68"/>
      <c r="O1" s="66">
        <v>192</v>
      </c>
      <c r="P1" s="67"/>
      <c r="Q1" s="67"/>
      <c r="R1" s="68"/>
      <c r="S1" s="60">
        <v>216</v>
      </c>
      <c r="T1" s="61"/>
      <c r="U1" s="61"/>
      <c r="V1" s="62"/>
    </row>
    <row r="2" spans="1:22" x14ac:dyDescent="0.25">
      <c r="A2" s="52"/>
      <c r="B2" s="53"/>
      <c r="C2" s="57" t="s">
        <v>9</v>
      </c>
      <c r="D2" s="58"/>
      <c r="E2" s="59"/>
      <c r="F2" s="30">
        <f>24/24*365.25</f>
        <v>365.25</v>
      </c>
      <c r="G2" s="54" t="s">
        <v>9</v>
      </c>
      <c r="H2" s="55"/>
      <c r="I2" s="56"/>
      <c r="J2" s="30">
        <f>24/48*365.25</f>
        <v>182.625</v>
      </c>
      <c r="K2" s="54" t="s">
        <v>9</v>
      </c>
      <c r="L2" s="55"/>
      <c r="M2" s="56"/>
      <c r="N2" s="30">
        <f>24/96*365.25</f>
        <v>91.3125</v>
      </c>
      <c r="O2" s="54" t="s">
        <v>9</v>
      </c>
      <c r="P2" s="55"/>
      <c r="Q2" s="56"/>
      <c r="R2" s="30">
        <f>24/192*365.25</f>
        <v>45.65625</v>
      </c>
      <c r="S2" s="54" t="s">
        <v>9</v>
      </c>
      <c r="T2" s="55"/>
      <c r="U2" s="56"/>
      <c r="V2" s="30">
        <f>24/216*365.25</f>
        <v>40.583333333333329</v>
      </c>
    </row>
    <row r="3" spans="1:22" x14ac:dyDescent="0.25">
      <c r="A3" s="24" t="s">
        <v>12</v>
      </c>
      <c r="B3" s="27" t="s">
        <v>14</v>
      </c>
      <c r="C3" s="24" t="s">
        <v>8</v>
      </c>
      <c r="D3" s="25" t="s">
        <v>10</v>
      </c>
      <c r="E3" s="26" t="s">
        <v>17</v>
      </c>
      <c r="F3" s="36" t="s">
        <v>13</v>
      </c>
      <c r="G3" s="24" t="s">
        <v>8</v>
      </c>
      <c r="H3" s="25" t="s">
        <v>10</v>
      </c>
      <c r="I3" s="26" t="s">
        <v>17</v>
      </c>
      <c r="J3" s="29" t="s">
        <v>13</v>
      </c>
      <c r="K3" s="24" t="s">
        <v>8</v>
      </c>
      <c r="L3" s="25" t="s">
        <v>10</v>
      </c>
      <c r="M3" s="26" t="s">
        <v>17</v>
      </c>
      <c r="N3" s="29" t="s">
        <v>13</v>
      </c>
      <c r="O3" s="24" t="s">
        <v>8</v>
      </c>
      <c r="P3" s="25" t="s">
        <v>10</v>
      </c>
      <c r="Q3" s="26" t="s">
        <v>17</v>
      </c>
      <c r="R3" s="29" t="s">
        <v>13</v>
      </c>
      <c r="S3" s="24" t="s">
        <v>8</v>
      </c>
      <c r="T3" s="25" t="s">
        <v>10</v>
      </c>
      <c r="U3" s="26" t="s">
        <v>17</v>
      </c>
      <c r="V3" s="29" t="s">
        <v>13</v>
      </c>
    </row>
    <row r="4" spans="1:22" x14ac:dyDescent="0.25">
      <c r="A4" s="34">
        <v>17.5</v>
      </c>
      <c r="B4" s="12">
        <f>A4-2.5</f>
        <v>15</v>
      </c>
      <c r="C4" s="8">
        <f>1-GEVCUM(KVD!$D$88,KVD!$E$88,KVD!$F$88,$A4)</f>
        <v>0.99585189474429325</v>
      </c>
      <c r="D4" s="3">
        <f t="shared" ref="D4:D20" si="0">-LN(1-C4)</f>
        <v>5.4851036138869551</v>
      </c>
      <c r="E4" s="3">
        <f t="shared" ref="E4:E20" si="1">1/D4</f>
        <v>0.18231196170446845</v>
      </c>
      <c r="F4" s="31">
        <f>KLASSEFREQUENTIEUITHERHALINGSTIJD(F$2,E3,E4,E5)</f>
        <v>359.76489638611304</v>
      </c>
      <c r="G4" s="8">
        <f>1-GEVCUM(KVD!$D$89,KVD!$E$89,KVD!$F$89,$A4)</f>
        <v>0.99997868691993164</v>
      </c>
      <c r="H4" s="2">
        <f t="shared" ref="H4:H22" si="2">-LN(1-G4)</f>
        <v>10.756189586006998</v>
      </c>
      <c r="I4" s="2">
        <f t="shared" ref="I4:I22" si="3">1/H4</f>
        <v>9.296972612875154E-2</v>
      </c>
      <c r="J4" s="12">
        <f>KLASSEFREQUENTIEUITHERHALINGSTIJD(J$2,I3,I4,I5)</f>
        <v>171.868810413993</v>
      </c>
      <c r="K4" s="35"/>
      <c r="L4" s="2"/>
      <c r="M4" s="2"/>
      <c r="N4" s="12"/>
      <c r="O4" s="35"/>
      <c r="P4" s="2"/>
      <c r="Q4" s="2"/>
      <c r="R4" s="12"/>
      <c r="S4" s="35"/>
      <c r="T4" s="2"/>
      <c r="U4" s="37"/>
      <c r="V4" s="31"/>
    </row>
    <row r="5" spans="1:22" x14ac:dyDescent="0.25">
      <c r="A5" s="23">
        <f t="shared" ref="A5:A40" si="4">A4+5</f>
        <v>22.5</v>
      </c>
      <c r="B5" s="13">
        <f t="shared" ref="B5:B40" si="5">A5-2.5</f>
        <v>20</v>
      </c>
      <c r="C5" s="8">
        <f>1-GEVCUM(KVD!$D$88,KVD!$E$88,KVD!$F$88,$A5)</f>
        <v>0.92011074677768356</v>
      </c>
      <c r="D5" s="3">
        <f t="shared" si="0"/>
        <v>2.5271139381058343</v>
      </c>
      <c r="E5" s="3">
        <f t="shared" si="1"/>
        <v>0.39570831568818665</v>
      </c>
      <c r="F5" s="32">
        <f t="shared" ref="F5:F20" si="6">KLASSEFREQUENTIEUITHERHALINGSTIJD(F$2,E4,E5,E6)</f>
        <v>2.9579896757811208</v>
      </c>
      <c r="G5" s="8">
        <f>1-GEVCUM(KVD!$D$89,KVD!$E$89,KVD!$F$89,$A5)</f>
        <v>0.99741280976707969</v>
      </c>
      <c r="H5" s="3">
        <f t="shared" si="2"/>
        <v>5.9571828443030448</v>
      </c>
      <c r="I5" s="3">
        <f t="shared" si="3"/>
        <v>0.16786458064759871</v>
      </c>
      <c r="J5" s="13">
        <f t="shared" ref="J5:J22" si="7">KLASSEFREQUENTIEUITHERHALINGSTIJD(J$2,I4,I5,I6)</f>
        <v>4.7990067417039537</v>
      </c>
      <c r="K5" s="8">
        <f>1-GEVCUM(KVD!$D$90,KVD!$E$90,KVD!$F$90,$A5)</f>
        <v>0.99998123894500224</v>
      </c>
      <c r="L5" s="3">
        <f t="shared" ref="L5:L25" si="8">-LN(1-K5)</f>
        <v>10.883727379412914</v>
      </c>
      <c r="M5" s="3">
        <f t="shared" ref="M5:M25" si="9">1/L5</f>
        <v>9.1880287436411481E-2</v>
      </c>
      <c r="N5" s="13">
        <f>KLASSEFREQUENTIEUITHERHALINGSTIJD(N$2,M4,M5,M6)</f>
        <v>80.428772620587083</v>
      </c>
      <c r="O5" s="8"/>
      <c r="P5" s="3"/>
      <c r="Q5" s="3"/>
      <c r="R5" s="13"/>
      <c r="S5" s="8"/>
      <c r="T5" s="3"/>
      <c r="U5" s="9"/>
      <c r="V5" s="32"/>
    </row>
    <row r="6" spans="1:22" x14ac:dyDescent="0.25">
      <c r="A6" s="23">
        <f t="shared" si="4"/>
        <v>27.5</v>
      </c>
      <c r="B6" s="13">
        <f t="shared" si="5"/>
        <v>25</v>
      </c>
      <c r="C6" s="8">
        <f>1-GEVCUM(KVD!$D$88,KVD!$E$88,KVD!$F$88,$A6)</f>
        <v>0.70288588443738775</v>
      </c>
      <c r="D6" s="3">
        <f t="shared" si="0"/>
        <v>1.2136389864923716</v>
      </c>
      <c r="E6" s="3">
        <f t="shared" si="1"/>
        <v>0.82396825673026086</v>
      </c>
      <c r="F6" s="32">
        <f t="shared" si="6"/>
        <v>1.3134749516134627</v>
      </c>
      <c r="G6" s="8">
        <f>1-GEVCUM(KVD!$D$89,KVD!$E$89,KVD!$F$89,$A6)</f>
        <v>0.96534642407289073</v>
      </c>
      <c r="H6" s="3">
        <f t="shared" si="2"/>
        <v>3.3623543573115438</v>
      </c>
      <c r="I6" s="3">
        <f t="shared" si="3"/>
        <v>0.29741065150538609</v>
      </c>
      <c r="J6" s="13">
        <f t="shared" si="7"/>
        <v>2.594828486991501</v>
      </c>
      <c r="K6" s="8">
        <f>1-GEVCUM(KVD!$D$90,KVD!$E$90,KVD!$F$90,$A6)</f>
        <v>0.9992934754572621</v>
      </c>
      <c r="L6" s="3">
        <f t="shared" si="8"/>
        <v>7.2551526179605448</v>
      </c>
      <c r="M6" s="3">
        <f t="shared" si="9"/>
        <v>0.13783307569911663</v>
      </c>
      <c r="N6" s="13">
        <f t="shared" ref="N6:N25" si="10">KLASSEFREQUENTIEUITHERHALINGSTIJD(N$2,M5,M6,M7)</f>
        <v>3.6285747614523682</v>
      </c>
      <c r="O6" s="8">
        <f>1-GEVCUM(KVD!$D$91,KVD!$E$91,KVD!$F$91,$A6)</f>
        <v>0.99998254192595637</v>
      </c>
      <c r="P6" s="3">
        <f t="shared" ref="P6:P32" si="11">-LN(1-O6)</f>
        <v>10.955708320416536</v>
      </c>
      <c r="Q6" s="3">
        <f t="shared" ref="Q6:Q32" si="12">1/P6</f>
        <v>9.1276617700422683E-2</v>
      </c>
      <c r="R6" s="13">
        <f>KLASSEFREQUENTIEUITHERHALINGSTIJD(R$2,Q5,Q6,Q7)</f>
        <v>34.700541679583466</v>
      </c>
      <c r="S6" s="8">
        <f>1-GEVCUM(KVD!$D$92,KVD!$E$92,KVD!$F$92,$A6)</f>
        <v>0.99998718280939314</v>
      </c>
      <c r="T6" s="3">
        <f t="shared" ref="T6:T33" si="13">-LN(1-S6)</f>
        <v>11.264723271917168</v>
      </c>
      <c r="U6" s="9">
        <f t="shared" ref="U6:U33" si="14">1/T6</f>
        <v>8.8772708912698201E-2</v>
      </c>
      <c r="V6" s="32">
        <f>KLASSEFREQUENTIEUITHERHALINGSTIJD(V$2,U5,U6,U7)</f>
        <v>29.318610061416159</v>
      </c>
    </row>
    <row r="7" spans="1:22" x14ac:dyDescent="0.25">
      <c r="A7" s="23">
        <f t="shared" si="4"/>
        <v>32.5</v>
      </c>
      <c r="B7" s="13">
        <f t="shared" si="5"/>
        <v>30</v>
      </c>
      <c r="C7" s="8">
        <f>1-GEVCUM(KVD!$D$88,KVD!$E$88,KVD!$F$88,$A7)</f>
        <v>0.45391845639715567</v>
      </c>
      <c r="D7" s="3">
        <f t="shared" si="0"/>
        <v>0.60498696713046685</v>
      </c>
      <c r="E7" s="3">
        <f t="shared" si="1"/>
        <v>1.6529281692515332</v>
      </c>
      <c r="F7" s="32">
        <f t="shared" si="6"/>
        <v>0.60865201936190472</v>
      </c>
      <c r="G7" s="8">
        <f>1-GEVCUM(KVD!$D$89,KVD!$E$89,KVD!$F$89,$A7)</f>
        <v>0.85510872706514307</v>
      </c>
      <c r="H7" s="3">
        <f t="shared" si="2"/>
        <v>1.9317716596621346</v>
      </c>
      <c r="I7" s="3">
        <f t="shared" si="3"/>
        <v>0.51765952512984859</v>
      </c>
      <c r="J7" s="13">
        <f t="shared" si="7"/>
        <v>1.4305826976494094</v>
      </c>
      <c r="K7" s="8">
        <f>1-GEVCUM(KVD!$D$90,KVD!$E$90,KVD!$F$90,$A7)</f>
        <v>0.9922005443404226</v>
      </c>
      <c r="L7" s="3">
        <f t="shared" si="8"/>
        <v>4.8537013349554998</v>
      </c>
      <c r="M7" s="3">
        <f t="shared" si="9"/>
        <v>0.20602833404646811</v>
      </c>
      <c r="N7" s="13">
        <f t="shared" si="10"/>
        <v>2.4014512830050458</v>
      </c>
      <c r="O7" s="8">
        <f>1-GEVCUM(KVD!$D$91,KVD!$E$91,KVD!$F$91,$A7)</f>
        <v>0.99980073792369983</v>
      </c>
      <c r="P7" s="3">
        <f t="shared" si="11"/>
        <v>8.5208896333468171</v>
      </c>
      <c r="Q7" s="3">
        <f t="shared" si="12"/>
        <v>0.11735863777491765</v>
      </c>
      <c r="R7" s="13">
        <f t="shared" ref="R7:R32" si="15">KLASSEFREQUENTIEUITHERHALINGSTIJD(R$2,Q6,Q7,Q8)</f>
        <v>2.4348186870697184</v>
      </c>
      <c r="S7" s="8">
        <f>1-GEVCUM(KVD!$D$92,KVD!$E$92,KVD!$F$92,$A7)</f>
        <v>0.99987284081861438</v>
      </c>
      <c r="T7" s="3">
        <f t="shared" si="13"/>
        <v>8.9700708596144878</v>
      </c>
      <c r="U7" s="9">
        <f t="shared" si="14"/>
        <v>0.11148183951391635</v>
      </c>
      <c r="V7" s="32">
        <f t="shared" ref="V7:V33" si="16">KLASSEFREQUENTIEUITHERHALINGSTIJD(V$2,U6,U7,U8)</f>
        <v>2.2946524123026801</v>
      </c>
    </row>
    <row r="8" spans="1:22" x14ac:dyDescent="0.25">
      <c r="A8" s="23">
        <f t="shared" si="4"/>
        <v>37.5</v>
      </c>
      <c r="B8" s="13">
        <f t="shared" si="5"/>
        <v>35</v>
      </c>
      <c r="C8" s="8">
        <f>1-GEVCUM(KVD!$D$88,KVD!$E$88,KVD!$F$88,$A8)</f>
        <v>0.26795165552335554</v>
      </c>
      <c r="D8" s="3">
        <f t="shared" si="0"/>
        <v>0.31190872283465804</v>
      </c>
      <c r="E8" s="3">
        <f t="shared" si="1"/>
        <v>3.2060661558673282</v>
      </c>
      <c r="F8" s="32">
        <f t="shared" si="6"/>
        <v>0.29307824429580881</v>
      </c>
      <c r="G8" s="8">
        <f>1-GEVCUM(KVD!$D$89,KVD!$E$89,KVD!$F$89,$A8)</f>
        <v>0.67649198053426252</v>
      </c>
      <c r="H8" s="3">
        <f t="shared" si="2"/>
        <v>1.1285313756552804</v>
      </c>
      <c r="I8" s="3">
        <f t="shared" si="3"/>
        <v>0.88610739725278009</v>
      </c>
      <c r="J8" s="13">
        <f t="shared" si="7"/>
        <v>0.80324028400685399</v>
      </c>
      <c r="K8" s="8">
        <f>1-GEVCUM(KVD!$D$90,KVD!$E$90,KVD!$F$90,$A8)</f>
        <v>0.96155746976766865</v>
      </c>
      <c r="L8" s="3">
        <f t="shared" si="8"/>
        <v>3.2585908741448373</v>
      </c>
      <c r="M8" s="3">
        <f t="shared" si="9"/>
        <v>0.30688111475867103</v>
      </c>
      <c r="N8" s="13">
        <f t="shared" si="10"/>
        <v>1.5951104608106625</v>
      </c>
      <c r="O8" s="8">
        <f>1-GEVCUM(KVD!$D$91,KVD!$E$91,KVD!$F$91,$A8)</f>
        <v>0.99865011400558645</v>
      </c>
      <c r="P8" s="3">
        <f t="shared" si="11"/>
        <v>6.6077351386803391</v>
      </c>
      <c r="Q8" s="3">
        <f t="shared" si="12"/>
        <v>0.15133778503714582</v>
      </c>
      <c r="R8" s="13">
        <f t="shared" si="15"/>
        <v>1.913154494666478</v>
      </c>
      <c r="S8" s="8">
        <f>1-GEVCUM(KVD!$D$92,KVD!$E$92,KVD!$F$92,$A8)</f>
        <v>0.99919058246045134</v>
      </c>
      <c r="T8" s="3">
        <f t="shared" si="13"/>
        <v>7.1191956559417999</v>
      </c>
      <c r="U8" s="9">
        <f t="shared" si="14"/>
        <v>0.14046530652172529</v>
      </c>
      <c r="V8" s="32">
        <f t="shared" si="16"/>
        <v>1.8508752036726879</v>
      </c>
    </row>
    <row r="9" spans="1:22" x14ac:dyDescent="0.25">
      <c r="A9" s="23">
        <f t="shared" si="4"/>
        <v>42.5</v>
      </c>
      <c r="B9" s="13">
        <f t="shared" si="5"/>
        <v>40</v>
      </c>
      <c r="C9" s="8">
        <f>1-GEVCUM(KVD!$D$88,KVD!$E$88,KVD!$F$88,$A9)</f>
        <v>0.15278422826495941</v>
      </c>
      <c r="D9" s="3">
        <f t="shared" si="0"/>
        <v>0.16579986856151649</v>
      </c>
      <c r="E9" s="3">
        <f t="shared" si="1"/>
        <v>6.0313678694441872</v>
      </c>
      <c r="F9" s="32">
        <f t="shared" si="6"/>
        <v>0.14610885427314155</v>
      </c>
      <c r="G9" s="8">
        <f>1-GEVCUM(KVD!$D$89,KVD!$E$89,KVD!$F$89,$A9)</f>
        <v>0.48814831469037734</v>
      </c>
      <c r="H9" s="3">
        <f t="shared" si="2"/>
        <v>0.66972037303679655</v>
      </c>
      <c r="I9" s="3">
        <f t="shared" si="3"/>
        <v>1.4931604894525985</v>
      </c>
      <c r="J9" s="13">
        <f t="shared" si="7"/>
        <v>0.45881100261848384</v>
      </c>
      <c r="K9" s="8">
        <f>1-GEVCUM(KVD!$D$90,KVD!$E$90,KVD!$F$90,$A9)</f>
        <v>0.8886728392158344</v>
      </c>
      <c r="L9" s="3">
        <f t="shared" si="8"/>
        <v>2.195282018268907</v>
      </c>
      <c r="M9" s="3">
        <f t="shared" si="9"/>
        <v>0.45552233912458845</v>
      </c>
      <c r="N9" s="13">
        <f t="shared" si="10"/>
        <v>1.0633088558759303</v>
      </c>
      <c r="O9" s="8">
        <f>1-GEVCUM(KVD!$D$91,KVD!$E$91,KVD!$F$91,$A9)</f>
        <v>0.99395627104924944</v>
      </c>
      <c r="P9" s="3">
        <f t="shared" si="11"/>
        <v>5.1087340815814652</v>
      </c>
      <c r="Q9" s="3">
        <f t="shared" si="12"/>
        <v>0.19574320840172579</v>
      </c>
      <c r="R9" s="13">
        <f t="shared" si="15"/>
        <v>1.4990010570988739</v>
      </c>
      <c r="S9" s="8">
        <f>1-GEVCUM(KVD!$D$92,KVD!$E$92,KVD!$F$92,$A9)</f>
        <v>0.99641490011400491</v>
      </c>
      <c r="T9" s="3">
        <f t="shared" si="13"/>
        <v>5.6309689431164403</v>
      </c>
      <c r="U9" s="9">
        <f t="shared" si="14"/>
        <v>0.17758932966988689</v>
      </c>
      <c r="V9" s="32">
        <f t="shared" si="16"/>
        <v>1.4882267128253597</v>
      </c>
    </row>
    <row r="10" spans="1:22" x14ac:dyDescent="0.25">
      <c r="A10" s="23">
        <f t="shared" si="4"/>
        <v>47.5</v>
      </c>
      <c r="B10" s="13">
        <f t="shared" si="5"/>
        <v>45</v>
      </c>
      <c r="C10" s="8">
        <f>1-GEVCUM(KVD!$D$88,KVD!$E$88,KVD!$F$88,$A10)</f>
        <v>8.663923468823298E-2</v>
      </c>
      <c r="D10" s="3">
        <f t="shared" si="0"/>
        <v>9.0624333706289209E-2</v>
      </c>
      <c r="E10" s="3">
        <f t="shared" si="1"/>
        <v>11.034563887012625</v>
      </c>
      <c r="F10" s="32">
        <f t="shared" si="6"/>
        <v>7.517553485522728E-2</v>
      </c>
      <c r="G10" s="8">
        <f>1-GEVCUM(KVD!$D$89,KVD!$E$89,KVD!$F$89,$A10)</f>
        <v>0.33193784804905391</v>
      </c>
      <c r="H10" s="3">
        <f t="shared" si="2"/>
        <v>0.40337406793088143</v>
      </c>
      <c r="I10" s="3">
        <f t="shared" si="3"/>
        <v>2.4790884677578009</v>
      </c>
      <c r="J10" s="13">
        <f t="shared" si="7"/>
        <v>0.26634630510591512</v>
      </c>
      <c r="K10" s="8">
        <f>1-GEVCUM(KVD!$D$90,KVD!$E$90,KVD!$F$90,$A10)</f>
        <v>0.77326692928669916</v>
      </c>
      <c r="L10" s="3">
        <f t="shared" si="8"/>
        <v>1.4839818533549431</v>
      </c>
      <c r="M10" s="3">
        <f t="shared" si="9"/>
        <v>0.67386268756536949</v>
      </c>
      <c r="N10" s="13">
        <f t="shared" si="10"/>
        <v>0.71130016491396386</v>
      </c>
      <c r="O10" s="8">
        <f>1-GEVCUM(KVD!$D$91,KVD!$E$91,KVD!$F$91,$A10)</f>
        <v>0.98050576885104057</v>
      </c>
      <c r="P10" s="3">
        <f t="shared" si="11"/>
        <v>3.9376366956961828</v>
      </c>
      <c r="Q10" s="3">
        <f t="shared" si="12"/>
        <v>0.25395943741914917</v>
      </c>
      <c r="R10" s="13">
        <f t="shared" si="15"/>
        <v>1.1710973858852829</v>
      </c>
      <c r="S10" s="8">
        <f>1-GEVCUM(KVD!$D$92,KVD!$E$92,KVD!$F$92,$A10)</f>
        <v>0.98818294729037115</v>
      </c>
      <c r="T10" s="3">
        <f t="shared" si="13"/>
        <v>4.4382116458436389</v>
      </c>
      <c r="U10" s="9">
        <f t="shared" si="14"/>
        <v>0.22531597855106675</v>
      </c>
      <c r="V10" s="32">
        <f t="shared" si="16"/>
        <v>1.1927572972728013</v>
      </c>
    </row>
    <row r="11" spans="1:22" x14ac:dyDescent="0.25">
      <c r="A11" s="23">
        <f t="shared" si="4"/>
        <v>52.5</v>
      </c>
      <c r="B11" s="13">
        <f t="shared" si="5"/>
        <v>50</v>
      </c>
      <c r="C11" s="8">
        <f>1-GEVCUM(KVD!$D$88,KVD!$E$88,KVD!$F$88,$A11)</f>
        <v>4.9544934360653325E-2</v>
      </c>
      <c r="D11" s="3">
        <f t="shared" si="0"/>
        <v>5.0814392616841307E-2</v>
      </c>
      <c r="E11" s="3">
        <f t="shared" si="1"/>
        <v>19.679463799564772</v>
      </c>
      <c r="F11" s="32">
        <f t="shared" si="6"/>
        <v>3.9809941089447895E-2</v>
      </c>
      <c r="G11" s="8">
        <f>1-GEVCUM(KVD!$D$89,KVD!$E$89,KVD!$F$89,$A11)</f>
        <v>0.21837318281859097</v>
      </c>
      <c r="H11" s="3">
        <f t="shared" si="2"/>
        <v>0.24637786822111463</v>
      </c>
      <c r="I11" s="3">
        <f t="shared" si="3"/>
        <v>4.0588061225634871</v>
      </c>
      <c r="J11" s="13">
        <f t="shared" si="7"/>
        <v>0.1569961997097668</v>
      </c>
      <c r="K11" s="8">
        <f>1-GEVCUM(KVD!$D$90,KVD!$E$90,KVD!$F$90,$A11)</f>
        <v>0.6345087842135384</v>
      </c>
      <c r="L11" s="3">
        <f t="shared" si="8"/>
        <v>1.0065130334970849</v>
      </c>
      <c r="M11" s="3">
        <f t="shared" si="9"/>
        <v>0.99352911161571789</v>
      </c>
      <c r="N11" s="13">
        <f t="shared" si="10"/>
        <v>0.47746881985785827</v>
      </c>
      <c r="O11" s="8">
        <f>1-GEVCUM(KVD!$D$91,KVD!$E$91,KVD!$F$91,$A11)</f>
        <v>0.95146309071930013</v>
      </c>
      <c r="P11" s="3">
        <f t="shared" si="11"/>
        <v>3.0254307543677155</v>
      </c>
      <c r="Q11" s="3">
        <f t="shared" si="12"/>
        <v>0.33053144533429918</v>
      </c>
      <c r="R11" s="13">
        <f t="shared" si="15"/>
        <v>0.91220594132846688</v>
      </c>
      <c r="S11" s="8">
        <f>1-GEVCUM(KVD!$D$92,KVD!$E$92,KVD!$F$92,$A11)</f>
        <v>0.96936008066285895</v>
      </c>
      <c r="T11" s="3">
        <f t="shared" si="13"/>
        <v>3.485451566713047</v>
      </c>
      <c r="U11" s="9">
        <f t="shared" si="14"/>
        <v>0.28690687013133548</v>
      </c>
      <c r="V11" s="32">
        <f t="shared" si="16"/>
        <v>0.95276007913059191</v>
      </c>
    </row>
    <row r="12" spans="1:22" x14ac:dyDescent="0.25">
      <c r="A12" s="23">
        <f t="shared" si="4"/>
        <v>57.5</v>
      </c>
      <c r="B12" s="13">
        <f t="shared" si="5"/>
        <v>55</v>
      </c>
      <c r="C12" s="8">
        <f>1-GEVCUM(KVD!$D$88,KVD!$E$88,KVD!$F$88,$A12)</f>
        <v>2.874704171783371E-2</v>
      </c>
      <c r="D12" s="3">
        <f t="shared" si="0"/>
        <v>2.9168331454554185E-2</v>
      </c>
      <c r="E12" s="3">
        <f t="shared" si="1"/>
        <v>34.28375742225959</v>
      </c>
      <c r="F12" s="32">
        <f t="shared" si="6"/>
        <v>2.1646061162287126E-2</v>
      </c>
      <c r="G12" s="8">
        <f>1-GEVCUM(KVD!$D$89,KVD!$E$89,KVD!$F$89,$A12)</f>
        <v>0.1414345124779115</v>
      </c>
      <c r="H12" s="3">
        <f t="shared" si="2"/>
        <v>0.15249232022354933</v>
      </c>
      <c r="I12" s="3">
        <f t="shared" si="3"/>
        <v>6.5577072900066637</v>
      </c>
      <c r="J12" s="13">
        <f t="shared" si="7"/>
        <v>9.3885547997565294E-2</v>
      </c>
      <c r="K12" s="8">
        <f>1-GEVCUM(KVD!$D$90,KVD!$E$90,KVD!$F$90,$A12)</f>
        <v>0.4958680956939735</v>
      </c>
      <c r="L12" s="3">
        <f t="shared" si="8"/>
        <v>0.68491733025922708</v>
      </c>
      <c r="M12" s="3">
        <f t="shared" si="9"/>
        <v>1.4600302194449082</v>
      </c>
      <c r="N12" s="13">
        <f t="shared" si="10"/>
        <v>0.3215957032378578</v>
      </c>
      <c r="O12" s="8">
        <f>1-GEVCUM(KVD!$D$91,KVD!$E$91,KVD!$F$91,$A12)</f>
        <v>0.90143553790644859</v>
      </c>
      <c r="P12" s="3">
        <f t="shared" si="11"/>
        <v>2.3170445073569459</v>
      </c>
      <c r="Q12" s="3">
        <f t="shared" si="12"/>
        <v>0.43158428628576523</v>
      </c>
      <c r="R12" s="13">
        <f t="shared" si="15"/>
        <v>0.70838624701076958</v>
      </c>
      <c r="S12" s="8">
        <f>1-GEVCUM(KVD!$D$92,KVD!$E$92,KVD!$F$92,$A12)</f>
        <v>0.9345857696790546</v>
      </c>
      <c r="T12" s="3">
        <f t="shared" si="13"/>
        <v>2.727015455182757</v>
      </c>
      <c r="U12" s="9">
        <f t="shared" si="14"/>
        <v>0.36670125873305065</v>
      </c>
      <c r="V12" s="32">
        <f t="shared" si="16"/>
        <v>0.75843611153029</v>
      </c>
    </row>
    <row r="13" spans="1:22" x14ac:dyDescent="0.25">
      <c r="A13" s="23">
        <f t="shared" si="4"/>
        <v>62.5</v>
      </c>
      <c r="B13" s="13">
        <f t="shared" si="5"/>
        <v>60</v>
      </c>
      <c r="C13" s="8">
        <f>1-GEVCUM(KVD!$D$88,KVD!$E$88,KVD!$F$88,$A13)</f>
        <v>1.6963526681454955E-2</v>
      </c>
      <c r="D13" s="3">
        <f t="shared" si="0"/>
        <v>1.7109055435268392E-2</v>
      </c>
      <c r="E13" s="3">
        <f t="shared" si="1"/>
        <v>58.448580272795922</v>
      </c>
      <c r="F13" s="32">
        <f t="shared" si="6"/>
        <v>1.2059276019285796E-2</v>
      </c>
      <c r="G13" s="8">
        <f>1-GEVCUM(KVD!$D$89,KVD!$E$89,KVD!$F$89,$A13)</f>
        <v>9.1150096605225217E-2</v>
      </c>
      <c r="H13" s="3">
        <f t="shared" si="2"/>
        <v>9.5575321216950573E-2</v>
      </c>
      <c r="I13" s="3">
        <f t="shared" si="3"/>
        <v>10.462952018022063</v>
      </c>
      <c r="J13" s="13">
        <f t="shared" si="7"/>
        <v>5.6916999006598759E-2</v>
      </c>
      <c r="K13" s="8">
        <f>1-GEVCUM(KVD!$D$90,KVD!$E$90,KVD!$F$90,$A13)</f>
        <v>0.37348672471987776</v>
      </c>
      <c r="L13" s="3">
        <f t="shared" si="8"/>
        <v>0.46758531527733832</v>
      </c>
      <c r="M13" s="3">
        <f t="shared" si="9"/>
        <v>2.1386471459371457</v>
      </c>
      <c r="N13" s="13">
        <f t="shared" si="10"/>
        <v>0.21733201498188875</v>
      </c>
      <c r="O13" s="8">
        <f>1-GEVCUM(KVD!$D$91,KVD!$E$91,KVD!$F$91,$A13)</f>
        <v>0.82943713232808114</v>
      </c>
      <c r="P13" s="3">
        <f t="shared" si="11"/>
        <v>1.7686513248725533</v>
      </c>
      <c r="Q13" s="3">
        <f t="shared" si="12"/>
        <v>0.56540256744616335</v>
      </c>
      <c r="R13" s="13">
        <f t="shared" si="15"/>
        <v>0.54839318248439262</v>
      </c>
      <c r="S13" s="8">
        <f>1-GEVCUM(KVD!$D$92,KVD!$E$92,KVD!$F$92,$A13)</f>
        <v>0.88061597420048898</v>
      </c>
      <c r="T13" s="3">
        <f t="shared" si="13"/>
        <v>2.1254098742477279</v>
      </c>
      <c r="U13" s="9">
        <f t="shared" si="14"/>
        <v>0.47049748479875775</v>
      </c>
      <c r="V13" s="32">
        <f t="shared" si="16"/>
        <v>0.60160558093502914</v>
      </c>
    </row>
    <row r="14" spans="1:22" x14ac:dyDescent="0.25">
      <c r="A14" s="23">
        <f t="shared" si="4"/>
        <v>67.5</v>
      </c>
      <c r="B14" s="13">
        <f t="shared" si="5"/>
        <v>65</v>
      </c>
      <c r="C14" s="8">
        <f>1-GEVCUM(KVD!$D$88,KVD!$E$88,KVD!$F$88,$A14)</f>
        <v>1.0186023583622528E-2</v>
      </c>
      <c r="D14" s="3">
        <f t="shared" si="0"/>
        <v>1.0238256119128299E-2</v>
      </c>
      <c r="E14" s="3">
        <f t="shared" si="1"/>
        <v>97.672883776728725</v>
      </c>
      <c r="F14" s="32">
        <f t="shared" si="6"/>
        <v>6.8707993161400936E-3</v>
      </c>
      <c r="G14" s="8">
        <f>1-GEVCUM(KVD!$D$89,KVD!$E$89,KVD!$F$89,$A14)</f>
        <v>5.8819327510015396E-2</v>
      </c>
      <c r="H14" s="3">
        <f t="shared" si="2"/>
        <v>6.0620157305792143E-2</v>
      </c>
      <c r="I14" s="3">
        <f t="shared" si="3"/>
        <v>16.496163065951858</v>
      </c>
      <c r="J14" s="13">
        <f t="shared" si="7"/>
        <v>3.4955163911158431E-2</v>
      </c>
      <c r="K14" s="8">
        <f>1-GEVCUM(KVD!$D$90,KVD!$E$90,KVD!$F$90,$A14)</f>
        <v>0.27401909743017516</v>
      </c>
      <c r="L14" s="3">
        <f t="shared" si="8"/>
        <v>0.32023156950356479</v>
      </c>
      <c r="M14" s="3">
        <f t="shared" si="9"/>
        <v>3.1227402143712384</v>
      </c>
      <c r="N14" s="13">
        <f t="shared" si="10"/>
        <v>0.14735374577377353</v>
      </c>
      <c r="O14" s="8">
        <f>1-GEVCUM(KVD!$D$91,KVD!$E$91,KVD!$F$91,$A14)</f>
        <v>0.73958314324317742</v>
      </c>
      <c r="P14" s="3">
        <f t="shared" si="11"/>
        <v>1.3454716366537032</v>
      </c>
      <c r="Q14" s="3">
        <f t="shared" si="12"/>
        <v>0.7432338020049839</v>
      </c>
      <c r="R14" s="13">
        <f t="shared" si="15"/>
        <v>0.4231796882188501</v>
      </c>
      <c r="S14" s="8">
        <f>1-GEVCUM(KVD!$D$92,KVD!$E$92,KVD!$F$92,$A14)</f>
        <v>0.8079406037219744</v>
      </c>
      <c r="T14" s="3">
        <f t="shared" si="13"/>
        <v>1.6499505991802208</v>
      </c>
      <c r="U14" s="9">
        <f t="shared" si="14"/>
        <v>0.60607875199224193</v>
      </c>
      <c r="V14" s="32">
        <f t="shared" si="16"/>
        <v>0.47545927506750707</v>
      </c>
    </row>
    <row r="15" spans="1:22" x14ac:dyDescent="0.25">
      <c r="A15" s="23">
        <f t="shared" si="4"/>
        <v>72.5</v>
      </c>
      <c r="B15" s="13">
        <f t="shared" si="5"/>
        <v>70</v>
      </c>
      <c r="C15" s="8">
        <f>1-GEVCUM(KVD!$D$88,KVD!$E$88,KVD!$F$88,$A15)</f>
        <v>6.2219870568530622E-3</v>
      </c>
      <c r="D15" s="3">
        <f t="shared" si="0"/>
        <v>6.24142428572201E-3</v>
      </c>
      <c r="E15" s="3">
        <f t="shared" si="1"/>
        <v>160.2198399310262</v>
      </c>
      <c r="F15" s="32">
        <f t="shared" si="6"/>
        <v>3.9968318334062886E-3</v>
      </c>
      <c r="G15" s="8">
        <f>1-GEVCUM(KVD!$D$89,KVD!$E$89,KVD!$F$89,$A15)</f>
        <v>3.8140618437749518E-2</v>
      </c>
      <c r="H15" s="3">
        <f t="shared" si="2"/>
        <v>3.8887012012960132E-2</v>
      </c>
      <c r="I15" s="3">
        <f t="shared" si="3"/>
        <v>25.715526810512554</v>
      </c>
      <c r="J15" s="13">
        <f t="shared" si="7"/>
        <v>2.1733145292832011E-2</v>
      </c>
      <c r="K15" s="8">
        <f>1-GEVCUM(KVD!$D$90,KVD!$E$90,KVD!$F$90,$A15)</f>
        <v>0.19748222279912708</v>
      </c>
      <c r="L15" s="3">
        <f t="shared" si="8"/>
        <v>0.2200012719480931</v>
      </c>
      <c r="M15" s="3">
        <f t="shared" si="9"/>
        <v>4.5454282656872049</v>
      </c>
      <c r="N15" s="13">
        <f t="shared" si="10"/>
        <v>0.10023029755547169</v>
      </c>
      <c r="O15" s="8">
        <f>1-GEVCUM(KVD!$D$91,KVD!$E$91,KVD!$F$91,$A15)</f>
        <v>0.63939961991080985</v>
      </c>
      <c r="P15" s="3">
        <f t="shared" si="11"/>
        <v>1.0199849141669139</v>
      </c>
      <c r="Q15" s="3">
        <f t="shared" si="12"/>
        <v>0.98040665710900554</v>
      </c>
      <c r="R15" s="13">
        <f t="shared" si="15"/>
        <v>0.32548672248678923</v>
      </c>
      <c r="S15" s="8">
        <f>1-GEVCUM(KVD!$D$92,KVD!$E$92,KVD!$F$92,$A15)</f>
        <v>0.72073814861545948</v>
      </c>
      <c r="T15" s="3">
        <f t="shared" si="13"/>
        <v>1.2756054018813106</v>
      </c>
      <c r="U15" s="9">
        <f t="shared" si="14"/>
        <v>0.78394149046810446</v>
      </c>
      <c r="V15" s="32">
        <f t="shared" si="16"/>
        <v>0.37434519729891025</v>
      </c>
    </row>
    <row r="16" spans="1:22" x14ac:dyDescent="0.25">
      <c r="A16" s="23">
        <f t="shared" si="4"/>
        <v>77.5</v>
      </c>
      <c r="B16" s="13">
        <f t="shared" si="5"/>
        <v>75</v>
      </c>
      <c r="C16" s="8">
        <f>1-GEVCUM(KVD!$D$88,KVD!$E$88,KVD!$F$88,$A16)</f>
        <v>3.8636412312796908E-3</v>
      </c>
      <c r="D16" s="3">
        <f t="shared" si="0"/>
        <v>3.871124374066445E-3</v>
      </c>
      <c r="E16" s="3">
        <f t="shared" si="1"/>
        <v>258.32288073698447</v>
      </c>
      <c r="F16" s="32">
        <f t="shared" si="6"/>
        <v>2.370299911655565E-3</v>
      </c>
      <c r="G16" s="8">
        <f>1-GEVCUM(KVD!$D$89,KVD!$E$89,KVD!$F$89,$A16)</f>
        <v>2.4900367935882239E-2</v>
      </c>
      <c r="H16" s="3">
        <f t="shared" si="2"/>
        <v>2.5215626472569891E-2</v>
      </c>
      <c r="I16" s="3">
        <f t="shared" si="3"/>
        <v>39.657947863711492</v>
      </c>
      <c r="J16" s="13">
        <f t="shared" si="7"/>
        <v>1.3671385540390241E-2</v>
      </c>
      <c r="K16" s="8">
        <f>1-GEVCUM(KVD!$D$90,KVD!$E$90,KVD!$F$90,$A16)</f>
        <v>0.14067482308216772</v>
      </c>
      <c r="L16" s="3">
        <f t="shared" si="8"/>
        <v>0.15160787575803009</v>
      </c>
      <c r="M16" s="3">
        <f t="shared" si="9"/>
        <v>6.5959634022972837</v>
      </c>
      <c r="N16" s="13">
        <f t="shared" si="10"/>
        <v>6.8393396190063016E-2</v>
      </c>
      <c r="O16" s="8">
        <f>1-GEVCUM(KVD!$D$91,KVD!$E$91,KVD!$F$91,$A16)</f>
        <v>0.53720863640437155</v>
      </c>
      <c r="P16" s="3">
        <f t="shared" si="11"/>
        <v>0.77047894503892367</v>
      </c>
      <c r="Q16" s="3">
        <f t="shared" si="12"/>
        <v>1.2978940001397199</v>
      </c>
      <c r="R16" s="13">
        <f t="shared" si="15"/>
        <v>0.24950596912799028</v>
      </c>
      <c r="S16" s="8">
        <f>1-GEVCUM(KVD!$D$92,KVD!$E$92,KVD!$F$92,$A16)</f>
        <v>0.62544611735923561</v>
      </c>
      <c r="T16" s="3">
        <f t="shared" si="13"/>
        <v>0.9820196074938905</v>
      </c>
      <c r="U16" s="9">
        <f t="shared" si="14"/>
        <v>1.0183096064161035</v>
      </c>
      <c r="V16" s="32">
        <f t="shared" si="16"/>
        <v>0.29358579438742005</v>
      </c>
    </row>
    <row r="17" spans="1:22" x14ac:dyDescent="0.25">
      <c r="A17" s="23">
        <f t="shared" si="4"/>
        <v>82.5</v>
      </c>
      <c r="B17" s="13">
        <f t="shared" si="5"/>
        <v>80</v>
      </c>
      <c r="C17" s="8">
        <f>1-GEVCUM(KVD!$D$88,KVD!$E$88,KVD!$F$88,$A17)</f>
        <v>2.4369762501740277E-3</v>
      </c>
      <c r="D17" s="3">
        <f t="shared" si="0"/>
        <v>2.43995050991214E-3</v>
      </c>
      <c r="E17" s="3">
        <f t="shared" si="1"/>
        <v>409.84437837471091</v>
      </c>
      <c r="F17" s="32">
        <f t="shared" si="6"/>
        <v>1.431173864154305E-3</v>
      </c>
      <c r="G17" s="8">
        <f>1-GEVCUM(KVD!$D$89,KVD!$E$89,KVD!$F$89,$A17)</f>
        <v>1.6383581621489673E-2</v>
      </c>
      <c r="H17" s="3">
        <f t="shared" si="2"/>
        <v>1.6519276649978567E-2</v>
      </c>
      <c r="I17" s="3">
        <f t="shared" si="3"/>
        <v>60.535338271079652</v>
      </c>
      <c r="J17" s="13">
        <f t="shared" si="7"/>
        <v>8.696349822591324E-3</v>
      </c>
      <c r="K17" s="8">
        <f>1-GEVCUM(KVD!$D$90,KVD!$E$90,KVD!$F$90,$A17)</f>
        <v>9.9489065160878853E-2</v>
      </c>
      <c r="L17" s="3">
        <f t="shared" si="8"/>
        <v>0.10479297136475993</v>
      </c>
      <c r="M17" s="3">
        <f t="shared" si="9"/>
        <v>9.5426247292791508</v>
      </c>
      <c r="N17" s="13">
        <f t="shared" si="10"/>
        <v>4.6814904393270157E-2</v>
      </c>
      <c r="O17" s="8">
        <f>1-GEVCUM(KVD!$D$91,KVD!$E$91,KVD!$F$91,$A17)</f>
        <v>0.44003213296888455</v>
      </c>
      <c r="P17" s="3">
        <f t="shared" si="11"/>
        <v>0.57987587720083422</v>
      </c>
      <c r="Q17" s="3">
        <f t="shared" si="12"/>
        <v>1.7245069838517528</v>
      </c>
      <c r="R17" s="13">
        <f t="shared" si="15"/>
        <v>0.19060306783808945</v>
      </c>
      <c r="S17" s="8">
        <f>1-GEVCUM(KVD!$D$92,KVD!$E$92,KVD!$F$92,$A17)</f>
        <v>0.52890608806703887</v>
      </c>
      <c r="T17" s="3">
        <f t="shared" si="13"/>
        <v>0.75269781644824418</v>
      </c>
      <c r="U17" s="9">
        <f t="shared" si="14"/>
        <v>1.328554405430191</v>
      </c>
      <c r="V17" s="32">
        <f t="shared" si="16"/>
        <v>0.22932179104564643</v>
      </c>
    </row>
    <row r="18" spans="1:22" x14ac:dyDescent="0.25">
      <c r="A18" s="23">
        <f t="shared" si="4"/>
        <v>87.5</v>
      </c>
      <c r="B18" s="13">
        <f t="shared" si="5"/>
        <v>85</v>
      </c>
      <c r="C18" s="8">
        <f>1-GEVCUM(KVD!$D$88,KVD!$E$88,KVD!$F$88,$A18)</f>
        <v>1.5599856723735872E-3</v>
      </c>
      <c r="D18" s="3">
        <f t="shared" si="0"/>
        <v>1.5612037169421232E-3</v>
      </c>
      <c r="E18" s="3">
        <f t="shared" si="1"/>
        <v>640.5313983998617</v>
      </c>
      <c r="F18" s="32">
        <f t="shared" si="6"/>
        <v>8.7874679297001682E-4</v>
      </c>
      <c r="G18" s="8">
        <f>1-GEVCUM(KVD!$D$89,KVD!$E$89,KVD!$F$89,$A18)</f>
        <v>1.0869040588409207E-2</v>
      </c>
      <c r="H18" s="3">
        <f t="shared" si="2"/>
        <v>1.092854013819518E-2</v>
      </c>
      <c r="I18" s="3">
        <f t="shared" si="3"/>
        <v>91.503529964172088</v>
      </c>
      <c r="J18" s="13">
        <f t="shared" si="7"/>
        <v>5.5907365117833872E-3</v>
      </c>
      <c r="K18" s="8">
        <f>1-GEVCUM(KVD!$D$90,KVD!$E$90,KVD!$F$90,$A18)</f>
        <v>7.007368615997589E-2</v>
      </c>
      <c r="L18" s="3">
        <f t="shared" si="8"/>
        <v>7.2649928403971831E-2</v>
      </c>
      <c r="M18" s="3">
        <f t="shared" si="9"/>
        <v>13.764638478918711</v>
      </c>
      <c r="N18" s="13">
        <f t="shared" si="10"/>
        <v>3.2143042960788099E-2</v>
      </c>
      <c r="O18" s="8">
        <f>1-GEVCUM(KVD!$D$91,KVD!$E$91,KVD!$F$91,$A18)</f>
        <v>0.35259602659652978</v>
      </c>
      <c r="P18" s="3">
        <f t="shared" si="11"/>
        <v>0.4347848000304983</v>
      </c>
      <c r="Q18" s="3">
        <f t="shared" si="12"/>
        <v>2.2999884078970889</v>
      </c>
      <c r="R18" s="13">
        <f t="shared" si="15"/>
        <v>0.14509107717033592</v>
      </c>
      <c r="S18" s="8">
        <f>1-GEVCUM(KVD!$D$92,KVD!$E$92,KVD!$F$92,$A18)</f>
        <v>0.43691164058647936</v>
      </c>
      <c r="T18" s="3">
        <f t="shared" si="13"/>
        <v>0.57431871926072242</v>
      </c>
      <c r="U18" s="9">
        <f t="shared" si="14"/>
        <v>1.7411934636001858</v>
      </c>
      <c r="V18" s="32">
        <f t="shared" si="16"/>
        <v>0.17837909718752165</v>
      </c>
    </row>
    <row r="19" spans="1:22" x14ac:dyDescent="0.25">
      <c r="A19" s="23">
        <f t="shared" si="4"/>
        <v>92.5</v>
      </c>
      <c r="B19" s="13">
        <f t="shared" si="5"/>
        <v>90</v>
      </c>
      <c r="C19" s="8">
        <f>1-GEVCUM(KVD!$D$88,KVD!$E$88,KVD!$F$88,$A19)</f>
        <v>1.0126052942156516E-3</v>
      </c>
      <c r="D19" s="3">
        <f t="shared" si="0"/>
        <v>1.0131183253178357E-3</v>
      </c>
      <c r="E19" s="3">
        <f t="shared" si="1"/>
        <v>987.05153683433741</v>
      </c>
      <c r="F19" s="32">
        <f t="shared" si="6"/>
        <v>5.4808539162428749E-4</v>
      </c>
      <c r="G19" s="8">
        <f>1-GEVCUM(KVD!$D$89,KVD!$E$89,KVD!$F$89,$A19)</f>
        <v>7.2712183394433305E-3</v>
      </c>
      <c r="H19" s="3">
        <f t="shared" si="2"/>
        <v>7.297782495026506E-3</v>
      </c>
      <c r="I19" s="3">
        <f t="shared" si="3"/>
        <v>137.02792604212411</v>
      </c>
      <c r="J19" s="13">
        <f t="shared" si="7"/>
        <v>3.6307576431686738E-3</v>
      </c>
      <c r="K19" s="8">
        <f>1-GEVCUM(KVD!$D$90,KVD!$E$90,KVD!$F$90,$A19)</f>
        <v>4.9259209387176761E-2</v>
      </c>
      <c r="L19" s="3">
        <f t="shared" si="8"/>
        <v>5.0513818665253847E-2</v>
      </c>
      <c r="M19" s="3">
        <f t="shared" si="9"/>
        <v>19.796563127147905</v>
      </c>
      <c r="N19" s="13">
        <f t="shared" si="10"/>
        <v>2.2136109738717984E-2</v>
      </c>
      <c r="O19" s="8">
        <f>1-GEVCUM(KVD!$D$91,KVD!$E$91,KVD!$F$91,$A19)</f>
        <v>0.27728423680345571</v>
      </c>
      <c r="P19" s="3">
        <f t="shared" si="11"/>
        <v>0.32473926939579328</v>
      </c>
      <c r="Q19" s="3">
        <f t="shared" si="12"/>
        <v>3.0793935142509565</v>
      </c>
      <c r="R19" s="13">
        <f t="shared" si="15"/>
        <v>0.11004553063470501</v>
      </c>
      <c r="S19" s="8">
        <f>1-GEVCUM(KVD!$D$92,KVD!$E$92,KVD!$F$92,$A19)</f>
        <v>0.35348769167843452</v>
      </c>
      <c r="T19" s="3">
        <f t="shared" si="13"/>
        <v>0.43616304255769334</v>
      </c>
      <c r="U19" s="9">
        <f t="shared" si="14"/>
        <v>2.2927206168957457</v>
      </c>
      <c r="V19" s="32">
        <f t="shared" si="16"/>
        <v>0.13815567670302908</v>
      </c>
    </row>
    <row r="20" spans="1:22" x14ac:dyDescent="0.25">
      <c r="A20" s="23">
        <f t="shared" si="4"/>
        <v>97.5</v>
      </c>
      <c r="B20" s="13">
        <f t="shared" si="5"/>
        <v>95</v>
      </c>
      <c r="C20" s="8">
        <f>1-GEVCUM(KVD!$D$88,KVD!$E$88,KVD!$F$88,$A20)</f>
        <v>6.6598339818813024E-4</v>
      </c>
      <c r="D20" s="3">
        <f t="shared" si="0"/>
        <v>6.6620526364273645E-4</v>
      </c>
      <c r="E20" s="3">
        <f t="shared" si="1"/>
        <v>1501.0388758145064</v>
      </c>
      <c r="F20" s="32">
        <f t="shared" si="6"/>
        <v>1.0131183253178357E-3</v>
      </c>
      <c r="G20" s="8">
        <f>1-GEVCUM(KVD!$D$89,KVD!$E$89,KVD!$F$89,$A20)</f>
        <v>4.9049047552318648E-3</v>
      </c>
      <c r="H20" s="3">
        <f t="shared" si="2"/>
        <v>4.9169732800432818E-3</v>
      </c>
      <c r="I20" s="3">
        <f t="shared" si="3"/>
        <v>203.37714749411805</v>
      </c>
      <c r="J20" s="13">
        <f t="shared" si="7"/>
        <v>2.3808092149832242E-3</v>
      </c>
      <c r="K20" s="8">
        <f>1-GEVCUM(KVD!$D$90,KVD!$E$90,KVD!$F$90,$A20)</f>
        <v>3.4610724801505177E-2</v>
      </c>
      <c r="L20" s="3">
        <f t="shared" si="8"/>
        <v>3.522386499655402E-2</v>
      </c>
      <c r="M20" s="3">
        <f t="shared" si="9"/>
        <v>28.389843082178256</v>
      </c>
      <c r="N20" s="13">
        <f t="shared" si="10"/>
        <v>1.5289953668699827E-2</v>
      </c>
      <c r="O20" s="8">
        <f>1-GEVCUM(KVD!$D$91,KVD!$E$91,KVD!$F$91,$A20)</f>
        <v>0.21461828737809296</v>
      </c>
      <c r="P20" s="3">
        <f t="shared" si="11"/>
        <v>0.24158542126781704</v>
      </c>
      <c r="Q20" s="3">
        <f t="shared" si="12"/>
        <v>4.1393226244865948</v>
      </c>
      <c r="R20" s="13">
        <f t="shared" si="15"/>
        <v>8.3153848127976243E-2</v>
      </c>
      <c r="S20" s="8">
        <f>1-GEVCUM(KVD!$D$92,KVD!$E$92,KVD!$F$92,$A20)</f>
        <v>0.28081553600597986</v>
      </c>
      <c r="T20" s="3">
        <f t="shared" si="13"/>
        <v>0.3296373978461184</v>
      </c>
      <c r="U20" s="9">
        <f t="shared" si="14"/>
        <v>3.0336363729785929</v>
      </c>
      <c r="V20" s="32">
        <f t="shared" si="16"/>
        <v>0.10652564471157494</v>
      </c>
    </row>
    <row r="21" spans="1:22" x14ac:dyDescent="0.25">
      <c r="A21" s="23">
        <f t="shared" si="4"/>
        <v>102.5</v>
      </c>
      <c r="B21" s="13">
        <f t="shared" si="5"/>
        <v>100</v>
      </c>
      <c r="C21" s="8"/>
      <c r="D21" s="3"/>
      <c r="E21" s="3"/>
      <c r="F21" s="32"/>
      <c r="G21" s="8">
        <f>1-GEVCUM(KVD!$D$89,KVD!$E$89,KVD!$F$89,$A21)</f>
        <v>3.335721461315444E-3</v>
      </c>
      <c r="H21" s="3">
        <f t="shared" si="2"/>
        <v>3.3412973834175391E-3</v>
      </c>
      <c r="I21" s="3">
        <f t="shared" si="3"/>
        <v>299.2849439151633</v>
      </c>
      <c r="J21" s="13">
        <f t="shared" si="7"/>
        <v>1.5756758966257427E-3</v>
      </c>
      <c r="K21" s="8">
        <f>1-GEVCUM(KVD!$D$90,KVD!$E$90,KVD!$F$90,$A21)</f>
        <v>2.4330899513649529E-2</v>
      </c>
      <c r="L21" s="3">
        <f t="shared" si="8"/>
        <v>2.4631786441809949E-2</v>
      </c>
      <c r="M21" s="3">
        <f t="shared" si="9"/>
        <v>40.597948604434222</v>
      </c>
      <c r="N21" s="13">
        <f t="shared" si="10"/>
        <v>1.0592078554744071E-2</v>
      </c>
      <c r="O21" s="8">
        <f>1-GEVCUM(KVD!$D$91,KVD!$E$91,KVD!$F$91,$A21)</f>
        <v>0.16388771939654656</v>
      </c>
      <c r="P21" s="3">
        <f t="shared" si="11"/>
        <v>0.17899236797387533</v>
      </c>
      <c r="Q21" s="3">
        <f t="shared" si="12"/>
        <v>5.5868303845555811</v>
      </c>
      <c r="R21" s="13">
        <f t="shared" si="15"/>
        <v>6.2593053293941714E-2</v>
      </c>
      <c r="S21" s="8">
        <f>1-GEVCUM(KVD!$D$92,KVD!$E$92,KVD!$F$92,$A21)</f>
        <v>0.21954578374683364</v>
      </c>
      <c r="T21" s="3">
        <f t="shared" si="13"/>
        <v>0.24787920025626237</v>
      </c>
      <c r="U21" s="9">
        <f t="shared" si="14"/>
        <v>4.0342231174143715</v>
      </c>
      <c r="V21" s="32">
        <f t="shared" si="16"/>
        <v>8.175819758985603E-2</v>
      </c>
    </row>
    <row r="22" spans="1:22" x14ac:dyDescent="0.25">
      <c r="A22" s="23">
        <f t="shared" si="4"/>
        <v>107.5</v>
      </c>
      <c r="B22" s="13">
        <f t="shared" si="5"/>
        <v>105</v>
      </c>
      <c r="C22" s="8"/>
      <c r="D22" s="3"/>
      <c r="E22" s="3"/>
      <c r="F22" s="32"/>
      <c r="G22" s="8">
        <f>1-GEVCUM(KVD!$D$89,KVD!$E$89,KVD!$F$89,$A22)</f>
        <v>2.2865916059013891E-3</v>
      </c>
      <c r="H22" s="3">
        <f t="shared" si="2"/>
        <v>2.289209848483274E-3</v>
      </c>
      <c r="I22" s="3">
        <f t="shared" si="3"/>
        <v>436.83194909481733</v>
      </c>
      <c r="J22" s="13">
        <f t="shared" si="7"/>
        <v>3.3412973834175391E-3</v>
      </c>
      <c r="K22" s="8">
        <f>1-GEVCUM(KVD!$D$90,KVD!$E$90,KVD!$F$90,$A22)</f>
        <v>1.712467289384545E-2</v>
      </c>
      <c r="L22" s="3">
        <f t="shared" si="8"/>
        <v>1.7272995865064481E-2</v>
      </c>
      <c r="M22" s="3">
        <f t="shared" si="9"/>
        <v>57.89383658815963</v>
      </c>
      <c r="N22" s="13">
        <f t="shared" si="10"/>
        <v>7.3587905767454678E-3</v>
      </c>
      <c r="O22" s="8">
        <f>1-GEVCUM(KVD!$D$91,KVD!$E$91,KVD!$F$91,$A22)</f>
        <v>0.12371299931422386</v>
      </c>
      <c r="P22" s="3">
        <f t="shared" si="11"/>
        <v>0.1320616153499142</v>
      </c>
      <c r="Q22" s="3">
        <f t="shared" si="12"/>
        <v>7.5722229911422154</v>
      </c>
      <c r="R22" s="13">
        <f t="shared" si="15"/>
        <v>4.6930752623961125E-2</v>
      </c>
      <c r="S22" s="8">
        <f>1-GEVCUM(KVD!$D$92,KVD!$E$92,KVD!$F$92,$A22)</f>
        <v>0.16925294752579978</v>
      </c>
      <c r="T22" s="3">
        <f t="shared" si="13"/>
        <v>0.18542991978357995</v>
      </c>
      <c r="U22" s="9">
        <f t="shared" si="14"/>
        <v>5.3928729579731565</v>
      </c>
      <c r="V22" s="32">
        <f t="shared" si="16"/>
        <v>6.2449280472682417E-2</v>
      </c>
    </row>
    <row r="23" spans="1:22" x14ac:dyDescent="0.25">
      <c r="A23" s="23">
        <f t="shared" si="4"/>
        <v>112.5</v>
      </c>
      <c r="B23" s="13">
        <f t="shared" si="5"/>
        <v>110</v>
      </c>
      <c r="C23" s="8"/>
      <c r="D23" s="3"/>
      <c r="E23" s="3"/>
      <c r="F23" s="32"/>
      <c r="G23" s="8"/>
      <c r="H23" s="3"/>
      <c r="I23" s="3"/>
      <c r="J23" s="13"/>
      <c r="K23" s="8">
        <f>1-GEVCUM(KVD!$D$90,KVD!$E$90,KVD!$F$90,$A23)</f>
        <v>1.2072540991088565E-2</v>
      </c>
      <c r="L23" s="3">
        <f t="shared" si="8"/>
        <v>1.2146005985557972E-2</v>
      </c>
      <c r="M23" s="3">
        <f t="shared" si="9"/>
        <v>82.331591239872196</v>
      </c>
      <c r="N23" s="13">
        <f t="shared" si="10"/>
        <v>5.1269898795065095E-3</v>
      </c>
      <c r="O23" s="8">
        <f>1-GEVCUM(KVD!$D$91,KVD!$E$91,KVD!$F$91,$A23)</f>
        <v>9.2458909287908675E-2</v>
      </c>
      <c r="P23" s="3">
        <f t="shared" si="11"/>
        <v>9.7016434846606922E-2</v>
      </c>
      <c r="Q23" s="3">
        <f t="shared" si="12"/>
        <v>10.307531930864126</v>
      </c>
      <c r="R23" s="13">
        <f t="shared" si="15"/>
        <v>3.504518050330728E-2</v>
      </c>
      <c r="S23" s="8">
        <f>1-GEVCUM(KVD!$D$92,KVD!$E$92,KVD!$F$92,$A23)</f>
        <v>0.12887147773877405</v>
      </c>
      <c r="T23" s="3">
        <f t="shared" si="13"/>
        <v>0.13796575588397347</v>
      </c>
      <c r="U23" s="9">
        <f t="shared" si="14"/>
        <v>7.2481754156515521</v>
      </c>
      <c r="V23" s="32">
        <f t="shared" si="16"/>
        <v>4.7464163899606476E-2</v>
      </c>
    </row>
    <row r="24" spans="1:22" x14ac:dyDescent="0.25">
      <c r="A24" s="23">
        <f t="shared" si="4"/>
        <v>117.5</v>
      </c>
      <c r="B24" s="13">
        <f t="shared" si="5"/>
        <v>115</v>
      </c>
      <c r="C24" s="8"/>
      <c r="D24" s="3"/>
      <c r="E24" s="3"/>
      <c r="F24" s="32"/>
      <c r="G24" s="8"/>
      <c r="H24" s="3"/>
      <c r="I24" s="3"/>
      <c r="J24" s="13"/>
      <c r="K24" s="8">
        <f>1-GEVCUM(KVD!$D$90,KVD!$E$90,KVD!$F$90,$A24)</f>
        <v>8.5274013094345236E-3</v>
      </c>
      <c r="L24" s="3">
        <f t="shared" si="8"/>
        <v>8.5639676214550892E-3</v>
      </c>
      <c r="M24" s="3">
        <f t="shared" si="9"/>
        <v>116.76830695794851</v>
      </c>
      <c r="N24" s="13">
        <f t="shared" si="10"/>
        <v>3.5820383641028825E-3</v>
      </c>
      <c r="O24" s="8">
        <f>1-GEVCUM(KVD!$D$91,KVD!$E$91,KVD!$F$91,$A24)</f>
        <v>6.8496755662301512E-2</v>
      </c>
      <c r="P24" s="3">
        <f t="shared" si="11"/>
        <v>7.0955606029008536E-2</v>
      </c>
      <c r="Q24" s="3">
        <f t="shared" si="12"/>
        <v>14.093319132404753</v>
      </c>
      <c r="R24" s="13">
        <f t="shared" si="15"/>
        <v>2.6060828817598386E-2</v>
      </c>
      <c r="S24" s="8">
        <f>1-GEVCUM(KVD!$D$92,KVD!$E$92,KVD!$F$92,$A24)</f>
        <v>9.7039453249085028E-2</v>
      </c>
      <c r="T24" s="3">
        <f t="shared" si="13"/>
        <v>0.10207641782538654</v>
      </c>
      <c r="U24" s="9">
        <f t="shared" si="14"/>
        <v>9.796582024563353</v>
      </c>
      <c r="V24" s="32">
        <f t="shared" si="16"/>
        <v>3.5889338058586934E-2</v>
      </c>
    </row>
    <row r="25" spans="1:22" x14ac:dyDescent="0.25">
      <c r="A25" s="23">
        <f t="shared" si="4"/>
        <v>122.5</v>
      </c>
      <c r="B25" s="13">
        <f t="shared" si="5"/>
        <v>120</v>
      </c>
      <c r="C25" s="8"/>
      <c r="D25" s="3"/>
      <c r="E25" s="3"/>
      <c r="F25" s="32"/>
      <c r="G25" s="8"/>
      <c r="H25" s="3"/>
      <c r="I25" s="3"/>
      <c r="J25" s="13"/>
      <c r="K25" s="8">
        <f>1-GEVCUM(KVD!$D$90,KVD!$E$90,KVD!$F$90,$A25)</f>
        <v>6.0361533553930924E-3</v>
      </c>
      <c r="L25" s="3">
        <f t="shared" si="8"/>
        <v>6.0544445719276571E-3</v>
      </c>
      <c r="M25" s="3">
        <f t="shared" si="9"/>
        <v>165.16791724159972</v>
      </c>
      <c r="N25" s="13">
        <f t="shared" si="10"/>
        <v>8.5639676214550892E-3</v>
      </c>
      <c r="O25" s="8">
        <f>1-GEVCUM(KVD!$D$91,KVD!$E$91,KVD!$F$91,$A25)</f>
        <v>5.0347191690072735E-2</v>
      </c>
      <c r="P25" s="3">
        <f t="shared" si="11"/>
        <v>5.165882612305478E-2</v>
      </c>
      <c r="Q25" s="3">
        <f t="shared" si="12"/>
        <v>19.357776299793052</v>
      </c>
      <c r="R25" s="13">
        <f t="shared" si="15"/>
        <v>1.9296779905953756E-2</v>
      </c>
      <c r="S25" s="8">
        <f>1-GEVCUM(KVD!$D$92,KVD!$E$92,KVD!$F$92,$A25)</f>
        <v>7.2334510608683011E-2</v>
      </c>
      <c r="T25" s="3">
        <f t="shared" si="13"/>
        <v>7.5084075196684419E-2</v>
      </c>
      <c r="U25" s="9">
        <f t="shared" si="14"/>
        <v>13.318403368230582</v>
      </c>
      <c r="V25" s="32">
        <f t="shared" si="16"/>
        <v>2.6992342628702121E-2</v>
      </c>
    </row>
    <row r="26" spans="1:22" x14ac:dyDescent="0.25">
      <c r="A26" s="23">
        <f t="shared" si="4"/>
        <v>127.5</v>
      </c>
      <c r="B26" s="13">
        <f t="shared" si="5"/>
        <v>125</v>
      </c>
      <c r="C26" s="8"/>
      <c r="D26" s="3"/>
      <c r="E26" s="3"/>
      <c r="F26" s="32"/>
      <c r="G26" s="8"/>
      <c r="H26" s="3"/>
      <c r="I26" s="3"/>
      <c r="J26" s="13"/>
      <c r="K26" s="8"/>
      <c r="L26" s="3"/>
      <c r="M26" s="3"/>
      <c r="N26" s="13"/>
      <c r="O26" s="8">
        <f>1-GEVCUM(KVD!$D$91,KVD!$E$91,KVD!$F$91,$A26)</f>
        <v>3.674149062317289E-2</v>
      </c>
      <c r="P26" s="3">
        <f t="shared" si="11"/>
        <v>3.7433461487558328E-2</v>
      </c>
      <c r="Q26" s="3">
        <f t="shared" si="12"/>
        <v>26.714067047536272</v>
      </c>
      <c r="R26" s="13">
        <f t="shared" si="15"/>
        <v>1.4225364635496451E-2</v>
      </c>
      <c r="S26" s="8">
        <f>1-GEVCUM(KVD!$D$92,KVD!$E$92,KVD!$F$92,$A26)</f>
        <v>5.3416166292109879E-2</v>
      </c>
      <c r="T26" s="3">
        <f t="shared" si="13"/>
        <v>5.4895739927650136E-2</v>
      </c>
      <c r="U26" s="9">
        <f t="shared" si="14"/>
        <v>18.216349780838193</v>
      </c>
      <c r="V26" s="32">
        <f t="shared" si="16"/>
        <v>2.0188335269034283E-2</v>
      </c>
    </row>
    <row r="27" spans="1:22" x14ac:dyDescent="0.25">
      <c r="A27" s="23">
        <f t="shared" si="4"/>
        <v>132.5</v>
      </c>
      <c r="B27" s="13">
        <f t="shared" si="5"/>
        <v>130</v>
      </c>
      <c r="C27" s="8"/>
      <c r="D27" s="3"/>
      <c r="E27" s="3"/>
      <c r="F27" s="32"/>
      <c r="G27" s="8"/>
      <c r="H27" s="3"/>
      <c r="I27" s="3"/>
      <c r="J27" s="13"/>
      <c r="K27" s="8"/>
      <c r="L27" s="3"/>
      <c r="M27" s="3"/>
      <c r="N27" s="13"/>
      <c r="O27" s="8">
        <f>1-GEVCUM(KVD!$D$91,KVD!$E$91,KVD!$F$91,$A27)</f>
        <v>2.6633184622691153E-2</v>
      </c>
      <c r="P27" s="3">
        <f t="shared" si="11"/>
        <v>2.6994273619314921E-2</v>
      </c>
      <c r="Q27" s="3">
        <f t="shared" si="12"/>
        <v>37.044893820905806</v>
      </c>
      <c r="R27" s="13">
        <f t="shared" si="15"/>
        <v>1.0439187868243403E-2</v>
      </c>
      <c r="S27" s="8">
        <f>1-GEVCUM(KVD!$D$92,KVD!$E$92,KVD!$F$92,$A27)</f>
        <v>3.9098502336301855E-2</v>
      </c>
      <c r="T27" s="3">
        <f t="shared" si="13"/>
        <v>3.9883375094969628E-2</v>
      </c>
      <c r="U27" s="9">
        <f t="shared" si="14"/>
        <v>25.073103708470427</v>
      </c>
      <c r="V27" s="32">
        <f t="shared" si="16"/>
        <v>1.5012364832680508E-2</v>
      </c>
    </row>
    <row r="28" spans="1:22" x14ac:dyDescent="0.25">
      <c r="A28" s="23">
        <f t="shared" si="4"/>
        <v>137.5</v>
      </c>
      <c r="B28" s="13">
        <f t="shared" si="5"/>
        <v>135</v>
      </c>
      <c r="C28" s="8"/>
      <c r="D28" s="3"/>
      <c r="E28" s="3"/>
      <c r="F28" s="32"/>
      <c r="G28" s="8"/>
      <c r="H28" s="3"/>
      <c r="I28" s="3"/>
      <c r="J28" s="13"/>
      <c r="K28" s="8"/>
      <c r="L28" s="3"/>
      <c r="M28" s="3"/>
      <c r="N28" s="13"/>
      <c r="O28" s="8">
        <f>1-GEVCUM(KVD!$D$91,KVD!$E$91,KVD!$F$91,$A28)</f>
        <v>1.9182978646349547E-2</v>
      </c>
      <c r="P28" s="3">
        <f t="shared" si="11"/>
        <v>1.9369359389552761E-2</v>
      </c>
      <c r="Q28" s="3">
        <f t="shared" si="12"/>
        <v>51.627933577368047</v>
      </c>
      <c r="R28" s="13">
        <f t="shared" si="15"/>
        <v>7.6249142297621642E-3</v>
      </c>
      <c r="S28" s="8">
        <f>1-GEVCUM(KVD!$D$92,KVD!$E$92,KVD!$F$92,$A28)</f>
        <v>2.8376520574254771E-2</v>
      </c>
      <c r="T28" s="3">
        <f t="shared" si="13"/>
        <v>2.8786916413556591E-2</v>
      </c>
      <c r="U28" s="9">
        <f t="shared" si="14"/>
        <v>34.738003391327844</v>
      </c>
      <c r="V28" s="32">
        <f t="shared" si="16"/>
        <v>1.1096458681413037E-2</v>
      </c>
    </row>
    <row r="29" spans="1:22" x14ac:dyDescent="0.25">
      <c r="A29" s="23">
        <f t="shared" si="4"/>
        <v>142.5</v>
      </c>
      <c r="B29" s="13">
        <f t="shared" si="5"/>
        <v>140</v>
      </c>
      <c r="C29" s="8"/>
      <c r="D29" s="3"/>
      <c r="E29" s="3"/>
      <c r="F29" s="32"/>
      <c r="G29" s="8"/>
      <c r="H29" s="3"/>
      <c r="I29" s="3"/>
      <c r="J29" s="13"/>
      <c r="K29" s="8"/>
      <c r="L29" s="3"/>
      <c r="M29" s="3"/>
      <c r="N29" s="13"/>
      <c r="O29" s="8">
        <f>1-GEVCUM(KVD!$D$91,KVD!$E$91,KVD!$F$91,$A29)</f>
        <v>1.3731708698534795E-2</v>
      </c>
      <c r="P29" s="3">
        <f t="shared" si="11"/>
        <v>1.382686068076109E-2</v>
      </c>
      <c r="Q29" s="3">
        <f t="shared" si="12"/>
        <v>72.322996744403142</v>
      </c>
      <c r="R29" s="13">
        <f t="shared" si="15"/>
        <v>5.5424987087916728E-3</v>
      </c>
      <c r="S29" s="8">
        <f>1-GEVCUM(KVD!$D$92,KVD!$E$92,KVD!$F$92,$A29)</f>
        <v>2.0424688932265789E-2</v>
      </c>
      <c r="T29" s="3">
        <f t="shared" si="13"/>
        <v>2.0636157296722909E-2</v>
      </c>
      <c r="U29" s="9">
        <f t="shared" si="14"/>
        <v>48.458634309731849</v>
      </c>
      <c r="V29" s="32">
        <f t="shared" si="16"/>
        <v>8.1507591168336821E-3</v>
      </c>
    </row>
    <row r="30" spans="1:22" x14ac:dyDescent="0.25">
      <c r="A30" s="23">
        <f t="shared" si="4"/>
        <v>147.5</v>
      </c>
      <c r="B30" s="13">
        <f t="shared" si="5"/>
        <v>145</v>
      </c>
      <c r="C30" s="8"/>
      <c r="D30" s="3"/>
      <c r="E30" s="3"/>
      <c r="F30" s="32"/>
      <c r="G30" s="8"/>
      <c r="H30" s="3"/>
      <c r="I30" s="3"/>
      <c r="J30" s="13"/>
      <c r="K30" s="8"/>
      <c r="L30" s="3"/>
      <c r="M30" s="3"/>
      <c r="N30" s="13"/>
      <c r="O30" s="8">
        <f>1-GEVCUM(KVD!$D$91,KVD!$E$91,KVD!$F$91,$A30)</f>
        <v>9.7700322603202494E-3</v>
      </c>
      <c r="P30" s="3">
        <f t="shared" si="11"/>
        <v>9.8180721826550965E-3</v>
      </c>
      <c r="Q30" s="3">
        <f t="shared" si="12"/>
        <v>101.85298920154919</v>
      </c>
      <c r="R30" s="13">
        <f t="shared" si="15"/>
        <v>4.0087884981059915E-3</v>
      </c>
      <c r="S30" s="8">
        <f>1-GEVCUM(KVD!$D$92,KVD!$E$92,KVD!$F$92,$A30)</f>
        <v>1.4580759485733119E-2</v>
      </c>
      <c r="T30" s="3">
        <f t="shared" si="13"/>
        <v>1.4688103475046668E-2</v>
      </c>
      <c r="U30" s="9">
        <f t="shared" si="14"/>
        <v>68.082309040025521</v>
      </c>
      <c r="V30" s="32">
        <f t="shared" si="16"/>
        <v>5.948053821676241E-3</v>
      </c>
    </row>
    <row r="31" spans="1:22" x14ac:dyDescent="0.25">
      <c r="A31" s="23">
        <f t="shared" si="4"/>
        <v>152.5</v>
      </c>
      <c r="B31" s="13">
        <f t="shared" si="5"/>
        <v>150</v>
      </c>
      <c r="C31" s="8"/>
      <c r="D31" s="3"/>
      <c r="E31" s="3"/>
      <c r="F31" s="32"/>
      <c r="G31" s="8"/>
      <c r="H31" s="3"/>
      <c r="I31" s="3"/>
      <c r="J31" s="13"/>
      <c r="K31" s="8"/>
      <c r="L31" s="3"/>
      <c r="M31" s="3"/>
      <c r="N31" s="13"/>
      <c r="O31" s="8">
        <f>1-GEVCUM(KVD!$D$91,KVD!$E$91,KVD!$F$91,$A31)</f>
        <v>6.9094687207219563E-3</v>
      </c>
      <c r="P31" s="3">
        <f t="shared" si="11"/>
        <v>6.9334496271108029E-3</v>
      </c>
      <c r="Q31" s="3">
        <f t="shared" si="12"/>
        <v>144.22835006832005</v>
      </c>
      <c r="R31" s="13">
        <f t="shared" si="15"/>
        <v>2.8846225555442936E-3</v>
      </c>
      <c r="S31" s="8">
        <f>1-GEVCUM(KVD!$D$92,KVD!$E$92,KVD!$F$92,$A31)</f>
        <v>1.0323307510156754E-2</v>
      </c>
      <c r="T31" s="3">
        <f t="shared" si="13"/>
        <v>1.0376962432737939E-2</v>
      </c>
      <c r="U31" s="9">
        <f t="shared" si="14"/>
        <v>96.367314277358531</v>
      </c>
      <c r="V31" s="32">
        <f t="shared" si="16"/>
        <v>4.3111410423087287E-3</v>
      </c>
    </row>
    <row r="32" spans="1:22" x14ac:dyDescent="0.25">
      <c r="A32" s="23">
        <f t="shared" si="4"/>
        <v>157.5</v>
      </c>
      <c r="B32" s="13">
        <f t="shared" si="5"/>
        <v>155</v>
      </c>
      <c r="C32" s="8"/>
      <c r="D32" s="3"/>
      <c r="E32" s="3"/>
      <c r="F32" s="32"/>
      <c r="G32" s="8"/>
      <c r="H32" s="3"/>
      <c r="I32" s="3"/>
      <c r="J32" s="13"/>
      <c r="K32" s="8"/>
      <c r="L32" s="3"/>
      <c r="M32" s="3"/>
      <c r="N32" s="13"/>
      <c r="O32" s="8">
        <f>1-GEVCUM(KVD!$D$91,KVD!$E$91,KVD!$F$91,$A32)</f>
        <v>4.8568962017105921E-3</v>
      </c>
      <c r="P32" s="3">
        <f t="shared" si="11"/>
        <v>4.8687292522141832E-3</v>
      </c>
      <c r="Q32" s="3">
        <f t="shared" si="12"/>
        <v>205.39240286266147</v>
      </c>
      <c r="R32" s="13">
        <f t="shared" si="15"/>
        <v>6.9334496271108029E-3</v>
      </c>
      <c r="S32" s="8">
        <f>1-GEVCUM(KVD!$D$92,KVD!$E$92,KVD!$F$92,$A32)</f>
        <v>7.2480143576433287E-3</v>
      </c>
      <c r="T32" s="3">
        <f t="shared" si="13"/>
        <v>7.2744088293801969E-3</v>
      </c>
      <c r="U32" s="9">
        <f t="shared" si="14"/>
        <v>137.46821541857213</v>
      </c>
      <c r="V32" s="32">
        <f t="shared" si="16"/>
        <v>3.1025536033577423E-3</v>
      </c>
    </row>
    <row r="33" spans="1:22" x14ac:dyDescent="0.25">
      <c r="A33" s="23">
        <f t="shared" si="4"/>
        <v>162.5</v>
      </c>
      <c r="B33" s="13">
        <f t="shared" si="5"/>
        <v>160</v>
      </c>
      <c r="C33" s="8"/>
      <c r="D33" s="3"/>
      <c r="E33" s="3"/>
      <c r="F33" s="32"/>
      <c r="G33" s="8"/>
      <c r="H33" s="3"/>
      <c r="I33" s="3"/>
      <c r="J33" s="13"/>
      <c r="K33" s="8"/>
      <c r="L33" s="3"/>
      <c r="M33" s="3"/>
      <c r="N33" s="13"/>
      <c r="O33" s="8"/>
      <c r="P33" s="3"/>
      <c r="Q33" s="3"/>
      <c r="R33" s="13"/>
      <c r="S33" s="8">
        <f>1-GEVCUM(KVD!$D$92,KVD!$E$92,KVD!$F$92,$A33)</f>
        <v>5.0453996823398573E-3</v>
      </c>
      <c r="T33" s="3">
        <f t="shared" si="13"/>
        <v>5.0581706859720854E-3</v>
      </c>
      <c r="U33" s="9">
        <f t="shared" si="14"/>
        <v>197.6999318693056</v>
      </c>
      <c r="V33" s="32">
        <f t="shared" si="16"/>
        <v>7.2744088293801969E-3</v>
      </c>
    </row>
    <row r="34" spans="1:22" x14ac:dyDescent="0.25">
      <c r="A34" s="23">
        <f t="shared" si="4"/>
        <v>167.5</v>
      </c>
      <c r="B34" s="13">
        <f t="shared" si="5"/>
        <v>165</v>
      </c>
      <c r="C34" s="8"/>
      <c r="D34" s="3"/>
      <c r="E34" s="3"/>
      <c r="F34" s="32"/>
      <c r="G34" s="8"/>
      <c r="H34" s="3"/>
      <c r="I34" s="3"/>
      <c r="J34" s="13"/>
      <c r="K34" s="8"/>
      <c r="L34" s="3"/>
      <c r="M34" s="3"/>
      <c r="N34" s="13"/>
      <c r="O34" s="8"/>
      <c r="P34" s="3"/>
      <c r="Q34" s="3"/>
      <c r="R34" s="13"/>
      <c r="S34" s="8"/>
      <c r="T34" s="3"/>
      <c r="U34" s="9"/>
      <c r="V34" s="32"/>
    </row>
    <row r="35" spans="1:22" x14ac:dyDescent="0.25">
      <c r="A35" s="23">
        <f t="shared" si="4"/>
        <v>172.5</v>
      </c>
      <c r="B35" s="13">
        <f t="shared" si="5"/>
        <v>170</v>
      </c>
      <c r="C35" s="8"/>
      <c r="D35" s="3"/>
      <c r="E35" s="3"/>
      <c r="F35" s="32"/>
      <c r="G35" s="8"/>
      <c r="H35" s="3"/>
      <c r="I35" s="3"/>
      <c r="J35" s="13"/>
      <c r="K35" s="8"/>
      <c r="L35" s="3"/>
      <c r="M35" s="3"/>
      <c r="N35" s="13"/>
      <c r="O35" s="8"/>
      <c r="P35" s="3"/>
      <c r="Q35" s="3"/>
      <c r="R35" s="13"/>
      <c r="S35" s="8"/>
      <c r="T35" s="3"/>
      <c r="U35" s="9"/>
      <c r="V35" s="32"/>
    </row>
    <row r="36" spans="1:22" x14ac:dyDescent="0.25">
      <c r="A36" s="23">
        <f t="shared" si="4"/>
        <v>177.5</v>
      </c>
      <c r="B36" s="13">
        <f t="shared" si="5"/>
        <v>175</v>
      </c>
      <c r="C36" s="8"/>
      <c r="D36" s="3"/>
      <c r="E36" s="3"/>
      <c r="F36" s="32"/>
      <c r="G36" s="8"/>
      <c r="H36" s="3"/>
      <c r="I36" s="3"/>
      <c r="J36" s="13"/>
      <c r="K36" s="8"/>
      <c r="L36" s="3"/>
      <c r="M36" s="3"/>
      <c r="N36" s="13"/>
      <c r="O36" s="8"/>
      <c r="P36" s="3"/>
      <c r="Q36" s="3"/>
      <c r="R36" s="13"/>
      <c r="S36" s="8"/>
      <c r="T36" s="3"/>
      <c r="U36" s="9"/>
      <c r="V36" s="32"/>
    </row>
    <row r="37" spans="1:22" x14ac:dyDescent="0.25">
      <c r="A37" s="14">
        <f t="shared" si="4"/>
        <v>182.5</v>
      </c>
      <c r="B37" s="15">
        <f t="shared" si="5"/>
        <v>180</v>
      </c>
      <c r="C37" s="10"/>
      <c r="D37" s="4"/>
      <c r="E37" s="4"/>
      <c r="F37" s="33"/>
      <c r="G37" s="10"/>
      <c r="H37" s="4"/>
      <c r="I37" s="4"/>
      <c r="J37" s="15"/>
      <c r="K37" s="10"/>
      <c r="L37" s="4"/>
      <c r="M37" s="4"/>
      <c r="N37" s="15"/>
      <c r="O37" s="8"/>
      <c r="P37" s="3"/>
      <c r="Q37" s="3"/>
      <c r="R37" s="13"/>
      <c r="S37" s="8"/>
      <c r="T37" s="3"/>
      <c r="U37" s="9"/>
      <c r="V37" s="32"/>
    </row>
    <row r="38" spans="1:22" x14ac:dyDescent="0.25">
      <c r="A38" s="14">
        <f t="shared" si="4"/>
        <v>187.5</v>
      </c>
      <c r="B38" s="15">
        <f t="shared" si="5"/>
        <v>185</v>
      </c>
      <c r="O38" s="8"/>
      <c r="P38" s="3"/>
      <c r="Q38" s="3"/>
      <c r="R38" s="13"/>
      <c r="S38" s="8"/>
      <c r="T38" s="3"/>
      <c r="U38" s="9"/>
      <c r="V38" s="32"/>
    </row>
    <row r="39" spans="1:22" x14ac:dyDescent="0.25">
      <c r="A39" s="14">
        <f t="shared" si="4"/>
        <v>192.5</v>
      </c>
      <c r="B39" s="15">
        <f t="shared" si="5"/>
        <v>190</v>
      </c>
      <c r="O39" s="8"/>
      <c r="P39" s="3"/>
      <c r="Q39" s="3"/>
      <c r="R39" s="13"/>
      <c r="S39" s="8"/>
      <c r="T39" s="3"/>
      <c r="U39" s="9"/>
      <c r="V39" s="32"/>
    </row>
    <row r="40" spans="1:22" x14ac:dyDescent="0.25">
      <c r="A40" s="14">
        <f t="shared" si="4"/>
        <v>197.5</v>
      </c>
      <c r="B40" s="15">
        <f t="shared" si="5"/>
        <v>195</v>
      </c>
      <c r="S40" s="8"/>
      <c r="T40" s="3"/>
      <c r="U40" s="9"/>
      <c r="V40" s="32"/>
    </row>
  </sheetData>
  <mergeCells count="11">
    <mergeCell ref="S2:U2"/>
    <mergeCell ref="A1:B2"/>
    <mergeCell ref="C1:F1"/>
    <mergeCell ref="G1:J1"/>
    <mergeCell ref="K1:N1"/>
    <mergeCell ref="O1:R1"/>
    <mergeCell ref="S1:V1"/>
    <mergeCell ref="C2:E2"/>
    <mergeCell ref="G2:I2"/>
    <mergeCell ref="K2:M2"/>
    <mergeCell ref="O2:Q2"/>
  </mergeCells>
  <pageMargins left="0.7" right="0.7" top="0.75" bottom="0.75" header="0.3" footer="0.3"/>
  <pageSetup paperSize="0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Blad22">
    <tabColor theme="6"/>
  </sheetPr>
  <dimension ref="A1:V40"/>
  <sheetViews>
    <sheetView topLeftCell="H1" workbookViewId="0">
      <selection activeCell="V5" sqref="V5:V32"/>
    </sheetView>
  </sheetViews>
  <sheetFormatPr defaultColWidth="9.140625" defaultRowHeight="15" x14ac:dyDescent="0.25"/>
  <cols>
    <col min="1" max="1" width="11.42578125" bestFit="1" customWidth="1"/>
    <col min="2" max="2" width="14" bestFit="1" customWidth="1"/>
    <col min="4" max="4" width="12.28515625" style="19" bestFit="1" customWidth="1"/>
    <col min="5" max="5" width="12" style="19" bestFit="1" customWidth="1"/>
    <col min="6" max="6" width="14.7109375" bestFit="1" customWidth="1"/>
    <col min="8" max="8" width="12.28515625" bestFit="1" customWidth="1"/>
    <col min="9" max="9" width="12" bestFit="1" customWidth="1"/>
    <col min="10" max="10" width="13.7109375" bestFit="1" customWidth="1"/>
    <col min="12" max="12" width="12.28515625" bestFit="1" customWidth="1"/>
    <col min="13" max="13" width="18.85546875" bestFit="1" customWidth="1"/>
    <col min="14" max="14" width="14.7109375" bestFit="1" customWidth="1"/>
    <col min="15" max="15" width="7.7109375" bestFit="1" customWidth="1"/>
    <col min="16" max="16" width="12.28515625" bestFit="1" customWidth="1"/>
    <col min="17" max="17" width="16.42578125" bestFit="1" customWidth="1"/>
    <col min="18" max="18" width="14.7109375" bestFit="1" customWidth="1"/>
    <col min="19" max="19" width="7.7109375" bestFit="1" customWidth="1"/>
    <col min="20" max="20" width="12.28515625" bestFit="1" customWidth="1"/>
    <col min="21" max="21" width="11.42578125" bestFit="1" customWidth="1"/>
    <col min="22" max="22" width="14.7109375" bestFit="1" customWidth="1"/>
  </cols>
  <sheetData>
    <row r="1" spans="1:22" x14ac:dyDescent="0.25">
      <c r="A1" s="50" t="s">
        <v>15</v>
      </c>
      <c r="B1" s="51"/>
      <c r="C1" s="63">
        <v>24</v>
      </c>
      <c r="D1" s="64"/>
      <c r="E1" s="64"/>
      <c r="F1" s="65"/>
      <c r="G1" s="66">
        <v>48</v>
      </c>
      <c r="H1" s="67"/>
      <c r="I1" s="67"/>
      <c r="J1" s="68"/>
      <c r="K1" s="66">
        <v>96</v>
      </c>
      <c r="L1" s="67"/>
      <c r="M1" s="67"/>
      <c r="N1" s="68"/>
      <c r="O1" s="66">
        <v>192</v>
      </c>
      <c r="P1" s="67"/>
      <c r="Q1" s="67"/>
      <c r="R1" s="68"/>
      <c r="S1" s="60">
        <v>216</v>
      </c>
      <c r="T1" s="61"/>
      <c r="U1" s="61"/>
      <c r="V1" s="62"/>
    </row>
    <row r="2" spans="1:22" x14ac:dyDescent="0.25">
      <c r="A2" s="52"/>
      <c r="B2" s="53"/>
      <c r="C2" s="57" t="s">
        <v>9</v>
      </c>
      <c r="D2" s="58"/>
      <c r="E2" s="59"/>
      <c r="F2" s="30">
        <f>24/24*365.25</f>
        <v>365.25</v>
      </c>
      <c r="G2" s="54" t="s">
        <v>9</v>
      </c>
      <c r="H2" s="55"/>
      <c r="I2" s="56"/>
      <c r="J2" s="30">
        <f>24/48*365.25</f>
        <v>182.625</v>
      </c>
      <c r="K2" s="54" t="s">
        <v>9</v>
      </c>
      <c r="L2" s="55"/>
      <c r="M2" s="56"/>
      <c r="N2" s="30">
        <f>24/96*365.25</f>
        <v>91.3125</v>
      </c>
      <c r="O2" s="54" t="s">
        <v>9</v>
      </c>
      <c r="P2" s="55"/>
      <c r="Q2" s="56"/>
      <c r="R2" s="30">
        <f>24/192*365.25</f>
        <v>45.65625</v>
      </c>
      <c r="S2" s="54" t="s">
        <v>9</v>
      </c>
      <c r="T2" s="55"/>
      <c r="U2" s="56"/>
      <c r="V2" s="30">
        <f>24/216*365.25</f>
        <v>40.583333333333329</v>
      </c>
    </row>
    <row r="3" spans="1:22" x14ac:dyDescent="0.25">
      <c r="A3" s="24" t="s">
        <v>12</v>
      </c>
      <c r="B3" s="27" t="s">
        <v>14</v>
      </c>
      <c r="C3" s="24" t="s">
        <v>8</v>
      </c>
      <c r="D3" s="25" t="s">
        <v>10</v>
      </c>
      <c r="E3" s="26" t="s">
        <v>17</v>
      </c>
      <c r="F3" s="36" t="s">
        <v>13</v>
      </c>
      <c r="G3" s="24" t="s">
        <v>8</v>
      </c>
      <c r="H3" s="25" t="s">
        <v>10</v>
      </c>
      <c r="I3" s="26" t="s">
        <v>17</v>
      </c>
      <c r="J3" s="29" t="s">
        <v>13</v>
      </c>
      <c r="K3" s="24" t="s">
        <v>8</v>
      </c>
      <c r="L3" s="25" t="s">
        <v>10</v>
      </c>
      <c r="M3" s="26" t="s">
        <v>17</v>
      </c>
      <c r="N3" s="29" t="s">
        <v>13</v>
      </c>
      <c r="O3" s="24" t="s">
        <v>8</v>
      </c>
      <c r="P3" s="25" t="s">
        <v>10</v>
      </c>
      <c r="Q3" s="26" t="s">
        <v>17</v>
      </c>
      <c r="R3" s="29" t="s">
        <v>13</v>
      </c>
      <c r="S3" s="24" t="s">
        <v>8</v>
      </c>
      <c r="T3" s="25" t="s">
        <v>10</v>
      </c>
      <c r="U3" s="26" t="s">
        <v>17</v>
      </c>
      <c r="V3" s="29" t="s">
        <v>13</v>
      </c>
    </row>
    <row r="4" spans="1:22" x14ac:dyDescent="0.25">
      <c r="A4" s="34">
        <v>17.5</v>
      </c>
      <c r="B4" s="12">
        <f>A4-2.5</f>
        <v>15</v>
      </c>
      <c r="C4" s="8">
        <f>1-GEVCUM(KVD!$D$93,KVD!$E$93,KVD!$F$93,$A4)</f>
        <v>0.99927843626018331</v>
      </c>
      <c r="D4" s="3">
        <f t="shared" ref="D4:D22" si="0">-LN(1-C4)</f>
        <v>7.2340898401781297</v>
      </c>
      <c r="E4" s="3">
        <f t="shared" ref="E4:E22" si="1">1/D4</f>
        <v>0.13823439051668956</v>
      </c>
      <c r="F4" s="31">
        <f>KLASSEFREQUENTIEUITHERHALINGSTIJD(F$2,E3,E4,E5)</f>
        <v>358.01591015982189</v>
      </c>
      <c r="G4" s="8">
        <f>1-GEVCUM(KVD!$D$94,KVD!$E$94,KVD!$F$94,$A4)</f>
        <v>0.99998085840581319</v>
      </c>
      <c r="H4" s="2">
        <f t="shared" ref="H4:H23" si="2">-LN(1-G4)</f>
        <v>10.863646884560978</v>
      </c>
      <c r="I4" s="2">
        <f t="shared" ref="I4:I23" si="3">1/H4</f>
        <v>9.2050120058777302E-2</v>
      </c>
      <c r="J4" s="12">
        <f>KLASSEFREQUENTIEUITHERHALINGSTIJD(J$2,I3,I4,I5)</f>
        <v>171.76135311543902</v>
      </c>
      <c r="K4" s="35"/>
      <c r="L4" s="2"/>
      <c r="M4" s="2"/>
      <c r="N4" s="12"/>
      <c r="O4" s="35"/>
      <c r="P4" s="2"/>
      <c r="Q4" s="2"/>
      <c r="R4" s="12"/>
      <c r="S4" s="35"/>
      <c r="T4" s="2"/>
      <c r="U4" s="37"/>
      <c r="V4" s="31"/>
    </row>
    <row r="5" spans="1:22" x14ac:dyDescent="0.25">
      <c r="A5" s="23">
        <f t="shared" ref="A5:A40" si="4">A4+5</f>
        <v>22.5</v>
      </c>
      <c r="B5" s="13">
        <f t="shared" ref="B5:B40" si="5">A5-2.5</f>
        <v>20</v>
      </c>
      <c r="C5" s="8">
        <f>1-GEVCUM(KVD!$D$93,KVD!$E$93,KVD!$F$93,$A5)</f>
        <v>0.98876959383745655</v>
      </c>
      <c r="D5" s="3">
        <f t="shared" si="0"/>
        <v>4.4891303432506051</v>
      </c>
      <c r="E5" s="3">
        <f t="shared" si="1"/>
        <v>0.22276029509891537</v>
      </c>
      <c r="F5" s="32">
        <f t="shared" ref="F5:F22" si="6">KLASSEFREQUENTIEUITHERHALINGSTIJD(F$2,E4,E5,E6)</f>
        <v>2.7449594969275246</v>
      </c>
      <c r="G5" s="8">
        <f>1-GEVCUM(KVD!$D$94,KVD!$E$94,KVD!$F$94,$A5)</f>
        <v>0.99929012015245144</v>
      </c>
      <c r="H5" s="3">
        <f t="shared" si="2"/>
        <v>7.2504148310545737</v>
      </c>
      <c r="I5" s="3">
        <f t="shared" si="3"/>
        <v>0.13792314278582454</v>
      </c>
      <c r="J5" s="13">
        <f t="shared" ref="J5:J23" si="7">KLASSEFREQUENTIEUITHERHALINGSTIJD(J$2,I4,I5,I6)</f>
        <v>3.6132320535064038</v>
      </c>
      <c r="K5" s="8">
        <f>1-GEVCUM(KVD!$D$95,KVD!$E$95,KVD!$F$95,$A5)</f>
        <v>0.99997459763184005</v>
      </c>
      <c r="L5" s="3">
        <f t="shared" ref="L5:L25" si="8">-LN(1-K5)</f>
        <v>10.580668153641978</v>
      </c>
      <c r="M5" s="3">
        <f t="shared" ref="M5:M25" si="9">1/L5</f>
        <v>9.4511989741951158E-2</v>
      </c>
      <c r="N5" s="13">
        <f>KLASSEFREQUENTIEUITHERHALINGSTIJD(N$2,M4,M5,M6)</f>
        <v>80.73183184635802</v>
      </c>
      <c r="O5" s="8">
        <f>1-GEVCUM(KVD!$D$96,KVD!$E$96,KVD!$F$96,$A5)</f>
        <v>0.99999595632086924</v>
      </c>
      <c r="P5" s="3">
        <f t="shared" ref="P5:P31" si="10">-LN(1-O5)</f>
        <v>12.418355604474081</v>
      </c>
      <c r="Q5" s="3">
        <f t="shared" ref="Q5:Q31" si="11">1/P5</f>
        <v>8.052595946275852E-2</v>
      </c>
      <c r="R5" s="13">
        <f>KLASSEFREQUENTIEUITHERHALINGSTIJD(R$2,Q4,Q5,Q6)</f>
        <v>33.23789439552592</v>
      </c>
      <c r="S5" s="8">
        <f>1-GEVCUM(KVD!$D$97,KVD!$E$97,KVD!$F$97,$A5)</f>
        <v>0.99999584352529303</v>
      </c>
      <c r="T5" s="3">
        <f t="shared" ref="T5" si="12">-LN(1-S5)</f>
        <v>12.390843269168007</v>
      </c>
      <c r="U5" s="9">
        <f t="shared" ref="U5" si="13">1/T5</f>
        <v>8.070475739841601E-2</v>
      </c>
      <c r="V5" s="32">
        <f>KLASSEFREQUENTIEUITHERHALINGSTIJD(V$2,U4,U5,U6)</f>
        <v>28.19249006416532</v>
      </c>
    </row>
    <row r="6" spans="1:22" x14ac:dyDescent="0.25">
      <c r="A6" s="23">
        <f t="shared" si="4"/>
        <v>27.5</v>
      </c>
      <c r="B6" s="13">
        <f t="shared" si="5"/>
        <v>25</v>
      </c>
      <c r="C6" s="8">
        <f>1-GEVCUM(KVD!$D$93,KVD!$E$93,KVD!$F$93,$A6)</f>
        <v>0.94103699923109163</v>
      </c>
      <c r="D6" s="3">
        <f t="shared" si="0"/>
        <v>2.8308451374011083</v>
      </c>
      <c r="E6" s="3">
        <f t="shared" si="1"/>
        <v>0.35325139718453907</v>
      </c>
      <c r="F6" s="32">
        <f t="shared" si="6"/>
        <v>1.6582852058494968</v>
      </c>
      <c r="G6" s="8">
        <f>1-GEVCUM(KVD!$D$94,KVD!$E$94,KVD!$F$94,$A6)</f>
        <v>0.99242166168974122</v>
      </c>
      <c r="H6" s="3">
        <f t="shared" si="2"/>
        <v>4.8824613236426178</v>
      </c>
      <c r="I6" s="3">
        <f t="shared" si="3"/>
        <v>0.20481473046343318</v>
      </c>
      <c r="J6" s="13">
        <f t="shared" si="7"/>
        <v>2.3679535074119569</v>
      </c>
      <c r="K6" s="8">
        <f>1-GEVCUM(KVD!$D$95,KVD!$E$95,KVD!$F$95,$A6)</f>
        <v>0.99957875455047218</v>
      </c>
      <c r="L6" s="3">
        <f t="shared" si="8"/>
        <v>7.7722948786638977</v>
      </c>
      <c r="M6" s="3">
        <f t="shared" si="9"/>
        <v>0.12866212818882469</v>
      </c>
      <c r="N6" s="13">
        <f t="shared" ref="N6:N25" si="14">KLASSEFREQUENTIEUITHERHALINGSTIJD(N$2,M5,M6,M7)</f>
        <v>2.8083732749780816</v>
      </c>
      <c r="O6" s="8">
        <f>1-GEVCUM(KVD!$D$96,KVD!$E$96,KVD!$F$96,$A6)</f>
        <v>0.99995890518296904</v>
      </c>
      <c r="P6" s="3">
        <f t="shared" si="10"/>
        <v>10.099628550716776</v>
      </c>
      <c r="Q6" s="3">
        <f t="shared" si="11"/>
        <v>9.9013542426669682E-2</v>
      </c>
      <c r="R6" s="13">
        <f t="shared" ref="R6:R31" si="15">KLASSEFREQUENTIEUITHERHALINGSTIJD(R$2,Q5,Q6,Q7)</f>
        <v>2.3187270537573053</v>
      </c>
      <c r="S6" s="8">
        <f>1-GEVCUM(KVD!$D$97,KVD!$E$97,KVD!$F$97,$A6)</f>
        <v>0.99996475182425892</v>
      </c>
      <c r="T6" s="3">
        <f t="shared" ref="T6:T32" si="16">-LN(1-S6)</f>
        <v>10.25309678207139</v>
      </c>
      <c r="U6" s="9">
        <f t="shared" ref="U6:U32" si="17">1/T6</f>
        <v>9.7531508894815502E-2</v>
      </c>
      <c r="V6" s="32">
        <f t="shared" ref="V6:V32" si="18">KLASSEFREQUENTIEUITHERHALINGSTIJD(V$2,U5,U6,U7)</f>
        <v>2.1377464870966172</v>
      </c>
    </row>
    <row r="7" spans="1:22" x14ac:dyDescent="0.25">
      <c r="A7" s="23">
        <f t="shared" si="4"/>
        <v>32.5</v>
      </c>
      <c r="B7" s="13">
        <f t="shared" si="5"/>
        <v>30</v>
      </c>
      <c r="C7" s="8">
        <f>1-GEVCUM(KVD!$D$93,KVD!$E$93,KVD!$F$93,$A7)</f>
        <v>0.83669534368131127</v>
      </c>
      <c r="D7" s="3">
        <f t="shared" si="0"/>
        <v>1.8121377655194646</v>
      </c>
      <c r="E7" s="3">
        <f t="shared" si="1"/>
        <v>0.55183442397567473</v>
      </c>
      <c r="F7" s="32">
        <f t="shared" si="6"/>
        <v>1.0187073718816437</v>
      </c>
      <c r="G7" s="8">
        <f>1-GEVCUM(KVD!$D$94,KVD!$E$94,KVD!$F$94,$A7)</f>
        <v>0.96370794546892435</v>
      </c>
      <c r="H7" s="3">
        <f t="shared" si="2"/>
        <v>3.3161564451112509</v>
      </c>
      <c r="I7" s="3">
        <f t="shared" si="3"/>
        <v>0.30155392743132536</v>
      </c>
      <c r="J7" s="13">
        <f t="shared" si="7"/>
        <v>1.5663048785313669</v>
      </c>
      <c r="K7" s="8">
        <f>1-GEVCUM(KVD!$D$95,KVD!$E$95,KVD!$F$95,$A7)</f>
        <v>0.99672427824368082</v>
      </c>
      <c r="L7" s="3">
        <f t="shared" si="8"/>
        <v>5.7212170505669109</v>
      </c>
      <c r="M7" s="3">
        <f t="shared" si="9"/>
        <v>0.17478798499716258</v>
      </c>
      <c r="N7" s="13">
        <f t="shared" si="14"/>
        <v>2.0510778280969859</v>
      </c>
      <c r="O7" s="8">
        <f>1-GEVCUM(KVD!$D$96,KVD!$E$96,KVD!$F$96,$A7)</f>
        <v>0.99972467837094325</v>
      </c>
      <c r="P7" s="3">
        <f t="shared" si="10"/>
        <v>8.1975705834940893</v>
      </c>
      <c r="Q7" s="3">
        <f t="shared" si="11"/>
        <v>0.12198736074484219</v>
      </c>
      <c r="R7" s="13">
        <f t="shared" si="15"/>
        <v>1.9020579672226869</v>
      </c>
      <c r="S7" s="8">
        <f>1-GEVCUM(KVD!$D$97,KVD!$E$97,KVD!$F$97,$A7)</f>
        <v>0.999789239652774</v>
      </c>
      <c r="T7" s="3">
        <f t="shared" si="16"/>
        <v>8.4647888651297549</v>
      </c>
      <c r="U7" s="9">
        <f t="shared" si="17"/>
        <v>0.11813643741540282</v>
      </c>
      <c r="V7" s="32">
        <f t="shared" si="18"/>
        <v>1.7883079169416352</v>
      </c>
    </row>
    <row r="8" spans="1:22" x14ac:dyDescent="0.25">
      <c r="A8" s="23">
        <f t="shared" si="4"/>
        <v>37.5</v>
      </c>
      <c r="B8" s="13">
        <f t="shared" si="5"/>
        <v>35</v>
      </c>
      <c r="C8" s="8">
        <f>1-GEVCUM(KVD!$D$93,KVD!$E$93,KVD!$F$93,$A8)</f>
        <v>0.69163070820538619</v>
      </c>
      <c r="D8" s="3">
        <f t="shared" si="0"/>
        <v>1.1764572149010573</v>
      </c>
      <c r="E8" s="3">
        <f t="shared" si="1"/>
        <v>0.85000966234382125</v>
      </c>
      <c r="F8" s="32">
        <f t="shared" si="6"/>
        <v>0.63568055061840734</v>
      </c>
      <c r="G8" s="8">
        <f>1-GEVCUM(KVD!$D$94,KVD!$E$94,KVD!$F$94,$A8)</f>
        <v>0.89677841850546247</v>
      </c>
      <c r="H8" s="3">
        <f t="shared" si="2"/>
        <v>2.2708773247887586</v>
      </c>
      <c r="I8" s="3">
        <f t="shared" si="3"/>
        <v>0.44035844168421645</v>
      </c>
      <c r="J8" s="13">
        <f t="shared" si="7"/>
        <v>1.0452791203224923</v>
      </c>
      <c r="K8" s="8">
        <f>1-GEVCUM(KVD!$D$95,KVD!$E$95,KVD!$F$95,$A8)</f>
        <v>0.98530221473664426</v>
      </c>
      <c r="L8" s="3">
        <f t="shared" si="8"/>
        <v>4.2200584589049113</v>
      </c>
      <c r="M8" s="3">
        <f t="shared" si="9"/>
        <v>0.23696354203100212</v>
      </c>
      <c r="N8" s="13">
        <f t="shared" si="14"/>
        <v>1.5011585916619996</v>
      </c>
      <c r="O8" s="8">
        <f>1-GEVCUM(KVD!$D$96,KVD!$E$96,KVD!$F$96,$A8)</f>
        <v>0.99869334446579638</v>
      </c>
      <c r="P8" s="3">
        <f t="shared" si="10"/>
        <v>6.6402844336262996</v>
      </c>
      <c r="Q8" s="3">
        <f t="shared" si="11"/>
        <v>0.15059595865141184</v>
      </c>
      <c r="R8" s="13">
        <f t="shared" si="15"/>
        <v>1.5572861498677888</v>
      </c>
      <c r="S8" s="8">
        <f>1-GEVCUM(KVD!$D$97,KVD!$E$97,KVD!$F$97,$A8)</f>
        <v>0.99906226106916463</v>
      </c>
      <c r="T8" s="3">
        <f t="shared" si="16"/>
        <v>6.9720389730331558</v>
      </c>
      <c r="U8" s="9">
        <f t="shared" si="17"/>
        <v>0.14343006455756432</v>
      </c>
      <c r="V8" s="32">
        <f t="shared" si="18"/>
        <v>1.4927498920965991</v>
      </c>
    </row>
    <row r="9" spans="1:22" x14ac:dyDescent="0.25">
      <c r="A9" s="23">
        <f t="shared" si="4"/>
        <v>42.5</v>
      </c>
      <c r="B9" s="13">
        <f t="shared" si="5"/>
        <v>40</v>
      </c>
      <c r="C9" s="8">
        <f>1-GEVCUM(KVD!$D$93,KVD!$E$93,KVD!$F$93,$A9)</f>
        <v>0.5387993621080801</v>
      </c>
      <c r="D9" s="3">
        <f t="shared" si="0"/>
        <v>0.77392210747474666</v>
      </c>
      <c r="E9" s="3">
        <f t="shared" si="1"/>
        <v>1.2921196982767809</v>
      </c>
      <c r="F9" s="32">
        <f t="shared" si="6"/>
        <v>0.4025351074263106</v>
      </c>
      <c r="G9" s="8">
        <f>1-GEVCUM(KVD!$D$94,KVD!$E$94,KVD!$F$94,$A9)</f>
        <v>0.79140341590010721</v>
      </c>
      <c r="H9" s="3">
        <f t="shared" si="2"/>
        <v>1.5673531119095965</v>
      </c>
      <c r="I9" s="3">
        <f t="shared" si="3"/>
        <v>0.63801832044193441</v>
      </c>
      <c r="J9" s="13">
        <f t="shared" si="7"/>
        <v>0.70352421287916211</v>
      </c>
      <c r="K9" s="8">
        <f>1-GEVCUM(KVD!$D$95,KVD!$E$95,KVD!$F$95,$A9)</f>
        <v>0.95580251637521807</v>
      </c>
      <c r="L9" s="3">
        <f t="shared" si="8"/>
        <v>3.1190874230851673</v>
      </c>
      <c r="M9" s="3">
        <f t="shared" si="9"/>
        <v>0.32060659556982696</v>
      </c>
      <c r="N9" s="13">
        <f t="shared" si="14"/>
        <v>1.100971035819744</v>
      </c>
      <c r="O9" s="8">
        <f>1-GEVCUM(KVD!$D$96,KVD!$E$96,KVD!$F$96,$A9)</f>
        <v>0.99533541303533191</v>
      </c>
      <c r="P9" s="3">
        <f t="shared" si="10"/>
        <v>5.3677559877949186</v>
      </c>
      <c r="Q9" s="3">
        <f t="shared" si="11"/>
        <v>0.18629758921116707</v>
      </c>
      <c r="R9" s="13">
        <f t="shared" si="15"/>
        <v>1.2725284458313819</v>
      </c>
      <c r="S9" s="8">
        <f>1-GEVCUM(KVD!$D$97,KVD!$E$97,KVD!$F$97,$A9)</f>
        <v>0.9967489058134108</v>
      </c>
      <c r="T9" s="3">
        <f t="shared" si="16"/>
        <v>5.7287636665053832</v>
      </c>
      <c r="U9" s="9">
        <f t="shared" si="17"/>
        <v>0.17455773325870369</v>
      </c>
      <c r="V9" s="32">
        <f t="shared" si="18"/>
        <v>1.2432753065277726</v>
      </c>
    </row>
    <row r="10" spans="1:22" x14ac:dyDescent="0.25">
      <c r="A10" s="23">
        <f t="shared" si="4"/>
        <v>47.5</v>
      </c>
      <c r="B10" s="13">
        <f t="shared" si="5"/>
        <v>45</v>
      </c>
      <c r="C10" s="8">
        <f>1-GEVCUM(KVD!$D$93,KVD!$E$93,KVD!$F$93,$A10)</f>
        <v>0.40278780891053911</v>
      </c>
      <c r="D10" s="3">
        <f t="shared" si="0"/>
        <v>0.5154827997788739</v>
      </c>
      <c r="E10" s="3">
        <f t="shared" si="1"/>
        <v>1.9399289373553665</v>
      </c>
      <c r="F10" s="32">
        <f t="shared" si="6"/>
        <v>0.25843930769587276</v>
      </c>
      <c r="G10" s="8">
        <f>1-GEVCUM(KVD!$D$94,KVD!$E$94,KVD!$F$94,$A10)</f>
        <v>0.6637743274901986</v>
      </c>
      <c r="H10" s="3">
        <f t="shared" si="2"/>
        <v>1.0899727000966632</v>
      </c>
      <c r="I10" s="3">
        <f t="shared" si="3"/>
        <v>0.91745417101851812</v>
      </c>
      <c r="J10" s="13">
        <f t="shared" si="7"/>
        <v>0.47738041181293323</v>
      </c>
      <c r="K10" s="8">
        <f>1-GEVCUM(KVD!$D$95,KVD!$E$95,KVD!$F$95,$A10)</f>
        <v>0.90073456167597832</v>
      </c>
      <c r="L10" s="3">
        <f t="shared" si="8"/>
        <v>2.3099578216472647</v>
      </c>
      <c r="M10" s="3">
        <f t="shared" si="9"/>
        <v>0.4329083373855222</v>
      </c>
      <c r="N10" s="13">
        <f t="shared" si="14"/>
        <v>0.80912960143790258</v>
      </c>
      <c r="O10" s="8">
        <f>1-GEVCUM(KVD!$D$96,KVD!$E$96,KVD!$F$96,$A10)</f>
        <v>0.98683216584449174</v>
      </c>
      <c r="P10" s="3">
        <f t="shared" si="10"/>
        <v>4.3299782296355236</v>
      </c>
      <c r="Q10" s="3">
        <f t="shared" si="11"/>
        <v>0.2309480433771546</v>
      </c>
      <c r="R10" s="13">
        <f t="shared" si="15"/>
        <v>1.037777758159395</v>
      </c>
      <c r="S10" s="8">
        <f>1-GEVCUM(KVD!$D$97,KVD!$E$97,KVD!$F$97,$A10)</f>
        <v>0.99086483396480107</v>
      </c>
      <c r="T10" s="3">
        <f t="shared" si="16"/>
        <v>4.6956239135977018</v>
      </c>
      <c r="U10" s="9">
        <f t="shared" si="17"/>
        <v>0.21296424466707731</v>
      </c>
      <c r="V10" s="32">
        <f t="shared" si="18"/>
        <v>1.0331397529076813</v>
      </c>
    </row>
    <row r="11" spans="1:22" x14ac:dyDescent="0.25">
      <c r="A11" s="23">
        <f t="shared" si="4"/>
        <v>52.5</v>
      </c>
      <c r="B11" s="13">
        <f t="shared" si="5"/>
        <v>50</v>
      </c>
      <c r="C11" s="8">
        <f>1-GEVCUM(KVD!$D$93,KVD!$E$93,KVD!$F$93,$A11)</f>
        <v>0.29346950917259684</v>
      </c>
      <c r="D11" s="3">
        <f t="shared" si="0"/>
        <v>0.3473889202128741</v>
      </c>
      <c r="E11" s="3">
        <f t="shared" si="1"/>
        <v>2.8786180036692501</v>
      </c>
      <c r="F11" s="32">
        <f t="shared" si="6"/>
        <v>0.1680938795659998</v>
      </c>
      <c r="G11" s="8">
        <f>1-GEVCUM(KVD!$D$94,KVD!$E$94,KVD!$F$94,$A11)</f>
        <v>0.53396781586263709</v>
      </c>
      <c r="H11" s="3">
        <f t="shared" si="2"/>
        <v>0.7635005825688933</v>
      </c>
      <c r="I11" s="3">
        <f t="shared" si="3"/>
        <v>1.3097566954505455</v>
      </c>
      <c r="J11" s="13">
        <f t="shared" si="7"/>
        <v>0.32647211752776994</v>
      </c>
      <c r="K11" s="8">
        <f>1-GEVCUM(KVD!$D$95,KVD!$E$95,KVD!$F$95,$A11)</f>
        <v>0.81987454688995942</v>
      </c>
      <c r="L11" s="3">
        <f t="shared" si="8"/>
        <v>1.7141017091345083</v>
      </c>
      <c r="M11" s="3">
        <f t="shared" si="9"/>
        <v>0.58339595291864232</v>
      </c>
      <c r="N11" s="13">
        <f t="shared" si="14"/>
        <v>0.59585611251275639</v>
      </c>
      <c r="O11" s="8">
        <f>1-GEVCUM(KVD!$D$96,KVD!$E$96,KVD!$F$96,$A11)</f>
        <v>0.9693571897677522</v>
      </c>
      <c r="P11" s="3">
        <f t="shared" si="10"/>
        <v>3.4853572205529066</v>
      </c>
      <c r="Q11" s="3">
        <f t="shared" si="11"/>
        <v>0.28691463649782301</v>
      </c>
      <c r="R11" s="13">
        <f t="shared" si="15"/>
        <v>0.8446210090826165</v>
      </c>
      <c r="S11" s="8">
        <f>1-GEVCUM(KVD!$D$97,KVD!$E$97,KVD!$F$97,$A11)</f>
        <v>0.97848713322795344</v>
      </c>
      <c r="T11" s="3">
        <f t="shared" si="16"/>
        <v>3.8391040683372162</v>
      </c>
      <c r="U11" s="9">
        <f t="shared" si="17"/>
        <v>0.26047744010052787</v>
      </c>
      <c r="V11" s="32">
        <f t="shared" si="18"/>
        <v>0.85651984526048608</v>
      </c>
    </row>
    <row r="12" spans="1:22" x14ac:dyDescent="0.25">
      <c r="A12" s="23">
        <f t="shared" si="4"/>
        <v>57.5</v>
      </c>
      <c r="B12" s="13">
        <f t="shared" si="5"/>
        <v>55</v>
      </c>
      <c r="C12" s="8">
        <f>1-GEVCUM(KVD!$D$93,KVD!$E$93,KVD!$F$93,$A12)</f>
        <v>0.21078037687531692</v>
      </c>
      <c r="D12" s="3">
        <f t="shared" si="0"/>
        <v>0.2367106405651431</v>
      </c>
      <c r="E12" s="3">
        <f t="shared" si="1"/>
        <v>4.2245671661084394</v>
      </c>
      <c r="F12" s="32">
        <f t="shared" si="6"/>
        <v>0.110678279647731</v>
      </c>
      <c r="G12" s="8">
        <f>1-GEVCUM(KVD!$D$94,KVD!$E$94,KVD!$F$94,$A12)</f>
        <v>0.41640551670802395</v>
      </c>
      <c r="H12" s="3">
        <f t="shared" si="2"/>
        <v>0.53854891527061843</v>
      </c>
      <c r="I12" s="3">
        <f t="shared" si="3"/>
        <v>1.8568415452057951</v>
      </c>
      <c r="J12" s="13">
        <f t="shared" si="7"/>
        <v>0.22495166729827487</v>
      </c>
      <c r="K12" s="8">
        <f>1-GEVCUM(KVD!$D$95,KVD!$E$95,KVD!$F$95,$A12)</f>
        <v>0.72040807897847448</v>
      </c>
      <c r="L12" s="3">
        <f t="shared" si="8"/>
        <v>1.2744241638127425</v>
      </c>
      <c r="M12" s="3">
        <f t="shared" si="9"/>
        <v>0.78466811003352488</v>
      </c>
      <c r="N12" s="13">
        <f t="shared" si="14"/>
        <v>0.43967754532176584</v>
      </c>
      <c r="O12" s="8">
        <f>1-GEVCUM(KVD!$D$96,KVD!$E$96,KVD!$F$96,$A12)</f>
        <v>0.93915099947757641</v>
      </c>
      <c r="P12" s="3">
        <f t="shared" si="10"/>
        <v>2.7993598849518029</v>
      </c>
      <c r="Q12" s="3">
        <f t="shared" si="11"/>
        <v>0.35722452314030256</v>
      </c>
      <c r="R12" s="13">
        <f t="shared" si="15"/>
        <v>0.68599733560110421</v>
      </c>
      <c r="S12" s="8">
        <f>1-GEVCUM(KVD!$D$97,KVD!$E$97,KVD!$F$97,$A12)</f>
        <v>0.95631311750607184</v>
      </c>
      <c r="T12" s="3">
        <f t="shared" si="16"/>
        <v>3.1307073937048115</v>
      </c>
      <c r="U12" s="9">
        <f t="shared" si="17"/>
        <v>0.31941662833479356</v>
      </c>
      <c r="V12" s="32">
        <f t="shared" si="18"/>
        <v>0.70839667463240419</v>
      </c>
    </row>
    <row r="13" spans="1:22" x14ac:dyDescent="0.25">
      <c r="A13" s="23">
        <f t="shared" si="4"/>
        <v>62.5</v>
      </c>
      <c r="B13" s="13">
        <f t="shared" si="5"/>
        <v>60</v>
      </c>
      <c r="C13" s="8">
        <f>1-GEVCUM(KVD!$D$93,KVD!$E$93,KVD!$F$93,$A13)</f>
        <v>0.15039940029443144</v>
      </c>
      <c r="D13" s="3">
        <f t="shared" si="0"/>
        <v>0.16298892262657555</v>
      </c>
      <c r="E13" s="3">
        <f t="shared" si="1"/>
        <v>6.1353862819935516</v>
      </c>
      <c r="F13" s="32">
        <f t="shared" si="6"/>
        <v>7.3721717938567549E-2</v>
      </c>
      <c r="G13" s="8">
        <f>1-GEVCUM(KVD!$D$94,KVD!$E$94,KVD!$F$94,$A13)</f>
        <v>0.31779543442277036</v>
      </c>
      <c r="H13" s="3">
        <f t="shared" si="2"/>
        <v>0.38242571658781116</v>
      </c>
      <c r="I13" s="3">
        <f t="shared" si="3"/>
        <v>2.6148869090773705</v>
      </c>
      <c r="J13" s="13">
        <f t="shared" si="7"/>
        <v>0.15612319868280727</v>
      </c>
      <c r="K13" s="8">
        <f>1-GEVCUM(KVD!$D$95,KVD!$E$95,KVD!$F$95,$A13)</f>
        <v>0.6130066473288962</v>
      </c>
      <c r="L13" s="3">
        <f t="shared" si="8"/>
        <v>0.94934776266032939</v>
      </c>
      <c r="M13" s="3">
        <f t="shared" si="9"/>
        <v>1.0533547761230608</v>
      </c>
      <c r="N13" s="13">
        <f t="shared" si="14"/>
        <v>0.3250764011524131</v>
      </c>
      <c r="O13" s="8">
        <f>1-GEVCUM(KVD!$D$96,KVD!$E$96,KVD!$F$96,$A13)</f>
        <v>0.89389952853769072</v>
      </c>
      <c r="P13" s="3">
        <f t="shared" si="10"/>
        <v>2.2433687898064805</v>
      </c>
      <c r="Q13" s="3">
        <f t="shared" si="11"/>
        <v>0.44575818498672387</v>
      </c>
      <c r="R13" s="13">
        <f t="shared" si="15"/>
        <v>0.55599109514532241</v>
      </c>
      <c r="S13" s="8">
        <f>1-GEVCUM(KVD!$D$97,KVD!$E$97,KVD!$F$97,$A13)</f>
        <v>0.92162533682528036</v>
      </c>
      <c r="T13" s="3">
        <f t="shared" si="16"/>
        <v>2.5462545776495196</v>
      </c>
      <c r="U13" s="9">
        <f t="shared" si="17"/>
        <v>0.39273370729611529</v>
      </c>
      <c r="V13" s="32">
        <f t="shared" si="18"/>
        <v>0.58445281605529198</v>
      </c>
    </row>
    <row r="14" spans="1:22" x14ac:dyDescent="0.25">
      <c r="A14" s="23">
        <f t="shared" si="4"/>
        <v>67.5</v>
      </c>
      <c r="B14" s="13">
        <f t="shared" si="5"/>
        <v>65</v>
      </c>
      <c r="C14" s="8">
        <f>1-GEVCUM(KVD!$D$93,KVD!$E$93,KVD!$F$93,$A14)</f>
        <v>0.10715597625636664</v>
      </c>
      <c r="D14" s="3">
        <f t="shared" si="0"/>
        <v>0.11334337882208297</v>
      </c>
      <c r="E14" s="3">
        <f t="shared" si="1"/>
        <v>8.8227473928558027</v>
      </c>
      <c r="F14" s="32">
        <f t="shared" si="6"/>
        <v>4.9645543804492598E-2</v>
      </c>
      <c r="G14" s="8">
        <f>1-GEVCUM(KVD!$D$94,KVD!$E$94,KVD!$F$94,$A14)</f>
        <v>0.23914805218161883</v>
      </c>
      <c r="H14" s="3">
        <f t="shared" si="2"/>
        <v>0.27331648956358806</v>
      </c>
      <c r="I14" s="3">
        <f t="shared" si="3"/>
        <v>3.6587620512641861</v>
      </c>
      <c r="J14" s="13">
        <f t="shared" si="7"/>
        <v>0.1091092270242231</v>
      </c>
      <c r="K14" s="8">
        <f>1-GEVCUM(KVD!$D$95,KVD!$E$95,KVD!$F$95,$A14)</f>
        <v>0.5076338477786515</v>
      </c>
      <c r="L14" s="3">
        <f t="shared" si="8"/>
        <v>0.70853262744612766</v>
      </c>
      <c r="M14" s="3">
        <f t="shared" si="9"/>
        <v>1.4113676085806417</v>
      </c>
      <c r="N14" s="13">
        <f t="shared" si="14"/>
        <v>0.24081513521420173</v>
      </c>
      <c r="O14" s="8">
        <f>1-GEVCUM(KVD!$D$96,KVD!$E$96,KVD!$F$96,$A14)</f>
        <v>0.83365874460820066</v>
      </c>
      <c r="P14" s="3">
        <f t="shared" si="10"/>
        <v>1.7937138454268784</v>
      </c>
      <c r="Q14" s="3">
        <f t="shared" si="11"/>
        <v>0.55750252614123863</v>
      </c>
      <c r="R14" s="13">
        <f t="shared" si="15"/>
        <v>0.44965494437960207</v>
      </c>
      <c r="S14" s="8">
        <f>1-GEVCUM(KVD!$D$97,KVD!$E$97,KVD!$F$97,$A14)</f>
        <v>0.87321634183376662</v>
      </c>
      <c r="T14" s="3">
        <f t="shared" si="16"/>
        <v>2.0652731240997939</v>
      </c>
      <c r="U14" s="9">
        <f t="shared" si="17"/>
        <v>0.48419745956645688</v>
      </c>
      <c r="V14" s="32">
        <f t="shared" si="18"/>
        <v>0.48098145354972566</v>
      </c>
    </row>
    <row r="15" spans="1:22" x14ac:dyDescent="0.25">
      <c r="A15" s="23">
        <f t="shared" si="4"/>
        <v>72.5</v>
      </c>
      <c r="B15" s="13">
        <f t="shared" si="5"/>
        <v>70</v>
      </c>
      <c r="C15" s="8">
        <f>1-GEVCUM(KVD!$D$93,KVD!$E$93,KVD!$F$93,$A15)</f>
        <v>7.6479953046654225E-2</v>
      </c>
      <c r="D15" s="3">
        <f t="shared" si="0"/>
        <v>7.9562771994966419E-2</v>
      </c>
      <c r="E15" s="3">
        <f t="shared" si="1"/>
        <v>12.568692303270499</v>
      </c>
      <c r="F15" s="32">
        <f t="shared" si="6"/>
        <v>3.3780606827116533E-2</v>
      </c>
      <c r="G15" s="8">
        <f>1-GEVCUM(KVD!$D$94,KVD!$E$94,KVD!$F$94,$A15)</f>
        <v>0.17844162888879755</v>
      </c>
      <c r="H15" s="3">
        <f t="shared" si="2"/>
        <v>0.19655228972448402</v>
      </c>
      <c r="I15" s="3">
        <f t="shared" si="3"/>
        <v>5.0877046581433572</v>
      </c>
      <c r="J15" s="13">
        <f t="shared" si="7"/>
        <v>7.6764199839104041E-2</v>
      </c>
      <c r="K15" s="8">
        <f>1-GEVCUM(KVD!$D$95,KVD!$E$95,KVD!$F$95,$A15)</f>
        <v>0.41127376561195839</v>
      </c>
      <c r="L15" s="3">
        <f t="shared" si="8"/>
        <v>0.52979400068613414</v>
      </c>
      <c r="M15" s="3">
        <f t="shared" si="9"/>
        <v>1.8875260926037365</v>
      </c>
      <c r="N15" s="13">
        <f t="shared" si="14"/>
        <v>0.17873862675999352</v>
      </c>
      <c r="O15" s="8">
        <f>1-GEVCUM(KVD!$D$96,KVD!$E$96,KVD!$F$96,$A15)</f>
        <v>0.76089559576871602</v>
      </c>
      <c r="P15" s="3">
        <f t="shared" si="10"/>
        <v>1.430854984648676</v>
      </c>
      <c r="Q15" s="3">
        <f t="shared" si="11"/>
        <v>0.6988828432851526</v>
      </c>
      <c r="R15" s="13">
        <f t="shared" si="15"/>
        <v>0.3628588607782024</v>
      </c>
      <c r="S15" s="8">
        <f>1-GEVCUM(KVD!$D$97,KVD!$E$97,KVD!$F$97,$A15)</f>
        <v>0.81184078721484376</v>
      </c>
      <c r="T15" s="3">
        <f t="shared" si="16"/>
        <v>1.6704667980329853</v>
      </c>
      <c r="U15" s="9">
        <f t="shared" si="17"/>
        <v>0.5986350648678106</v>
      </c>
      <c r="V15" s="32">
        <f t="shared" si="18"/>
        <v>0.39480632606680865</v>
      </c>
    </row>
    <row r="16" spans="1:22" x14ac:dyDescent="0.25">
      <c r="A16" s="23">
        <f t="shared" si="4"/>
        <v>77.5</v>
      </c>
      <c r="B16" s="13">
        <f t="shared" si="5"/>
        <v>75</v>
      </c>
      <c r="C16" s="8">
        <f>1-GEVCUM(KVD!$D$93,KVD!$E$93,KVD!$F$93,$A16)</f>
        <v>5.479176052383139E-2</v>
      </c>
      <c r="D16" s="3">
        <f t="shared" si="0"/>
        <v>5.6350016529883293E-2</v>
      </c>
      <c r="E16" s="3">
        <f t="shared" si="1"/>
        <v>17.746223720620993</v>
      </c>
      <c r="F16" s="32">
        <f t="shared" si="6"/>
        <v>2.3212755465083119E-2</v>
      </c>
      <c r="G16" s="8">
        <f>1-GEVCUM(KVD!$D$94,KVD!$E$94,KVD!$F$94,$A16)</f>
        <v>0.1325484580682369</v>
      </c>
      <c r="H16" s="3">
        <f t="shared" si="2"/>
        <v>0.14219562816597317</v>
      </c>
      <c r="I16" s="3">
        <f t="shared" si="3"/>
        <v>7.0325650155206096</v>
      </c>
      <c r="J16" s="13">
        <f t="shared" si="7"/>
        <v>5.4356661558510849E-2</v>
      </c>
      <c r="K16" s="8">
        <f>1-GEVCUM(KVD!$D$95,KVD!$E$95,KVD!$F$95,$A16)</f>
        <v>0.32758365159931446</v>
      </c>
      <c r="L16" s="3">
        <f t="shared" si="8"/>
        <v>0.39687756423835868</v>
      </c>
      <c r="M16" s="3">
        <f t="shared" si="9"/>
        <v>2.5196687596062119</v>
      </c>
      <c r="N16" s="13">
        <f t="shared" si="14"/>
        <v>0.1329164364477754</v>
      </c>
      <c r="O16" s="8">
        <f>1-GEVCUM(KVD!$D$96,KVD!$E$96,KVD!$F$96,$A16)</f>
        <v>0.67976285329070962</v>
      </c>
      <c r="P16" s="3">
        <f t="shared" si="10"/>
        <v>1.138693474188591</v>
      </c>
      <c r="Q16" s="3">
        <f t="shared" si="11"/>
        <v>0.87819946514805391</v>
      </c>
      <c r="R16" s="13">
        <f t="shared" si="15"/>
        <v>0.29216151046008498</v>
      </c>
      <c r="S16" s="8">
        <f>1-GEVCUM(KVD!$D$97,KVD!$E$97,KVD!$F$97,$A16)</f>
        <v>0.74004727100179868</v>
      </c>
      <c r="T16" s="3">
        <f t="shared" si="16"/>
        <v>1.3472554760417115</v>
      </c>
      <c r="U16" s="9">
        <f t="shared" si="17"/>
        <v>0.74224972010359802</v>
      </c>
      <c r="V16" s="32">
        <f t="shared" si="18"/>
        <v>0.32321132199127378</v>
      </c>
    </row>
    <row r="17" spans="1:22" x14ac:dyDescent="0.25">
      <c r="A17" s="23">
        <f t="shared" si="4"/>
        <v>82.5</v>
      </c>
      <c r="B17" s="13">
        <f t="shared" si="5"/>
        <v>80</v>
      </c>
      <c r="C17" s="8">
        <f>1-GEVCUM(KVD!$D$93,KVD!$E$93,KVD!$F$93,$A17)</f>
        <v>3.9450063554717585E-2</v>
      </c>
      <c r="D17" s="3">
        <f t="shared" si="0"/>
        <v>4.0249308072611394E-2</v>
      </c>
      <c r="E17" s="3">
        <f t="shared" si="1"/>
        <v>24.845147603431077</v>
      </c>
      <c r="F17" s="32">
        <f t="shared" si="6"/>
        <v>1.6100708457271906E-2</v>
      </c>
      <c r="G17" s="8">
        <f>1-GEVCUM(KVD!$D$94,KVD!$E$94,KVD!$F$94,$A17)</f>
        <v>9.8293349115395778E-2</v>
      </c>
      <c r="H17" s="3">
        <f t="shared" si="2"/>
        <v>0.10346603256402576</v>
      </c>
      <c r="I17" s="3">
        <f t="shared" si="3"/>
        <v>9.6650076862780114</v>
      </c>
      <c r="J17" s="13">
        <f t="shared" si="7"/>
        <v>3.8729595601947414E-2</v>
      </c>
      <c r="K17" s="8">
        <f>1-GEVCUM(KVD!$D$95,KVD!$E$95,KVD!$F$95,$A17)</f>
        <v>0.2575876396973823</v>
      </c>
      <c r="L17" s="3">
        <f t="shared" si="8"/>
        <v>0.29785044853422382</v>
      </c>
      <c r="M17" s="3">
        <f t="shared" si="9"/>
        <v>3.3573896058279642</v>
      </c>
      <c r="N17" s="13">
        <f t="shared" si="14"/>
        <v>9.9027115704134916E-2</v>
      </c>
      <c r="O17" s="8">
        <f>1-GEVCUM(KVD!$D$96,KVD!$E$96,KVD!$F$96,$A17)</f>
        <v>0.59505038991523618</v>
      </c>
      <c r="P17" s="3">
        <f t="shared" si="10"/>
        <v>0.9039926391601445</v>
      </c>
      <c r="Q17" s="3">
        <f t="shared" si="11"/>
        <v>1.1062036975533909</v>
      </c>
      <c r="R17" s="13">
        <f t="shared" si="15"/>
        <v>0.23470083502844663</v>
      </c>
      <c r="S17" s="8">
        <f>1-GEVCUM(KVD!$D$97,KVD!$E$97,KVD!$F$97,$A17)</f>
        <v>0.66154929062968715</v>
      </c>
      <c r="T17" s="3">
        <f t="shared" si="16"/>
        <v>1.0833768120914311</v>
      </c>
      <c r="U17" s="9">
        <f t="shared" si="17"/>
        <v>0.92303987757456774</v>
      </c>
      <c r="V17" s="32">
        <f t="shared" si="18"/>
        <v>0.26387866395028037</v>
      </c>
    </row>
    <row r="18" spans="1:22" x14ac:dyDescent="0.25">
      <c r="A18" s="23">
        <f t="shared" si="4"/>
        <v>87.5</v>
      </c>
      <c r="B18" s="13">
        <f t="shared" si="5"/>
        <v>85</v>
      </c>
      <c r="C18" s="8">
        <f>1-GEVCUM(KVD!$D$93,KVD!$E$93,KVD!$F$93,$A18)</f>
        <v>2.8565932121722648E-2</v>
      </c>
      <c r="D18" s="3">
        <f t="shared" si="0"/>
        <v>2.8981878779267941E-2</v>
      </c>
      <c r="E18" s="3">
        <f t="shared" si="1"/>
        <v>34.504319323678409</v>
      </c>
      <c r="F18" s="32">
        <f t="shared" si="6"/>
        <v>1.1267429293343453E-2</v>
      </c>
      <c r="G18" s="8">
        <f>1-GEVCUM(KVD!$D$94,KVD!$E$94,KVD!$F$94,$A18)</f>
        <v>7.2910440036535018E-2</v>
      </c>
      <c r="H18" s="3">
        <f t="shared" si="2"/>
        <v>7.5705105393165259E-2</v>
      </c>
      <c r="I18" s="3">
        <f t="shared" si="3"/>
        <v>13.20914877281554</v>
      </c>
      <c r="J18" s="13">
        <f t="shared" si="7"/>
        <v>2.7760927170860497E-2</v>
      </c>
      <c r="K18" s="8">
        <f>1-GEVCUM(KVD!$D$95,KVD!$E$95,KVD!$F$95,$A18)</f>
        <v>0.20063300985702315</v>
      </c>
      <c r="L18" s="3">
        <f t="shared" si="8"/>
        <v>0.22393512684875269</v>
      </c>
      <c r="M18" s="3">
        <f t="shared" si="9"/>
        <v>4.4655790008121716</v>
      </c>
      <c r="N18" s="13">
        <f t="shared" si="14"/>
        <v>7.391532168547113E-2</v>
      </c>
      <c r="O18" s="8">
        <f>1-GEVCUM(KVD!$D$96,KVD!$E$96,KVD!$F$96,$A18)</f>
        <v>0.51124380719677776</v>
      </c>
      <c r="P18" s="3">
        <f t="shared" si="10"/>
        <v>0.71589149706570421</v>
      </c>
      <c r="Q18" s="3">
        <f t="shared" si="11"/>
        <v>1.3968597253896708</v>
      </c>
      <c r="R18" s="13">
        <f t="shared" si="15"/>
        <v>0.18810114209444018</v>
      </c>
      <c r="S18" s="8">
        <f>1-GEVCUM(KVD!$D$97,KVD!$E$97,KVD!$F$97,$A18)</f>
        <v>0.58043720833494672</v>
      </c>
      <c r="T18" s="3">
        <f t="shared" si="16"/>
        <v>0.86854208211867545</v>
      </c>
      <c r="U18" s="9">
        <f t="shared" si="17"/>
        <v>1.1513546903342358</v>
      </c>
      <c r="V18" s="32">
        <f t="shared" si="18"/>
        <v>0.21483472997275566</v>
      </c>
    </row>
    <row r="19" spans="1:22" x14ac:dyDescent="0.25">
      <c r="A19" s="23">
        <f t="shared" si="4"/>
        <v>92.5</v>
      </c>
      <c r="B19" s="13">
        <f t="shared" si="5"/>
        <v>90</v>
      </c>
      <c r="C19" s="8">
        <f>1-GEVCUM(KVD!$D$93,KVD!$E$93,KVD!$F$93,$A19)</f>
        <v>2.0810176401171998E-2</v>
      </c>
      <c r="D19" s="3">
        <f t="shared" si="0"/>
        <v>2.1029759844634881E-2</v>
      </c>
      <c r="E19" s="3">
        <f t="shared" si="1"/>
        <v>47.551660474863688</v>
      </c>
      <c r="F19" s="32">
        <f t="shared" si="6"/>
        <v>7.9521189346330595E-3</v>
      </c>
      <c r="G19" s="8">
        <f>1-GEVCUM(KVD!$D$94,KVD!$E$94,KVD!$F$94,$A19)</f>
        <v>5.4168679802275133E-2</v>
      </c>
      <c r="H19" s="3">
        <f t="shared" si="2"/>
        <v>5.5691034288166644E-2</v>
      </c>
      <c r="I19" s="3">
        <f t="shared" si="3"/>
        <v>17.956211673599359</v>
      </c>
      <c r="J19" s="13">
        <f t="shared" si="7"/>
        <v>2.0014071104998615E-2</v>
      </c>
      <c r="K19" s="8">
        <f>1-GEVCUM(KVD!$D$95,KVD!$E$95,KVD!$F$95,$A19)</f>
        <v>0.15520607689971999</v>
      </c>
      <c r="L19" s="3">
        <f t="shared" si="8"/>
        <v>0.16866255935586988</v>
      </c>
      <c r="M19" s="3">
        <f t="shared" si="9"/>
        <v>5.9289981357987589</v>
      </c>
      <c r="N19" s="13">
        <f t="shared" si="14"/>
        <v>5.5272567492882813E-2</v>
      </c>
      <c r="O19" s="8">
        <f>1-GEVCUM(KVD!$D$96,KVD!$E$96,KVD!$F$96,$A19)</f>
        <v>0.43192234427207477</v>
      </c>
      <c r="P19" s="3">
        <f t="shared" si="10"/>
        <v>0.56549715177516235</v>
      </c>
      <c r="Q19" s="3">
        <f t="shared" si="11"/>
        <v>1.7683555025182389</v>
      </c>
      <c r="R19" s="13">
        <f t="shared" si="15"/>
        <v>0.15039434529054185</v>
      </c>
      <c r="S19" s="8">
        <f>1-GEVCUM(KVD!$D$97,KVD!$E$97,KVD!$F$97,$A19)</f>
        <v>0.50049587859391265</v>
      </c>
      <c r="T19" s="3">
        <f t="shared" si="16"/>
        <v>0.69413942986433075</v>
      </c>
      <c r="U19" s="9">
        <f t="shared" si="17"/>
        <v>1.4406327561531111</v>
      </c>
      <c r="V19" s="32">
        <f t="shared" si="18"/>
        <v>0.1744026522543447</v>
      </c>
    </row>
    <row r="20" spans="1:22" x14ac:dyDescent="0.25">
      <c r="A20" s="23">
        <f t="shared" si="4"/>
        <v>97.5</v>
      </c>
      <c r="B20" s="13">
        <f t="shared" si="5"/>
        <v>95</v>
      </c>
      <c r="C20" s="8">
        <f>1-GEVCUM(KVD!$D$93,KVD!$E$93,KVD!$F$93,$A20)</f>
        <v>1.5254403476844591E-2</v>
      </c>
      <c r="D20" s="3">
        <f t="shared" si="0"/>
        <v>1.5371948810928919E-2</v>
      </c>
      <c r="E20" s="3">
        <f t="shared" si="1"/>
        <v>65.053560371540854</v>
      </c>
      <c r="F20" s="32">
        <f t="shared" si="6"/>
        <v>5.6578110337059638E-3</v>
      </c>
      <c r="G20" s="8">
        <f>1-GEVCUM(KVD!$D$94,KVD!$E$94,KVD!$F$94,$A20)</f>
        <v>4.0344800859175245E-2</v>
      </c>
      <c r="H20" s="3">
        <f t="shared" si="2"/>
        <v>4.1181226598013203E-2</v>
      </c>
      <c r="I20" s="3">
        <f t="shared" si="3"/>
        <v>24.282909534517003</v>
      </c>
      <c r="J20" s="13">
        <f t="shared" si="7"/>
        <v>1.4509807690153441E-2</v>
      </c>
      <c r="K20" s="8">
        <f>1-GEVCUM(KVD!$D$95,KVD!$E$95,KVD!$F$95,$A20)</f>
        <v>0.11949171597125241</v>
      </c>
      <c r="L20" s="3">
        <f t="shared" si="8"/>
        <v>0.12725594276674115</v>
      </c>
      <c r="M20" s="3">
        <f t="shared" si="9"/>
        <v>7.8581791801502723</v>
      </c>
      <c r="N20" s="13">
        <f t="shared" si="14"/>
        <v>4.1406616589128725E-2</v>
      </c>
      <c r="O20" s="8">
        <f>1-GEVCUM(KVD!$D$96,KVD!$E$96,KVD!$F$96,$A20)</f>
        <v>0.35952413256109617</v>
      </c>
      <c r="P20" s="3">
        <f t="shared" si="10"/>
        <v>0.4455438360461868</v>
      </c>
      <c r="Q20" s="3">
        <f t="shared" si="11"/>
        <v>2.2444480634590938</v>
      </c>
      <c r="R20" s="13">
        <f t="shared" si="15"/>
        <v>0.11995331572897555</v>
      </c>
      <c r="S20" s="8">
        <f>1-GEVCUM(KVD!$D$97,KVD!$E$97,KVD!$F$97,$A20)</f>
        <v>0.42476608273421357</v>
      </c>
      <c r="T20" s="3">
        <f t="shared" si="16"/>
        <v>0.5529785082744616</v>
      </c>
      <c r="U20" s="9">
        <f t="shared" si="17"/>
        <v>1.8083885450095409</v>
      </c>
      <c r="V20" s="32">
        <f t="shared" si="18"/>
        <v>0.14116092158986915</v>
      </c>
    </row>
    <row r="21" spans="1:22" x14ac:dyDescent="0.25">
      <c r="A21" s="23">
        <f t="shared" si="4"/>
        <v>102.5</v>
      </c>
      <c r="B21" s="13">
        <f t="shared" si="5"/>
        <v>100</v>
      </c>
      <c r="C21" s="8">
        <f>1-GEVCUM(KVD!$D$93,KVD!$E$93,KVD!$F$93,$A21)</f>
        <v>1.1251567742650459E-2</v>
      </c>
      <c r="D21" s="3">
        <f t="shared" si="0"/>
        <v>1.1315345481960757E-2</v>
      </c>
      <c r="E21" s="3">
        <f t="shared" si="1"/>
        <v>88.375560568983801</v>
      </c>
      <c r="F21" s="32">
        <f t="shared" si="6"/>
        <v>4.0566033289681606E-3</v>
      </c>
      <c r="G21" s="8">
        <f>1-GEVCUM(KVD!$D$94,KVD!$E$94,KVD!$F$94,$A21)</f>
        <v>3.0141397286230776E-2</v>
      </c>
      <c r="H21" s="3">
        <f t="shared" si="2"/>
        <v>3.06049885084217E-2</v>
      </c>
      <c r="I21" s="3">
        <f t="shared" si="3"/>
        <v>32.674411876509147</v>
      </c>
      <c r="J21" s="13">
        <f t="shared" si="7"/>
        <v>1.0576238089591503E-2</v>
      </c>
      <c r="K21" s="8">
        <f>1-GEVCUM(KVD!$D$95,KVD!$E$95,KVD!$F$95,$A21)</f>
        <v>9.1700742294693494E-2</v>
      </c>
      <c r="L21" s="3">
        <f t="shared" si="8"/>
        <v>9.6181375709460545E-2</v>
      </c>
      <c r="M21" s="3">
        <f t="shared" si="9"/>
        <v>10.397023255528653</v>
      </c>
      <c r="N21" s="13">
        <f t="shared" si="14"/>
        <v>3.1074567057280608E-2</v>
      </c>
      <c r="O21" s="8">
        <f>1-GEVCUM(KVD!$D$96,KVD!$E$96,KVD!$F$96,$A21)</f>
        <v>0.29538819060976962</v>
      </c>
      <c r="P21" s="3">
        <f t="shared" si="10"/>
        <v>0.35010825279786906</v>
      </c>
      <c r="Q21" s="3">
        <f t="shared" si="11"/>
        <v>2.8562594340709198</v>
      </c>
      <c r="R21" s="13">
        <f t="shared" si="15"/>
        <v>9.5435583248317746E-2</v>
      </c>
      <c r="S21" s="8">
        <f>1-GEVCUM(KVD!$D$97,KVD!$E$97,KVD!$F$97,$A21)</f>
        <v>0.35536512238954587</v>
      </c>
      <c r="T21" s="3">
        <f t="shared" si="16"/>
        <v>0.43907120369493502</v>
      </c>
      <c r="U21" s="9">
        <f t="shared" si="17"/>
        <v>2.2775349227748403</v>
      </c>
      <c r="V21" s="32">
        <f t="shared" si="18"/>
        <v>0.11390730457952658</v>
      </c>
    </row>
    <row r="22" spans="1:22" x14ac:dyDescent="0.25">
      <c r="A22" s="23">
        <f t="shared" si="4"/>
        <v>107.5</v>
      </c>
      <c r="B22" s="13">
        <f t="shared" si="5"/>
        <v>105</v>
      </c>
      <c r="C22" s="8">
        <f>1-GEVCUM(KVD!$D$93,KVD!$E$93,KVD!$F$93,$A22)</f>
        <v>8.3502254688728739E-3</v>
      </c>
      <c r="D22" s="3">
        <f t="shared" si="0"/>
        <v>8.3852839018566643E-3</v>
      </c>
      <c r="E22" s="3">
        <f t="shared" si="1"/>
        <v>119.25654655277451</v>
      </c>
      <c r="F22" s="32">
        <f t="shared" si="6"/>
        <v>1.1315345481960757E-2</v>
      </c>
      <c r="G22" s="8">
        <f>1-GEVCUM(KVD!$D$94,KVD!$E$94,KVD!$F$94,$A22)</f>
        <v>2.2596401140637545E-2</v>
      </c>
      <c r="H22" s="3">
        <f t="shared" si="2"/>
        <v>2.2855612078621138E-2</v>
      </c>
      <c r="I22" s="3">
        <f t="shared" si="3"/>
        <v>43.752930202004428</v>
      </c>
      <c r="J22" s="13">
        <f t="shared" si="7"/>
        <v>7.749376429800562E-3</v>
      </c>
      <c r="K22" s="8">
        <f>1-GEVCUM(KVD!$D$95,KVD!$E$95,KVD!$F$95,$A22)</f>
        <v>7.023144040990692E-2</v>
      </c>
      <c r="L22" s="3">
        <f t="shared" si="8"/>
        <v>7.2819584461600737E-2</v>
      </c>
      <c r="M22" s="3">
        <f t="shared" si="9"/>
        <v>13.732569437104114</v>
      </c>
      <c r="N22" s="13">
        <f t="shared" si="14"/>
        <v>2.3361791247859809E-2</v>
      </c>
      <c r="O22" s="8">
        <f>1-GEVCUM(KVD!$D$96,KVD!$E$96,KVD!$F$96,$A22)</f>
        <v>0.23995100883914322</v>
      </c>
      <c r="P22" s="3">
        <f t="shared" si="10"/>
        <v>0.27437238572559025</v>
      </c>
      <c r="Q22" s="3">
        <f t="shared" si="11"/>
        <v>3.6446816517466019</v>
      </c>
      <c r="R22" s="13">
        <f t="shared" si="15"/>
        <v>7.5735867072278806E-2</v>
      </c>
      <c r="S22" s="8">
        <f>1-GEVCUM(KVD!$D$97,KVD!$E$97,KVD!$F$97,$A22)</f>
        <v>0.29350824780117013</v>
      </c>
      <c r="T22" s="3">
        <f t="shared" si="16"/>
        <v>0.34744375109579079</v>
      </c>
      <c r="U22" s="9">
        <f t="shared" si="17"/>
        <v>2.8781637224619372</v>
      </c>
      <c r="V22" s="32">
        <f t="shared" si="18"/>
        <v>9.1627452599144232E-2</v>
      </c>
    </row>
    <row r="23" spans="1:22" x14ac:dyDescent="0.25">
      <c r="A23" s="23">
        <f t="shared" si="4"/>
        <v>112.5</v>
      </c>
      <c r="B23" s="13">
        <f t="shared" si="5"/>
        <v>110</v>
      </c>
      <c r="C23" s="8"/>
      <c r="D23" s="3"/>
      <c r="E23" s="3"/>
      <c r="F23" s="32"/>
      <c r="G23" s="8">
        <f>1-GEVCUM(KVD!$D$94,KVD!$E$94,KVD!$F$94,$A23)</f>
        <v>1.7002582018298074E-2</v>
      </c>
      <c r="H23" s="3">
        <f t="shared" si="2"/>
        <v>1.7148785510137474E-2</v>
      </c>
      <c r="I23" s="3">
        <f t="shared" si="3"/>
        <v>58.31316739070833</v>
      </c>
      <c r="J23" s="13">
        <f t="shared" si="7"/>
        <v>2.2855612078621138E-2</v>
      </c>
      <c r="K23" s="8">
        <f>1-GEVCUM(KVD!$D$95,KVD!$E$95,KVD!$F$95,$A23)</f>
        <v>5.3728380020718669E-2</v>
      </c>
      <c r="L23" s="3">
        <f t="shared" si="8"/>
        <v>5.5225626428842829E-2</v>
      </c>
      <c r="M23" s="3">
        <f t="shared" si="9"/>
        <v>18.107535661700116</v>
      </c>
      <c r="N23" s="13">
        <f t="shared" si="14"/>
        <v>1.75939580327579E-2</v>
      </c>
      <c r="O23" s="8">
        <f>1-GEVCUM(KVD!$D$96,KVD!$E$96,KVD!$F$96,$A23)</f>
        <v>0.19299568187970795</v>
      </c>
      <c r="P23" s="3">
        <f t="shared" si="10"/>
        <v>0.21442625989590655</v>
      </c>
      <c r="Q23" s="3">
        <f t="shared" si="11"/>
        <v>4.663607901781484</v>
      </c>
      <c r="R23" s="13">
        <f t="shared" si="15"/>
        <v>5.9946125829683672E-2</v>
      </c>
      <c r="S23" s="8">
        <f>1-GEVCUM(KVD!$D$97,KVD!$E$97,KVD!$F$97,$A23)</f>
        <v>0.23964975584429793</v>
      </c>
      <c r="T23" s="3">
        <f t="shared" si="16"/>
        <v>0.27397610428609726</v>
      </c>
      <c r="U23" s="9">
        <f t="shared" si="17"/>
        <v>3.6499533512446707</v>
      </c>
      <c r="V23" s="32">
        <f t="shared" si="18"/>
        <v>7.3467646809693532E-2</v>
      </c>
    </row>
    <row r="24" spans="1:22" x14ac:dyDescent="0.25">
      <c r="A24" s="23">
        <f t="shared" si="4"/>
        <v>117.5</v>
      </c>
      <c r="B24" s="13">
        <f t="shared" si="5"/>
        <v>115</v>
      </c>
      <c r="C24" s="8"/>
      <c r="D24" s="3"/>
      <c r="E24" s="3"/>
      <c r="F24" s="32"/>
      <c r="G24" s="8"/>
      <c r="H24" s="3"/>
      <c r="I24" s="3"/>
      <c r="J24" s="13"/>
      <c r="K24" s="8">
        <f>1-GEVCUM(KVD!$D$95,KVD!$E$95,KVD!$F$95,$A24)</f>
        <v>4.1084821089581225E-2</v>
      </c>
      <c r="L24" s="3">
        <f t="shared" si="8"/>
        <v>4.1952655444795081E-2</v>
      </c>
      <c r="M24" s="3">
        <f t="shared" si="9"/>
        <v>23.836393415331866</v>
      </c>
      <c r="N24" s="13">
        <f t="shared" si="14"/>
        <v>1.3272970984047755E-2</v>
      </c>
      <c r="O24" s="8">
        <f>1-GEVCUM(KVD!$D$96,KVD!$E$96,KVD!$F$96,$A24)</f>
        <v>0.15388860878775623</v>
      </c>
      <c r="P24" s="3">
        <f t="shared" si="10"/>
        <v>0.16710425994381825</v>
      </c>
      <c r="Q24" s="3">
        <f t="shared" si="11"/>
        <v>5.98428789509141</v>
      </c>
      <c r="R24" s="13">
        <f t="shared" si="15"/>
        <v>4.7321999952088328E-2</v>
      </c>
      <c r="S24" s="8">
        <f>1-GEVCUM(KVD!$D$97,KVD!$E$97,KVD!$F$97,$A24)</f>
        <v>0.19367220176614897</v>
      </c>
      <c r="T24" s="3">
        <f t="shared" si="16"/>
        <v>0.21526492159393629</v>
      </c>
      <c r="U24" s="9">
        <f t="shared" si="17"/>
        <v>4.6454387114977518</v>
      </c>
      <c r="V24" s="32">
        <f t="shared" si="18"/>
        <v>5.8711182692160968E-2</v>
      </c>
    </row>
    <row r="25" spans="1:22" x14ac:dyDescent="0.25">
      <c r="A25" s="23">
        <f t="shared" si="4"/>
        <v>122.5</v>
      </c>
      <c r="B25" s="13">
        <f t="shared" si="5"/>
        <v>120</v>
      </c>
      <c r="C25" s="8"/>
      <c r="D25" s="3"/>
      <c r="E25" s="3"/>
      <c r="F25" s="32"/>
      <c r="G25" s="8"/>
      <c r="H25" s="3"/>
      <c r="I25" s="3"/>
      <c r="J25" s="13"/>
      <c r="K25" s="8">
        <f>1-GEVCUM(KVD!$D$95,KVD!$E$95,KVD!$F$95,$A25)</f>
        <v>3.1418283245171708E-2</v>
      </c>
      <c r="L25" s="3">
        <f t="shared" si="8"/>
        <v>3.1922425141163044E-2</v>
      </c>
      <c r="M25" s="3">
        <f t="shared" si="9"/>
        <v>31.325940794846723</v>
      </c>
      <c r="N25" s="13">
        <f t="shared" si="14"/>
        <v>4.1952655444795081E-2</v>
      </c>
      <c r="O25" s="8">
        <f>1-GEVCUM(KVD!$D$96,KVD!$E$96,KVD!$F$96,$A25)</f>
        <v>0.12177247724182738</v>
      </c>
      <c r="P25" s="3">
        <f t="shared" si="10"/>
        <v>0.12984958137957067</v>
      </c>
      <c r="Q25" s="3">
        <f t="shared" si="11"/>
        <v>7.7012185128024662</v>
      </c>
      <c r="R25" s="13">
        <f t="shared" si="15"/>
        <v>3.7254678564247579E-2</v>
      </c>
      <c r="S25" s="8">
        <f>1-GEVCUM(KVD!$D$97,KVD!$E$97,KVD!$F$97,$A25)</f>
        <v>0.15507462604721811</v>
      </c>
      <c r="T25" s="3">
        <f t="shared" si="16"/>
        <v>0.16850697037372792</v>
      </c>
      <c r="U25" s="9">
        <f t="shared" si="17"/>
        <v>5.9344726083563302</v>
      </c>
      <c r="V25" s="32">
        <f t="shared" si="18"/>
        <v>4.6757951220208371E-2</v>
      </c>
    </row>
    <row r="26" spans="1:22" x14ac:dyDescent="0.25">
      <c r="A26" s="23">
        <f t="shared" si="4"/>
        <v>127.5</v>
      </c>
      <c r="B26" s="13">
        <f t="shared" si="5"/>
        <v>125</v>
      </c>
      <c r="C26" s="8"/>
      <c r="D26" s="3"/>
      <c r="E26" s="3"/>
      <c r="F26" s="32"/>
      <c r="G26" s="8"/>
      <c r="H26" s="3"/>
      <c r="I26" s="3"/>
      <c r="J26" s="13"/>
      <c r="K26" s="8"/>
      <c r="L26" s="3"/>
      <c r="M26" s="3"/>
      <c r="N26" s="13"/>
      <c r="O26" s="8">
        <f>1-GEVCUM(KVD!$D$96,KVD!$E$96,KVD!$F$96,$A26)</f>
        <v>9.5707329419867815E-2</v>
      </c>
      <c r="P26" s="3">
        <f t="shared" si="10"/>
        <v>0.10060222034415192</v>
      </c>
      <c r="Q26" s="3">
        <f t="shared" si="11"/>
        <v>9.940138463933323</v>
      </c>
      <c r="R26" s="13">
        <f t="shared" si="15"/>
        <v>2.9247361035418751E-2</v>
      </c>
      <c r="S26" s="8">
        <f>1-GEVCUM(KVD!$D$97,KVD!$E$97,KVD!$F$97,$A26)</f>
        <v>0.12313317240783406</v>
      </c>
      <c r="T26" s="3">
        <f t="shared" si="16"/>
        <v>0.13140014809224548</v>
      </c>
      <c r="U26" s="9">
        <f t="shared" si="17"/>
        <v>7.6103414989911604</v>
      </c>
      <c r="V26" s="32">
        <f t="shared" si="18"/>
        <v>3.7106822281482432E-2</v>
      </c>
    </row>
    <row r="27" spans="1:22" x14ac:dyDescent="0.25">
      <c r="A27" s="23">
        <f t="shared" si="4"/>
        <v>132.5</v>
      </c>
      <c r="B27" s="13">
        <f t="shared" si="5"/>
        <v>130</v>
      </c>
      <c r="C27" s="8"/>
      <c r="D27" s="3"/>
      <c r="E27" s="3"/>
      <c r="F27" s="32"/>
      <c r="G27" s="8"/>
      <c r="H27" s="3"/>
      <c r="I27" s="3"/>
      <c r="J27" s="13"/>
      <c r="K27" s="8"/>
      <c r="L27" s="3"/>
      <c r="M27" s="3"/>
      <c r="N27" s="13"/>
      <c r="O27" s="8">
        <f>1-GEVCUM(KVD!$D$96,KVD!$E$96,KVD!$F$96,$A27)</f>
        <v>7.4764165162917728E-2</v>
      </c>
      <c r="P27" s="3">
        <f t="shared" si="10"/>
        <v>7.770661738498813E-2</v>
      </c>
      <c r="Q27" s="3">
        <f t="shared" si="11"/>
        <v>12.868916878026226</v>
      </c>
      <c r="R27" s="13">
        <f t="shared" si="15"/>
        <v>2.2895602959163791E-2</v>
      </c>
      <c r="S27" s="8">
        <f>1-GEVCUM(KVD!$D$97,KVD!$E$97,KVD!$F$97,$A27)</f>
        <v>9.7024328996532461E-2</v>
      </c>
      <c r="T27" s="3">
        <f t="shared" si="16"/>
        <v>0.10205966833843984</v>
      </c>
      <c r="U27" s="9">
        <f t="shared" si="17"/>
        <v>9.7981897872125376</v>
      </c>
      <c r="V27" s="32">
        <f t="shared" si="18"/>
        <v>2.9340479753805646E-2</v>
      </c>
    </row>
    <row r="28" spans="1:22" x14ac:dyDescent="0.25">
      <c r="A28" s="23">
        <f t="shared" si="4"/>
        <v>137.5</v>
      </c>
      <c r="B28" s="13">
        <f t="shared" si="5"/>
        <v>135</v>
      </c>
      <c r="C28" s="8"/>
      <c r="D28" s="3"/>
      <c r="E28" s="3"/>
      <c r="F28" s="32"/>
      <c r="G28" s="8"/>
      <c r="H28" s="3"/>
      <c r="I28" s="3"/>
      <c r="J28" s="13"/>
      <c r="K28" s="8"/>
      <c r="L28" s="3"/>
      <c r="M28" s="3"/>
      <c r="N28" s="13"/>
      <c r="O28" s="8">
        <f>1-GEVCUM(KVD!$D$96,KVD!$E$96,KVD!$F$96,$A28)</f>
        <v>5.8080700702914934E-2</v>
      </c>
      <c r="P28" s="3">
        <f t="shared" si="10"/>
        <v>5.9835677611621403E-2</v>
      </c>
      <c r="Q28" s="3">
        <f t="shared" si="11"/>
        <v>16.712437126403962</v>
      </c>
      <c r="R28" s="13">
        <f t="shared" si="15"/>
        <v>1.787093977336672E-2</v>
      </c>
      <c r="S28" s="8">
        <f>1-GEVCUM(KVD!$D$97,KVD!$E$97,KVD!$F$97,$A28)</f>
        <v>7.5911350761434626E-2</v>
      </c>
      <c r="T28" s="3">
        <f t="shared" si="16"/>
        <v>7.8947271208092695E-2</v>
      </c>
      <c r="U28" s="9">
        <f t="shared" si="17"/>
        <v>12.666682263965223</v>
      </c>
      <c r="V28" s="32">
        <f t="shared" si="18"/>
        <v>2.3112397130347143E-2</v>
      </c>
    </row>
    <row r="29" spans="1:22" x14ac:dyDescent="0.25">
      <c r="A29" s="23">
        <f t="shared" si="4"/>
        <v>142.5</v>
      </c>
      <c r="B29" s="13">
        <f t="shared" si="5"/>
        <v>140</v>
      </c>
      <c r="C29" s="8"/>
      <c r="D29" s="3"/>
      <c r="E29" s="3"/>
      <c r="F29" s="32"/>
      <c r="G29" s="8"/>
      <c r="H29" s="3"/>
      <c r="I29" s="3"/>
      <c r="J29" s="13"/>
      <c r="K29" s="8"/>
      <c r="L29" s="3"/>
      <c r="M29" s="3"/>
      <c r="N29" s="13"/>
      <c r="O29" s="8">
        <f>1-GEVCUM(KVD!$D$96,KVD!$E$96,KVD!$F$96,$A29)</f>
        <v>4.4889661097772704E-2</v>
      </c>
      <c r="P29" s="3">
        <f t="shared" si="10"/>
        <v>4.5928407057905546E-2</v>
      </c>
      <c r="Q29" s="3">
        <f t="shared" si="11"/>
        <v>21.773017268794487</v>
      </c>
      <c r="R29" s="13">
        <f t="shared" si="15"/>
        <v>1.3907270553715864E-2</v>
      </c>
      <c r="S29" s="8">
        <f>1-GEVCUM(KVD!$D$97,KVD!$E$97,KVD!$F$97,$A29)</f>
        <v>5.8999485908794114E-2</v>
      </c>
      <c r="T29" s="3">
        <f t="shared" si="16"/>
        <v>6.0811593072564583E-2</v>
      </c>
      <c r="U29" s="9">
        <f t="shared" si="17"/>
        <v>16.444232908135312</v>
      </c>
      <c r="V29" s="32">
        <f t="shared" si="18"/>
        <v>1.8135678135528105E-2</v>
      </c>
    </row>
    <row r="30" spans="1:22" x14ac:dyDescent="0.25">
      <c r="A30" s="23">
        <f t="shared" si="4"/>
        <v>147.5</v>
      </c>
      <c r="B30" s="13">
        <f t="shared" si="5"/>
        <v>145</v>
      </c>
      <c r="C30" s="8"/>
      <c r="D30" s="3"/>
      <c r="E30" s="3"/>
      <c r="F30" s="32"/>
      <c r="G30" s="8"/>
      <c r="H30" s="3"/>
      <c r="I30" s="3"/>
      <c r="J30" s="13"/>
      <c r="K30" s="8"/>
      <c r="L30" s="3"/>
      <c r="M30" s="3"/>
      <c r="N30" s="13"/>
      <c r="O30" s="8">
        <f>1-GEVCUM(KVD!$D$96,KVD!$E$96,KVD!$F$96,$A30)</f>
        <v>3.4528644449231094E-2</v>
      </c>
      <c r="P30" s="3">
        <f t="shared" si="10"/>
        <v>3.5138845548732277E-2</v>
      </c>
      <c r="Q30" s="3">
        <f t="shared" si="11"/>
        <v>28.458533124349543</v>
      </c>
      <c r="R30" s="13">
        <f t="shared" si="15"/>
        <v>1.0789561509173269E-2</v>
      </c>
      <c r="S30" s="8">
        <f>1-GEVCUM(KVD!$D$97,KVD!$E$97,KVD!$F$97,$A30)</f>
        <v>4.5567231213122561E-2</v>
      </c>
      <c r="T30" s="3">
        <f t="shared" si="16"/>
        <v>4.6638074350629576E-2</v>
      </c>
      <c r="U30" s="9">
        <f t="shared" si="17"/>
        <v>21.441708602329992</v>
      </c>
      <c r="V30" s="32">
        <f t="shared" si="18"/>
        <v>1.4173518721935015E-2</v>
      </c>
    </row>
    <row r="31" spans="1:22" x14ac:dyDescent="0.25">
      <c r="A31" s="23">
        <f t="shared" si="4"/>
        <v>152.5</v>
      </c>
      <c r="B31" s="13">
        <f t="shared" si="5"/>
        <v>150</v>
      </c>
      <c r="C31" s="8"/>
      <c r="D31" s="3"/>
      <c r="E31" s="3"/>
      <c r="F31" s="32"/>
      <c r="G31" s="8"/>
      <c r="H31" s="3"/>
      <c r="I31" s="3"/>
      <c r="J31" s="13"/>
      <c r="K31" s="8"/>
      <c r="L31" s="3"/>
      <c r="M31" s="3"/>
      <c r="N31" s="13"/>
      <c r="O31" s="8">
        <f>1-GEVCUM(KVD!$D$96,KVD!$E$96,KVD!$F$96,$A31)</f>
        <v>2.6438566723473778E-2</v>
      </c>
      <c r="P31" s="3">
        <f t="shared" si="10"/>
        <v>2.6794350586711983E-2</v>
      </c>
      <c r="Q31" s="3">
        <f t="shared" si="11"/>
        <v>37.321300128689295</v>
      </c>
      <c r="R31" s="13">
        <f t="shared" si="15"/>
        <v>3.5138845548732277E-2</v>
      </c>
      <c r="S31" s="8">
        <f>1-GEVCUM(KVD!$D$97,KVD!$E$97,KVD!$F$97,$A31)</f>
        <v>3.4980527264892536E-2</v>
      </c>
      <c r="T31" s="3">
        <f t="shared" si="16"/>
        <v>3.5606998846633049E-2</v>
      </c>
      <c r="U31" s="9">
        <f t="shared" si="17"/>
        <v>28.084366343459994</v>
      </c>
      <c r="V31" s="32">
        <f t="shared" si="18"/>
        <v>1.1031075503996526E-2</v>
      </c>
    </row>
    <row r="32" spans="1:22" x14ac:dyDescent="0.25">
      <c r="A32" s="23">
        <f t="shared" si="4"/>
        <v>157.5</v>
      </c>
      <c r="B32" s="13">
        <f t="shared" si="5"/>
        <v>155</v>
      </c>
      <c r="C32" s="8"/>
      <c r="D32" s="3"/>
      <c r="E32" s="3"/>
      <c r="F32" s="32"/>
      <c r="G32" s="8"/>
      <c r="H32" s="3"/>
      <c r="I32" s="3"/>
      <c r="J32" s="13"/>
      <c r="K32" s="8"/>
      <c r="L32" s="3"/>
      <c r="M32" s="3"/>
      <c r="N32" s="13"/>
      <c r="O32" s="8"/>
      <c r="P32" s="3"/>
      <c r="Q32" s="3"/>
      <c r="R32" s="13"/>
      <c r="S32" s="8">
        <f>1-GEVCUM(KVD!$D$97,KVD!$E$97,KVD!$F$97,$A32)</f>
        <v>2.6695647331879346E-2</v>
      </c>
      <c r="T32" s="3">
        <f t="shared" si="16"/>
        <v>2.7058447487233607E-2</v>
      </c>
      <c r="U32" s="9">
        <f t="shared" si="17"/>
        <v>36.957035338845955</v>
      </c>
      <c r="V32" s="32">
        <f t="shared" si="18"/>
        <v>3.5606998846633049E-2</v>
      </c>
    </row>
    <row r="33" spans="1:22" x14ac:dyDescent="0.25">
      <c r="A33" s="23">
        <f t="shared" si="4"/>
        <v>162.5</v>
      </c>
      <c r="B33" s="13">
        <f t="shared" si="5"/>
        <v>160</v>
      </c>
      <c r="C33" s="8"/>
      <c r="D33" s="3"/>
      <c r="E33" s="3"/>
      <c r="F33" s="32"/>
      <c r="G33" s="8"/>
      <c r="H33" s="3"/>
      <c r="I33" s="3"/>
      <c r="J33" s="13"/>
      <c r="K33" s="8"/>
      <c r="L33" s="3"/>
      <c r="M33" s="3"/>
      <c r="N33" s="13"/>
      <c r="O33" s="8"/>
      <c r="P33" s="3"/>
      <c r="Q33" s="3"/>
      <c r="R33" s="13"/>
      <c r="S33" s="8"/>
      <c r="T33" s="3"/>
      <c r="U33" s="9"/>
      <c r="V33" s="32"/>
    </row>
    <row r="34" spans="1:22" x14ac:dyDescent="0.25">
      <c r="A34" s="23">
        <f t="shared" si="4"/>
        <v>167.5</v>
      </c>
      <c r="B34" s="13">
        <f t="shared" si="5"/>
        <v>165</v>
      </c>
      <c r="C34" s="8"/>
      <c r="D34" s="3"/>
      <c r="E34" s="3"/>
      <c r="F34" s="32"/>
      <c r="G34" s="8"/>
      <c r="H34" s="3"/>
      <c r="I34" s="3"/>
      <c r="J34" s="13"/>
      <c r="K34" s="8"/>
      <c r="L34" s="3"/>
      <c r="M34" s="3"/>
      <c r="N34" s="13"/>
      <c r="O34" s="8"/>
      <c r="P34" s="3"/>
      <c r="Q34" s="3"/>
      <c r="R34" s="13"/>
      <c r="S34" s="8"/>
      <c r="T34" s="3"/>
      <c r="U34" s="9"/>
      <c r="V34" s="32"/>
    </row>
    <row r="35" spans="1:22" x14ac:dyDescent="0.25">
      <c r="A35" s="23">
        <f t="shared" si="4"/>
        <v>172.5</v>
      </c>
      <c r="B35" s="13">
        <f t="shared" si="5"/>
        <v>170</v>
      </c>
      <c r="C35" s="8"/>
      <c r="D35" s="3"/>
      <c r="E35" s="3"/>
      <c r="F35" s="32"/>
      <c r="G35" s="8"/>
      <c r="H35" s="3"/>
      <c r="I35" s="3"/>
      <c r="J35" s="13"/>
      <c r="K35" s="8"/>
      <c r="L35" s="3"/>
      <c r="M35" s="3"/>
      <c r="N35" s="13"/>
      <c r="O35" s="8"/>
      <c r="P35" s="3"/>
      <c r="Q35" s="3"/>
      <c r="R35" s="13"/>
      <c r="S35" s="8"/>
      <c r="T35" s="3"/>
      <c r="U35" s="9"/>
      <c r="V35" s="32"/>
    </row>
    <row r="36" spans="1:22" x14ac:dyDescent="0.25">
      <c r="A36" s="23">
        <f t="shared" si="4"/>
        <v>177.5</v>
      </c>
      <c r="B36" s="13">
        <f t="shared" si="5"/>
        <v>175</v>
      </c>
      <c r="C36" s="8"/>
      <c r="D36" s="3"/>
      <c r="E36" s="3"/>
      <c r="F36" s="32"/>
      <c r="G36" s="8"/>
      <c r="H36" s="3"/>
      <c r="I36" s="3"/>
      <c r="J36" s="13"/>
      <c r="K36" s="8"/>
      <c r="L36" s="3"/>
      <c r="M36" s="3"/>
      <c r="N36" s="13"/>
      <c r="O36" s="8"/>
      <c r="P36" s="3"/>
      <c r="Q36" s="3"/>
      <c r="R36" s="13"/>
      <c r="S36" s="8"/>
      <c r="T36" s="3"/>
      <c r="U36" s="9"/>
      <c r="V36" s="32"/>
    </row>
    <row r="37" spans="1:22" x14ac:dyDescent="0.25">
      <c r="A37" s="14">
        <f t="shared" si="4"/>
        <v>182.5</v>
      </c>
      <c r="B37" s="15">
        <f t="shared" si="5"/>
        <v>180</v>
      </c>
      <c r="C37" s="10"/>
      <c r="D37" s="4"/>
      <c r="E37" s="4"/>
      <c r="F37" s="33"/>
      <c r="G37" s="10"/>
      <c r="H37" s="4"/>
      <c r="I37" s="4"/>
      <c r="J37" s="15"/>
      <c r="K37" s="10"/>
      <c r="L37" s="4"/>
      <c r="M37" s="4"/>
      <c r="N37" s="15"/>
      <c r="O37" s="8"/>
      <c r="P37" s="3"/>
      <c r="Q37" s="3"/>
      <c r="R37" s="13"/>
      <c r="S37" s="8"/>
      <c r="T37" s="3"/>
      <c r="U37" s="9"/>
      <c r="V37" s="32"/>
    </row>
    <row r="38" spans="1:22" x14ac:dyDescent="0.25">
      <c r="A38" s="14">
        <f t="shared" si="4"/>
        <v>187.5</v>
      </c>
      <c r="B38" s="15">
        <f t="shared" si="5"/>
        <v>185</v>
      </c>
      <c r="O38" s="8"/>
      <c r="P38" s="3"/>
      <c r="Q38" s="3"/>
      <c r="R38" s="13"/>
      <c r="S38" s="8"/>
      <c r="T38" s="3"/>
      <c r="U38" s="9"/>
      <c r="V38" s="32"/>
    </row>
    <row r="39" spans="1:22" x14ac:dyDescent="0.25">
      <c r="A39" s="14">
        <f t="shared" si="4"/>
        <v>192.5</v>
      </c>
      <c r="B39" s="15">
        <f t="shared" si="5"/>
        <v>190</v>
      </c>
      <c r="O39" s="8"/>
      <c r="P39" s="3"/>
      <c r="Q39" s="3"/>
      <c r="R39" s="13"/>
      <c r="S39" s="8"/>
      <c r="T39" s="3"/>
      <c r="U39" s="9"/>
      <c r="V39" s="32"/>
    </row>
    <row r="40" spans="1:22" x14ac:dyDescent="0.25">
      <c r="A40" s="14">
        <f t="shared" si="4"/>
        <v>197.5</v>
      </c>
      <c r="B40" s="15">
        <f t="shared" si="5"/>
        <v>195</v>
      </c>
      <c r="S40" s="8"/>
      <c r="T40" s="3"/>
      <c r="U40" s="9"/>
      <c r="V40" s="32"/>
    </row>
  </sheetData>
  <mergeCells count="11">
    <mergeCell ref="S2:U2"/>
    <mergeCell ref="A1:B2"/>
    <mergeCell ref="C1:F1"/>
    <mergeCell ref="G1:J1"/>
    <mergeCell ref="K1:N1"/>
    <mergeCell ref="O1:R1"/>
    <mergeCell ref="S1:V1"/>
    <mergeCell ref="C2:E2"/>
    <mergeCell ref="G2:I2"/>
    <mergeCell ref="K2:M2"/>
    <mergeCell ref="O2:Q2"/>
  </mergeCells>
  <pageMargins left="0.7" right="0.7" top="0.75" bottom="0.75" header="0.3" footer="0.3"/>
  <pageSetup paperSize="0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Blad23">
    <tabColor theme="6"/>
  </sheetPr>
  <dimension ref="A1:V40"/>
  <sheetViews>
    <sheetView topLeftCell="H1" workbookViewId="0">
      <selection activeCell="V6" sqref="V6:V33"/>
    </sheetView>
  </sheetViews>
  <sheetFormatPr defaultColWidth="9.140625" defaultRowHeight="15" x14ac:dyDescent="0.25"/>
  <cols>
    <col min="1" max="1" width="11.42578125" bestFit="1" customWidth="1"/>
    <col min="2" max="2" width="14" bestFit="1" customWidth="1"/>
    <col min="4" max="4" width="12.28515625" style="19" bestFit="1" customWidth="1"/>
    <col min="5" max="5" width="12" style="19" bestFit="1" customWidth="1"/>
    <col min="6" max="6" width="14.7109375" bestFit="1" customWidth="1"/>
    <col min="8" max="8" width="12.28515625" bestFit="1" customWidth="1"/>
    <col min="9" max="9" width="12" bestFit="1" customWidth="1"/>
    <col min="10" max="10" width="13.7109375" bestFit="1" customWidth="1"/>
    <col min="12" max="12" width="12.28515625" bestFit="1" customWidth="1"/>
    <col min="13" max="13" width="18.85546875" bestFit="1" customWidth="1"/>
    <col min="14" max="14" width="14.7109375" bestFit="1" customWidth="1"/>
    <col min="15" max="15" width="7.7109375" bestFit="1" customWidth="1"/>
    <col min="16" max="16" width="12.28515625" bestFit="1" customWidth="1"/>
    <col min="17" max="17" width="16.42578125" bestFit="1" customWidth="1"/>
    <col min="18" max="18" width="14.7109375" bestFit="1" customWidth="1"/>
    <col min="19" max="19" width="7.7109375" bestFit="1" customWidth="1"/>
    <col min="20" max="20" width="12.28515625" bestFit="1" customWidth="1"/>
    <col min="21" max="21" width="11.42578125" bestFit="1" customWidth="1"/>
    <col min="22" max="22" width="14.7109375" bestFit="1" customWidth="1"/>
  </cols>
  <sheetData>
    <row r="1" spans="1:22" x14ac:dyDescent="0.25">
      <c r="A1" s="50" t="s">
        <v>15</v>
      </c>
      <c r="B1" s="51"/>
      <c r="C1" s="63">
        <v>24</v>
      </c>
      <c r="D1" s="64"/>
      <c r="E1" s="64"/>
      <c r="F1" s="65"/>
      <c r="G1" s="66">
        <v>48</v>
      </c>
      <c r="H1" s="67"/>
      <c r="I1" s="67"/>
      <c r="J1" s="68"/>
      <c r="K1" s="66">
        <v>96</v>
      </c>
      <c r="L1" s="67"/>
      <c r="M1" s="67"/>
      <c r="N1" s="68"/>
      <c r="O1" s="66">
        <v>192</v>
      </c>
      <c r="P1" s="67"/>
      <c r="Q1" s="67"/>
      <c r="R1" s="68"/>
      <c r="S1" s="60">
        <v>216</v>
      </c>
      <c r="T1" s="61"/>
      <c r="U1" s="61"/>
      <c r="V1" s="62"/>
    </row>
    <row r="2" spans="1:22" x14ac:dyDescent="0.25">
      <c r="A2" s="52"/>
      <c r="B2" s="53"/>
      <c r="C2" s="57" t="s">
        <v>9</v>
      </c>
      <c r="D2" s="58"/>
      <c r="E2" s="59"/>
      <c r="F2" s="30">
        <f>24/24*365.25</f>
        <v>365.25</v>
      </c>
      <c r="G2" s="54" t="s">
        <v>9</v>
      </c>
      <c r="H2" s="55"/>
      <c r="I2" s="56"/>
      <c r="J2" s="30">
        <f>24/48*365.25</f>
        <v>182.625</v>
      </c>
      <c r="K2" s="54" t="s">
        <v>9</v>
      </c>
      <c r="L2" s="55"/>
      <c r="M2" s="56"/>
      <c r="N2" s="30">
        <f>24/96*365.25</f>
        <v>91.3125</v>
      </c>
      <c r="O2" s="54" t="s">
        <v>9</v>
      </c>
      <c r="P2" s="55"/>
      <c r="Q2" s="56"/>
      <c r="R2" s="30">
        <f>24/192*365.25</f>
        <v>45.65625</v>
      </c>
      <c r="S2" s="54" t="s">
        <v>9</v>
      </c>
      <c r="T2" s="55"/>
      <c r="U2" s="56"/>
      <c r="V2" s="30">
        <f>24/216*365.25</f>
        <v>40.583333333333329</v>
      </c>
    </row>
    <row r="3" spans="1:22" x14ac:dyDescent="0.25">
      <c r="A3" s="24" t="s">
        <v>12</v>
      </c>
      <c r="B3" s="27" t="s">
        <v>14</v>
      </c>
      <c r="C3" s="24" t="s">
        <v>8</v>
      </c>
      <c r="D3" s="25" t="s">
        <v>10</v>
      </c>
      <c r="E3" s="26" t="s">
        <v>17</v>
      </c>
      <c r="F3" s="36" t="s">
        <v>13</v>
      </c>
      <c r="G3" s="24" t="s">
        <v>8</v>
      </c>
      <c r="H3" s="25" t="s">
        <v>10</v>
      </c>
      <c r="I3" s="26" t="s">
        <v>17</v>
      </c>
      <c r="J3" s="29" t="s">
        <v>13</v>
      </c>
      <c r="K3" s="24" t="s">
        <v>8</v>
      </c>
      <c r="L3" s="25" t="s">
        <v>10</v>
      </c>
      <c r="M3" s="26" t="s">
        <v>17</v>
      </c>
      <c r="N3" s="29" t="s">
        <v>13</v>
      </c>
      <c r="O3" s="24" t="s">
        <v>8</v>
      </c>
      <c r="P3" s="25" t="s">
        <v>10</v>
      </c>
      <c r="Q3" s="26" t="s">
        <v>17</v>
      </c>
      <c r="R3" s="29" t="s">
        <v>13</v>
      </c>
      <c r="S3" s="24" t="s">
        <v>8</v>
      </c>
      <c r="T3" s="25" t="s">
        <v>10</v>
      </c>
      <c r="U3" s="26" t="s">
        <v>17</v>
      </c>
      <c r="V3" s="29" t="s">
        <v>13</v>
      </c>
    </row>
    <row r="4" spans="1:22" x14ac:dyDescent="0.25">
      <c r="A4" s="34">
        <v>17.5</v>
      </c>
      <c r="B4" s="12">
        <f>A4-2.5</f>
        <v>15</v>
      </c>
      <c r="C4" s="8">
        <f>1-GEVCUM(KVD!$D$98,KVD!$E$98,KVD!$F$98,$A4)</f>
        <v>0.99856046814661537</v>
      </c>
      <c r="D4" s="3">
        <f t="shared" ref="D4:D20" si="0">-LN(1-C4)</f>
        <v>6.5434373200675058</v>
      </c>
      <c r="E4" s="3">
        <f t="shared" ref="E4:E20" si="1">1/D4</f>
        <v>0.15282487645036133</v>
      </c>
      <c r="F4" s="31">
        <f>KLASSEFREQUENTIEUITHERHALINGSTIJD(F$2,E3,E4,E5)</f>
        <v>358.70656267993252</v>
      </c>
      <c r="G4" s="8">
        <f>1-GEVCUM(KVD!$D$99,KVD!$E$99,KVD!$F$99,$A4)</f>
        <v>0.99999776864289791</v>
      </c>
      <c r="H4" s="2">
        <f t="shared" ref="H4:H22" si="2">-LN(1-G4)</f>
        <v>13.012900591634077</v>
      </c>
      <c r="I4" s="2">
        <f t="shared" ref="I4:I22" si="3">1/H4</f>
        <v>7.6846817737383971E-2</v>
      </c>
      <c r="J4" s="12">
        <f>KLASSEFREQUENTIEUITHERHALINGSTIJD(J$2,I3,I4,I5)</f>
        <v>169.61209940836594</v>
      </c>
      <c r="K4" s="35"/>
      <c r="L4" s="2"/>
      <c r="M4" s="2"/>
      <c r="N4" s="12"/>
      <c r="O4" s="35"/>
      <c r="P4" s="2"/>
      <c r="Q4" s="2"/>
      <c r="R4" s="12"/>
      <c r="S4" s="35"/>
      <c r="T4" s="2"/>
      <c r="U4" s="37"/>
      <c r="V4" s="31"/>
    </row>
    <row r="5" spans="1:22" x14ac:dyDescent="0.25">
      <c r="A5" s="23">
        <f t="shared" ref="A5:A40" si="4">A4+5</f>
        <v>22.5</v>
      </c>
      <c r="B5" s="13">
        <f t="shared" ref="B5:B40" si="5">A5-2.5</f>
        <v>20</v>
      </c>
      <c r="C5" s="8">
        <f>1-GEVCUM(KVD!$D$98,KVD!$E$98,KVD!$F$98,$A5)</f>
        <v>0.94866401681770685</v>
      </c>
      <c r="D5" s="3">
        <f t="shared" si="0"/>
        <v>2.969363346134624</v>
      </c>
      <c r="E5" s="3">
        <f t="shared" si="1"/>
        <v>0.33677252778840705</v>
      </c>
      <c r="F5" s="32">
        <f t="shared" ref="F5:F20" si="6">KLASSEFREQUENTIEUITHERHALINGSTIJD(F$2,E4,E5,E6)</f>
        <v>3.5740739739328817</v>
      </c>
      <c r="G5" s="8">
        <f>1-GEVCUM(KVD!$D$99,KVD!$E$99,KVD!$F$99,$A5)</f>
        <v>0.99921330099752126</v>
      </c>
      <c r="H5" s="3">
        <f t="shared" si="2"/>
        <v>7.1476648446116515</v>
      </c>
      <c r="I5" s="3">
        <f t="shared" si="3"/>
        <v>0.13990583242775595</v>
      </c>
      <c r="J5" s="13">
        <f t="shared" ref="J5:J22" si="7">KLASSEFREQUENTIEUITHERHALINGSTIJD(J$2,I4,I5,I6)</f>
        <v>5.8652357470224254</v>
      </c>
      <c r="K5" s="8">
        <f>1-GEVCUM(KVD!$D$100,KVD!$E$100,KVD!$F$100,$A5)</f>
        <v>0.99999795082026355</v>
      </c>
      <c r="L5" s="3">
        <f t="shared" ref="L5:L25" si="8">-LN(1-K5)</f>
        <v>13.098070973446793</v>
      </c>
      <c r="M5" s="3">
        <f t="shared" ref="M5:M25" si="9">1/L5</f>
        <v>7.6347120276509486E-2</v>
      </c>
      <c r="N5" s="13">
        <f>KLASSEFREQUENTIEUITHERHALINGSTIJD(N$2,M4,M5,M6)</f>
        <v>78.214429026553205</v>
      </c>
      <c r="O5" s="8"/>
      <c r="P5" s="3"/>
      <c r="Q5" s="3"/>
      <c r="R5" s="13"/>
      <c r="S5" s="8"/>
      <c r="T5" s="3"/>
      <c r="U5" s="9"/>
      <c r="V5" s="32"/>
    </row>
    <row r="6" spans="1:22" x14ac:dyDescent="0.25">
      <c r="A6" s="23">
        <f t="shared" si="4"/>
        <v>27.5</v>
      </c>
      <c r="B6" s="13">
        <f t="shared" si="5"/>
        <v>25</v>
      </c>
      <c r="C6" s="8">
        <f>1-GEVCUM(KVD!$D$98,KVD!$E$98,KVD!$F$98,$A6)</f>
        <v>0.75507866640220755</v>
      </c>
      <c r="D6" s="3">
        <f t="shared" si="0"/>
        <v>1.4068182073529414</v>
      </c>
      <c r="E6" s="3">
        <f t="shared" si="1"/>
        <v>0.7108238966295386</v>
      </c>
      <c r="F6" s="32">
        <f t="shared" si="6"/>
        <v>1.5625451387816827</v>
      </c>
      <c r="G6" s="8">
        <f>1-GEVCUM(KVD!$D$99,KVD!$E$99,KVD!$F$99,$A6)</f>
        <v>0.98174203933577087</v>
      </c>
      <c r="H6" s="3">
        <f t="shared" si="2"/>
        <v>4.0031540932818617</v>
      </c>
      <c r="I6" s="3">
        <f t="shared" si="3"/>
        <v>0.2498030244896671</v>
      </c>
      <c r="J6" s="13">
        <f t="shared" si="7"/>
        <v>3.1445107513297899</v>
      </c>
      <c r="K6" s="8">
        <f>1-GEVCUM(KVD!$D$100,KVD!$E$100,KVD!$F$100,$A6)</f>
        <v>0.99983723421087356</v>
      </c>
      <c r="L6" s="3">
        <f t="shared" si="8"/>
        <v>8.7231982669794252</v>
      </c>
      <c r="M6" s="3">
        <f t="shared" si="9"/>
        <v>0.11463685329558251</v>
      </c>
      <c r="N6" s="13">
        <f t="shared" ref="N6:N25" si="10">KLASSEFREQUENTIEUITHERHALINGSTIJD(N$2,M5,M6,M7)</f>
        <v>4.374872706467368</v>
      </c>
      <c r="O6" s="8">
        <f>1-GEVCUM(KVD!$D$101,KVD!$E$101,KVD!$F$101,$A6)</f>
        <v>0.9999975902169066</v>
      </c>
      <c r="P6" s="3">
        <f t="shared" ref="P6:P32" si="11">-LN(1-O6)</f>
        <v>12.935973817248943</v>
      </c>
      <c r="Q6" s="3">
        <f t="shared" ref="Q6:Q32" si="12">1/P6</f>
        <v>7.73038051968373E-2</v>
      </c>
      <c r="R6" s="13">
        <f>KLASSEFREQUENTIEUITHERHALINGSTIJD(R$2,Q5,Q6,Q7)</f>
        <v>32.720276182751057</v>
      </c>
      <c r="S6" s="8">
        <f>1-GEVCUM(KVD!$D$102,KVD!$E$102,KVD!$F$102,$A6)</f>
        <v>0.99999818981999056</v>
      </c>
      <c r="T6" s="3">
        <f t="shared" ref="T6:T33" si="13">-LN(1-S6)</f>
        <v>13.22208426490082</v>
      </c>
      <c r="U6" s="9">
        <f t="shared" ref="U6:U33" si="14">1/T6</f>
        <v>7.5631041215989486E-2</v>
      </c>
      <c r="V6" s="32">
        <f>KLASSEFREQUENTIEUITHERHALINGSTIJD(V$2,U5,U6,U7)</f>
        <v>27.361249068432507</v>
      </c>
    </row>
    <row r="7" spans="1:22" x14ac:dyDescent="0.25">
      <c r="A7" s="23">
        <f t="shared" si="4"/>
        <v>32.5</v>
      </c>
      <c r="B7" s="13">
        <f t="shared" si="5"/>
        <v>30</v>
      </c>
      <c r="C7" s="8">
        <f>1-GEVCUM(KVD!$D$98,KVD!$E$98,KVD!$F$98,$A7)</f>
        <v>0.4998146066485375</v>
      </c>
      <c r="D7" s="3">
        <f t="shared" si="0"/>
        <v>0.69277646258142234</v>
      </c>
      <c r="E7" s="3">
        <f t="shared" si="1"/>
        <v>1.4434670546886104</v>
      </c>
      <c r="F7" s="32">
        <f t="shared" si="6"/>
        <v>0.71404174477151905</v>
      </c>
      <c r="G7" s="8">
        <f>1-GEVCUM(KVD!$D$99,KVD!$E$99,KVD!$F$99,$A7)</f>
        <v>0.89804964949448707</v>
      </c>
      <c r="H7" s="3">
        <f t="shared" si="2"/>
        <v>2.2832693439537239</v>
      </c>
      <c r="I7" s="3">
        <f t="shared" si="3"/>
        <v>0.43796847824724594</v>
      </c>
      <c r="J7" s="13">
        <f t="shared" si="7"/>
        <v>1.7198847493281377</v>
      </c>
      <c r="K7" s="8">
        <f>1-GEVCUM(KVD!$D$100,KVD!$E$100,KVD!$F$100,$A7)</f>
        <v>0.99706351023545248</v>
      </c>
      <c r="L7" s="3">
        <f t="shared" si="8"/>
        <v>5.8305403686037147</v>
      </c>
      <c r="M7" s="3">
        <f t="shared" si="9"/>
        <v>0.17151068970979064</v>
      </c>
      <c r="N7" s="13">
        <f t="shared" si="10"/>
        <v>2.8926578983757105</v>
      </c>
      <c r="O7" s="8">
        <f>1-GEVCUM(KVD!$D$101,KVD!$E$101,KVD!$F$101,$A7)</f>
        <v>0.99995906253103295</v>
      </c>
      <c r="P7" s="3">
        <f t="shared" si="11"/>
        <v>10.103464802625872</v>
      </c>
      <c r="Q7" s="3">
        <f t="shared" si="12"/>
        <v>9.8975947314638227E-2</v>
      </c>
      <c r="R7" s="13">
        <f t="shared" ref="R7:R32" si="15">KLASSEFREQUENTIEUITHERHALINGSTIJD(R$2,Q6,Q7,Q8)</f>
        <v>2.8325090146230689</v>
      </c>
      <c r="S7" s="8">
        <f>1-GEVCUM(KVD!$D$102,KVD!$E$102,KVD!$F$102,$A7)</f>
        <v>0.99997453889574417</v>
      </c>
      <c r="T7" s="3">
        <f t="shared" si="13"/>
        <v>10.57835859359054</v>
      </c>
      <c r="U7" s="9">
        <f t="shared" si="14"/>
        <v>9.453262442869946E-2</v>
      </c>
      <c r="V7" s="32">
        <f t="shared" ref="V7:V33" si="16">KLASSEFREQUENTIEUITHERHALINGSTIJD(V$2,U6,U7,U8)</f>
        <v>2.6437256713102801</v>
      </c>
    </row>
    <row r="8" spans="1:22" x14ac:dyDescent="0.25">
      <c r="A8" s="23">
        <f t="shared" si="4"/>
        <v>37.5</v>
      </c>
      <c r="B8" s="13">
        <f t="shared" si="5"/>
        <v>35</v>
      </c>
      <c r="C8" s="8">
        <f>1-GEVCUM(KVD!$D$98,KVD!$E$98,KVD!$F$98,$A8)</f>
        <v>0.29759599509007983</v>
      </c>
      <c r="D8" s="3">
        <f t="shared" si="0"/>
        <v>0.3532465349264598</v>
      </c>
      <c r="E8" s="3">
        <f t="shared" si="1"/>
        <v>2.830884102538143</v>
      </c>
      <c r="F8" s="32">
        <f t="shared" si="6"/>
        <v>0.33952992765496254</v>
      </c>
      <c r="G8" s="8">
        <f>1-GEVCUM(KVD!$D$99,KVD!$E$99,KVD!$F$99,$A8)</f>
        <v>0.73414033142654</v>
      </c>
      <c r="H8" s="3">
        <f t="shared" si="2"/>
        <v>1.3247866711640131</v>
      </c>
      <c r="I8" s="3">
        <f t="shared" si="3"/>
        <v>0.75483851231787991</v>
      </c>
      <c r="J8" s="13">
        <f t="shared" si="7"/>
        <v>0.95848267278971089</v>
      </c>
      <c r="K8" s="8">
        <f>1-GEVCUM(KVD!$D$100,KVD!$E$100,KVD!$F$100,$A8)</f>
        <v>0.97997794639075153</v>
      </c>
      <c r="L8" s="3">
        <f t="shared" si="8"/>
        <v>3.9109209324712753</v>
      </c>
      <c r="M8" s="3">
        <f t="shared" si="9"/>
        <v>0.25569425137114932</v>
      </c>
      <c r="N8" s="13">
        <f t="shared" si="10"/>
        <v>1.919619436132439</v>
      </c>
      <c r="O8" s="8">
        <f>1-GEVCUM(KVD!$D$101,KVD!$E$101,KVD!$F$101,$A8)</f>
        <v>0.99961749900200214</v>
      </c>
      <c r="P8" s="3">
        <f t="shared" si="11"/>
        <v>7.868779295556358</v>
      </c>
      <c r="Q8" s="3">
        <f t="shared" si="12"/>
        <v>0.12708451494690137</v>
      </c>
      <c r="R8" s="13">
        <f t="shared" si="15"/>
        <v>2.2346855070695142</v>
      </c>
      <c r="S8" s="8">
        <f>1-GEVCUM(KVD!$D$102,KVD!$E$102,KVD!$F$102,$A8)</f>
        <v>0.99978316429624503</v>
      </c>
      <c r="T8" s="3">
        <f t="shared" si="13"/>
        <v>8.4363706167412555</v>
      </c>
      <c r="U8" s="9">
        <f t="shared" si="14"/>
        <v>0.11853438468143938</v>
      </c>
      <c r="V8" s="32">
        <f t="shared" si="16"/>
        <v>2.1419879768492844</v>
      </c>
    </row>
    <row r="9" spans="1:22" x14ac:dyDescent="0.25">
      <c r="A9" s="23">
        <f t="shared" si="4"/>
        <v>42.5</v>
      </c>
      <c r="B9" s="13">
        <f t="shared" si="5"/>
        <v>40</v>
      </c>
      <c r="C9" s="8">
        <f>1-GEVCUM(KVD!$D$98,KVD!$E$98,KVD!$F$98,$A9)</f>
        <v>0.16964135653060464</v>
      </c>
      <c r="D9" s="3">
        <f t="shared" si="0"/>
        <v>0.18589757095452231</v>
      </c>
      <c r="E9" s="3">
        <f t="shared" si="1"/>
        <v>5.379306436686246</v>
      </c>
      <c r="F9" s="32">
        <f t="shared" si="6"/>
        <v>0.16734896397193749</v>
      </c>
      <c r="G9" s="8">
        <f>1-GEVCUM(KVD!$D$99,KVD!$E$99,KVD!$F$99,$A9)</f>
        <v>0.5421162332658821</v>
      </c>
      <c r="H9" s="3">
        <f t="shared" si="2"/>
        <v>0.78113991149999173</v>
      </c>
      <c r="I9" s="3">
        <f t="shared" si="3"/>
        <v>1.2801803944183827</v>
      </c>
      <c r="J9" s="13">
        <f t="shared" si="7"/>
        <v>0.54364675966402132</v>
      </c>
      <c r="K9" s="8">
        <f>1-GEVCUM(KVD!$D$100,KVD!$E$100,KVD!$F$100,$A9)</f>
        <v>0.9280977072005383</v>
      </c>
      <c r="L9" s="3">
        <f t="shared" si="8"/>
        <v>2.6324471260367042</v>
      </c>
      <c r="M9" s="3">
        <f t="shared" si="9"/>
        <v>0.37987467634556282</v>
      </c>
      <c r="N9" s="13">
        <f t="shared" si="10"/>
        <v>1.2784738064345715</v>
      </c>
      <c r="O9" s="8">
        <f>1-GEVCUM(KVD!$D$101,KVD!$E$101,KVD!$F$101,$A9)</f>
        <v>0.99778070781955663</v>
      </c>
      <c r="P9" s="3">
        <f t="shared" si="11"/>
        <v>6.110566971575599</v>
      </c>
      <c r="Q9" s="3">
        <f t="shared" si="12"/>
        <v>0.16365093528173077</v>
      </c>
      <c r="R9" s="13">
        <f t="shared" si="15"/>
        <v>1.758212323980759</v>
      </c>
      <c r="S9" s="8">
        <f>1-GEVCUM(KVD!$D$102,KVD!$E$102,KVD!$F$102,$A9)</f>
        <v>0.99877661254489003</v>
      </c>
      <c r="T9" s="3">
        <f t="shared" si="13"/>
        <v>6.7061316653280745</v>
      </c>
      <c r="U9" s="9">
        <f t="shared" si="14"/>
        <v>0.14911726311163598</v>
      </c>
      <c r="V9" s="32">
        <f t="shared" si="16"/>
        <v>1.7302389514131811</v>
      </c>
    </row>
    <row r="10" spans="1:22" x14ac:dyDescent="0.25">
      <c r="A10" s="23">
        <f t="shared" si="4"/>
        <v>47.5</v>
      </c>
      <c r="B10" s="13">
        <f t="shared" si="5"/>
        <v>45</v>
      </c>
      <c r="C10" s="8">
        <f>1-GEVCUM(KVD!$D$98,KVD!$E$98,KVD!$F$98,$A10)</f>
        <v>9.5779617529854311E-2</v>
      </c>
      <c r="D10" s="3">
        <f t="shared" si="0"/>
        <v>0.10068216238261614</v>
      </c>
      <c r="E10" s="3">
        <f t="shared" si="1"/>
        <v>9.9322459543505079</v>
      </c>
      <c r="F10" s="32">
        <f t="shared" si="6"/>
        <v>8.5215408571906168E-2</v>
      </c>
      <c r="G10" s="8">
        <f>1-GEVCUM(KVD!$D$99,KVD!$E$99,KVD!$F$99,$A10)</f>
        <v>0.37351569683760766</v>
      </c>
      <c r="H10" s="3">
        <f t="shared" si="2"/>
        <v>0.46763155976852255</v>
      </c>
      <c r="I10" s="3">
        <f t="shared" si="3"/>
        <v>2.1384356532630084</v>
      </c>
      <c r="J10" s="13">
        <f t="shared" si="7"/>
        <v>0.31350835173146924</v>
      </c>
      <c r="K10" s="8">
        <f>1-GEVCUM(KVD!$D$100,KVD!$E$100,KVD!$F$100,$A10)</f>
        <v>0.8310192803810792</v>
      </c>
      <c r="L10" s="3">
        <f t="shared" si="8"/>
        <v>1.7779706556624062</v>
      </c>
      <c r="M10" s="3">
        <f t="shared" si="9"/>
        <v>0.5624389788522336</v>
      </c>
      <c r="N10" s="13">
        <f t="shared" si="10"/>
        <v>0.85447647037429797</v>
      </c>
      <c r="O10" s="8">
        <f>1-GEVCUM(KVD!$D$101,KVD!$E$101,KVD!$F$101,$A10)</f>
        <v>0.99118332006254239</v>
      </c>
      <c r="P10" s="3">
        <f t="shared" si="11"/>
        <v>4.7311099041533922</v>
      </c>
      <c r="Q10" s="3">
        <f t="shared" si="12"/>
        <v>0.21136689281348345</v>
      </c>
      <c r="R10" s="13">
        <f t="shared" si="15"/>
        <v>1.3794570674222069</v>
      </c>
      <c r="S10" s="8">
        <f>1-GEVCUM(KVD!$D$102,KVD!$E$102,KVD!$F$102,$A10)</f>
        <v>0.99507203572080027</v>
      </c>
      <c r="T10" s="3">
        <f t="shared" si="13"/>
        <v>5.3128293013162056</v>
      </c>
      <c r="U10" s="9">
        <f t="shared" si="14"/>
        <v>0.18822362686342267</v>
      </c>
      <c r="V10" s="32">
        <f t="shared" si="16"/>
        <v>1.3933023640118689</v>
      </c>
    </row>
    <row r="11" spans="1:22" x14ac:dyDescent="0.25">
      <c r="A11" s="23">
        <f t="shared" si="4"/>
        <v>52.5</v>
      </c>
      <c r="B11" s="13">
        <f t="shared" si="5"/>
        <v>50</v>
      </c>
      <c r="C11" s="8">
        <f>1-GEVCUM(KVD!$D$98,KVD!$E$98,KVD!$F$98,$A11)</f>
        <v>5.4443342609527767E-2</v>
      </c>
      <c r="D11" s="3">
        <f t="shared" si="0"/>
        <v>5.5981469473795328E-2</v>
      </c>
      <c r="E11" s="3">
        <f t="shared" si="1"/>
        <v>17.863053781896443</v>
      </c>
      <c r="F11" s="32">
        <f t="shared" si="6"/>
        <v>4.470069290882081E-2</v>
      </c>
      <c r="G11" s="8">
        <f>1-GEVCUM(KVD!$D$99,KVD!$E$99,KVD!$F$99,$A11)</f>
        <v>0.24722561995268566</v>
      </c>
      <c r="H11" s="3">
        <f t="shared" si="2"/>
        <v>0.28398972417092461</v>
      </c>
      <c r="I11" s="3">
        <f t="shared" si="3"/>
        <v>3.521254168330862</v>
      </c>
      <c r="J11" s="13">
        <f t="shared" si="7"/>
        <v>0.18364183559759789</v>
      </c>
      <c r="K11" s="8">
        <f>1-GEVCUM(KVD!$D$100,KVD!$E$100,KVD!$F$100,$A11)</f>
        <v>0.70027588134334895</v>
      </c>
      <c r="L11" s="3">
        <f t="shared" si="8"/>
        <v>1.2048928318993706</v>
      </c>
      <c r="M11" s="3">
        <f t="shared" si="9"/>
        <v>0.82994933119787817</v>
      </c>
      <c r="N11" s="13">
        <f t="shared" si="10"/>
        <v>0.57307782376303562</v>
      </c>
      <c r="O11" s="8">
        <f>1-GEVCUM(KVD!$D$101,KVD!$E$101,KVD!$F$101,$A11)</f>
        <v>0.97405870553043428</v>
      </c>
      <c r="P11" s="3">
        <f t="shared" si="11"/>
        <v>3.6519191988884345</v>
      </c>
      <c r="Q11" s="3">
        <f t="shared" si="12"/>
        <v>0.27382862148329529</v>
      </c>
      <c r="R11" s="13">
        <f t="shared" si="15"/>
        <v>1.0791907052649581</v>
      </c>
      <c r="S11" s="8">
        <f>1-GEVCUM(KVD!$D$102,KVD!$E$102,KVD!$F$102,$A11)</f>
        <v>0.98492073714822492</v>
      </c>
      <c r="T11" s="3">
        <f t="shared" si="13"/>
        <v>4.1944348001053999</v>
      </c>
      <c r="U11" s="9">
        <f t="shared" si="14"/>
        <v>0.23841114420824266</v>
      </c>
      <c r="V11" s="32">
        <f t="shared" si="16"/>
        <v>1.1183945012108056</v>
      </c>
    </row>
    <row r="12" spans="1:22" x14ac:dyDescent="0.25">
      <c r="A12" s="23">
        <f t="shared" si="4"/>
        <v>57.5</v>
      </c>
      <c r="B12" s="13">
        <f t="shared" si="5"/>
        <v>55</v>
      </c>
      <c r="C12" s="8">
        <f>1-GEVCUM(KVD!$D$98,KVD!$E$98,KVD!$F$98,$A12)</f>
        <v>3.138377247736579E-2</v>
      </c>
      <c r="D12" s="3">
        <f t="shared" si="0"/>
        <v>3.1886795568138233E-2</v>
      </c>
      <c r="E12" s="3">
        <f t="shared" si="1"/>
        <v>31.360943681628989</v>
      </c>
      <c r="F12" s="32">
        <f t="shared" si="6"/>
        <v>2.4094673905657095E-2</v>
      </c>
      <c r="G12" s="8">
        <f>1-GEVCUM(KVD!$D$99,KVD!$E$99,KVD!$F$99,$A12)</f>
        <v>0.16039047608468593</v>
      </c>
      <c r="H12" s="3">
        <f t="shared" si="2"/>
        <v>0.17481834770395629</v>
      </c>
      <c r="I12" s="3">
        <f t="shared" si="3"/>
        <v>5.720223381206166</v>
      </c>
      <c r="J12" s="13">
        <f t="shared" si="7"/>
        <v>0.10917137646696831</v>
      </c>
      <c r="K12" s="8">
        <f>1-GEVCUM(KVD!$D$100,KVD!$E$100,KVD!$F$100,$A12)</f>
        <v>0.55922953188515812</v>
      </c>
      <c r="L12" s="3">
        <f t="shared" si="8"/>
        <v>0.81923101949747723</v>
      </c>
      <c r="M12" s="3">
        <f t="shared" si="9"/>
        <v>1.2206569040969761</v>
      </c>
      <c r="N12" s="13">
        <f t="shared" si="10"/>
        <v>0.38566181240189334</v>
      </c>
      <c r="O12" s="8">
        <f>1-GEVCUM(KVD!$D$101,KVD!$E$101,KVD!$F$101,$A12)</f>
        <v>0.93980188435318857</v>
      </c>
      <c r="P12" s="3">
        <f t="shared" si="11"/>
        <v>2.8101142287052481</v>
      </c>
      <c r="Q12" s="3">
        <f t="shared" si="12"/>
        <v>0.35585742023759193</v>
      </c>
      <c r="R12" s="13">
        <f t="shared" si="15"/>
        <v>0.84180497018318601</v>
      </c>
      <c r="S12" s="8">
        <f>1-GEVCUM(KVD!$D$102,KVD!$E$102,KVD!$F$102,$A12)</f>
        <v>0.96310431897514859</v>
      </c>
      <c r="T12" s="3">
        <f t="shared" si="13"/>
        <v>3.2996607801829834</v>
      </c>
      <c r="U12" s="9">
        <f t="shared" si="14"/>
        <v>0.30306145589442829</v>
      </c>
      <c r="V12" s="32">
        <f t="shared" si="16"/>
        <v>0.89477401992241656</v>
      </c>
    </row>
    <row r="13" spans="1:22" x14ac:dyDescent="0.25">
      <c r="A13" s="23">
        <f t="shared" si="4"/>
        <v>62.5</v>
      </c>
      <c r="B13" s="13">
        <f t="shared" si="5"/>
        <v>60</v>
      </c>
      <c r="C13" s="8">
        <f>1-GEVCUM(KVD!$D$98,KVD!$E$98,KVD!$F$98,$A13)</f>
        <v>1.8399201439171509E-2</v>
      </c>
      <c r="D13" s="3">
        <f t="shared" si="0"/>
        <v>1.8570572055989908E-2</v>
      </c>
      <c r="E13" s="3">
        <f t="shared" si="1"/>
        <v>53.848637348651394</v>
      </c>
      <c r="F13" s="32">
        <f t="shared" si="6"/>
        <v>1.3316223512148326E-2</v>
      </c>
      <c r="G13" s="8">
        <f>1-GEVCUM(KVD!$D$99,KVD!$E$99,KVD!$F$99,$A13)</f>
        <v>0.10327387321002379</v>
      </c>
      <c r="H13" s="3">
        <f t="shared" si="2"/>
        <v>0.10900478484775437</v>
      </c>
      <c r="I13" s="3">
        <f t="shared" si="3"/>
        <v>9.1739092132211226</v>
      </c>
      <c r="J13" s="13">
        <f t="shared" si="7"/>
        <v>6.5813562856201935E-2</v>
      </c>
      <c r="K13" s="8">
        <f>1-GEVCUM(KVD!$D$100,KVD!$E$100,KVD!$F$100,$A13)</f>
        <v>0.42811828605886881</v>
      </c>
      <c r="L13" s="3">
        <f t="shared" si="8"/>
        <v>0.55882310279633829</v>
      </c>
      <c r="M13" s="3">
        <f t="shared" si="9"/>
        <v>1.7894750503263419</v>
      </c>
      <c r="N13" s="13">
        <f t="shared" si="10"/>
        <v>0.26040791670113894</v>
      </c>
      <c r="O13" s="8">
        <f>1-GEVCUM(KVD!$D$101,KVD!$E$101,KVD!$F$101,$A13)</f>
        <v>0.88414921557746284</v>
      </c>
      <c r="P13" s="3">
        <f t="shared" si="11"/>
        <v>2.1554522571077959</v>
      </c>
      <c r="Q13" s="3">
        <f t="shared" si="12"/>
        <v>0.46393975867589315</v>
      </c>
      <c r="R13" s="13">
        <f t="shared" si="15"/>
        <v>0.65466197159745221</v>
      </c>
      <c r="S13" s="8">
        <f>1-GEVCUM(KVD!$D$102,KVD!$E$102,KVD!$F$102,$A13)</f>
        <v>0.92469598318349822</v>
      </c>
      <c r="T13" s="3">
        <f t="shared" si="13"/>
        <v>2.5862218014223886</v>
      </c>
      <c r="U13" s="9">
        <f t="shared" si="14"/>
        <v>0.3866644382357356</v>
      </c>
      <c r="V13" s="32">
        <f t="shared" si="16"/>
        <v>0.71343897876059481</v>
      </c>
    </row>
    <row r="14" spans="1:22" x14ac:dyDescent="0.25">
      <c r="A14" s="23">
        <f t="shared" si="4"/>
        <v>67.5</v>
      </c>
      <c r="B14" s="13">
        <f t="shared" si="5"/>
        <v>65</v>
      </c>
      <c r="C14" s="8">
        <f>1-GEVCUM(KVD!$D$98,KVD!$E$98,KVD!$F$98,$A14)</f>
        <v>1.0978922428726223E-2</v>
      </c>
      <c r="D14" s="3">
        <f t="shared" si="0"/>
        <v>1.1039635583212266E-2</v>
      </c>
      <c r="E14" s="3">
        <f t="shared" si="1"/>
        <v>90.582700168172067</v>
      </c>
      <c r="F14" s="32">
        <f t="shared" si="6"/>
        <v>7.5309364727776419E-3</v>
      </c>
      <c r="G14" s="8">
        <f>1-GEVCUM(KVD!$D$99,KVD!$E$99,KVD!$F$99,$A14)</f>
        <v>6.6487007462245007E-2</v>
      </c>
      <c r="H14" s="3">
        <f t="shared" si="2"/>
        <v>6.8800398006422764E-2</v>
      </c>
      <c r="I14" s="3">
        <f t="shared" si="3"/>
        <v>14.53479963744754</v>
      </c>
      <c r="J14" s="13">
        <f t="shared" si="7"/>
        <v>4.0204386841331596E-2</v>
      </c>
      <c r="K14" s="8">
        <f>1-GEVCUM(KVD!$D$100,KVD!$E$100,KVD!$F$100,$A14)</f>
        <v>0.31778443507221488</v>
      </c>
      <c r="L14" s="3">
        <f t="shared" si="8"/>
        <v>0.3824095934739552</v>
      </c>
      <c r="M14" s="3">
        <f t="shared" si="9"/>
        <v>2.6149971576696522</v>
      </c>
      <c r="N14" s="13">
        <f t="shared" si="10"/>
        <v>0.17641350932238309</v>
      </c>
      <c r="O14" s="8">
        <f>1-GEVCUM(KVD!$D$101,KVD!$E$101,KVD!$F$101,$A14)</f>
        <v>0.80754585956936897</v>
      </c>
      <c r="P14" s="3">
        <f t="shared" si="11"/>
        <v>1.647897385165126</v>
      </c>
      <c r="Q14" s="3">
        <f t="shared" si="12"/>
        <v>0.6068339017964981</v>
      </c>
      <c r="R14" s="13">
        <f t="shared" si="15"/>
        <v>0.50755487194266991</v>
      </c>
      <c r="S14" s="8">
        <f>1-GEVCUM(KVD!$D$102,KVD!$E$102,KVD!$F$102,$A14)</f>
        <v>0.86725914989726283</v>
      </c>
      <c r="T14" s="3">
        <f t="shared" si="13"/>
        <v>2.0193565470153372</v>
      </c>
      <c r="U14" s="9">
        <f t="shared" si="14"/>
        <v>0.49520724880310346</v>
      </c>
      <c r="V14" s="32">
        <f t="shared" si="16"/>
        <v>0.56686525440705138</v>
      </c>
    </row>
    <row r="15" spans="1:22" x14ac:dyDescent="0.25">
      <c r="A15" s="23">
        <f t="shared" si="4"/>
        <v>72.5</v>
      </c>
      <c r="B15" s="13">
        <f t="shared" si="5"/>
        <v>70</v>
      </c>
      <c r="C15" s="8">
        <f>1-GEVCUM(KVD!$D$98,KVD!$E$98,KVD!$F$98,$A15)</f>
        <v>6.6664598885369797E-3</v>
      </c>
      <c r="D15" s="3">
        <f t="shared" si="0"/>
        <v>6.6887799849159064E-3</v>
      </c>
      <c r="E15" s="3">
        <f t="shared" si="1"/>
        <v>149.50409525431152</v>
      </c>
      <c r="F15" s="32">
        <f t="shared" si="6"/>
        <v>4.3508555982963593E-3</v>
      </c>
      <c r="G15" s="8">
        <f>1-GEVCUM(KVD!$D$99,KVD!$E$99,KVD!$F$99,$A15)</f>
        <v>4.297869568725099E-2</v>
      </c>
      <c r="H15" s="3">
        <f t="shared" si="2"/>
        <v>4.3929626217146307E-2</v>
      </c>
      <c r="I15" s="3">
        <f t="shared" si="3"/>
        <v>22.76368105334998</v>
      </c>
      <c r="J15" s="13">
        <f t="shared" si="7"/>
        <v>2.4870771789276457E-2</v>
      </c>
      <c r="K15" s="8">
        <f>1-GEVCUM(KVD!$D$100,KVD!$E$100,KVD!$F$100,$A15)</f>
        <v>0.23088172919908567</v>
      </c>
      <c r="L15" s="3">
        <f t="shared" si="8"/>
        <v>0.26251052312157797</v>
      </c>
      <c r="M15" s="3">
        <f t="shared" si="9"/>
        <v>3.8093710991420502</v>
      </c>
      <c r="N15" s="13">
        <f t="shared" si="10"/>
        <v>0.11989907035237723</v>
      </c>
      <c r="O15" s="8">
        <f>1-GEVCUM(KVD!$D$101,KVD!$E$101,KVD!$F$101,$A15)</f>
        <v>0.71510532197688237</v>
      </c>
      <c r="P15" s="3">
        <f t="shared" si="11"/>
        <v>1.2556357178102879</v>
      </c>
      <c r="Q15" s="3">
        <f t="shared" si="12"/>
        <v>0.79640932940638798</v>
      </c>
      <c r="R15" s="13">
        <f t="shared" si="15"/>
        <v>0.39226166735483803</v>
      </c>
      <c r="S15" s="8">
        <f>1-GEVCUM(KVD!$D$102,KVD!$E$102,KVD!$F$102,$A15)</f>
        <v>0.79207448352221277</v>
      </c>
      <c r="T15" s="3">
        <f t="shared" si="13"/>
        <v>1.5705753572685268</v>
      </c>
      <c r="U15" s="9">
        <f t="shared" si="14"/>
        <v>0.63670934054329908</v>
      </c>
      <c r="V15" s="32">
        <f t="shared" si="16"/>
        <v>0.44878118974681036</v>
      </c>
    </row>
    <row r="16" spans="1:22" x14ac:dyDescent="0.25">
      <c r="A16" s="23">
        <f t="shared" si="4"/>
        <v>77.5</v>
      </c>
      <c r="B16" s="13">
        <f t="shared" si="5"/>
        <v>75</v>
      </c>
      <c r="C16" s="8">
        <f>1-GEVCUM(KVD!$D$98,KVD!$E$98,KVD!$F$98,$A16)</f>
        <v>4.1164527469266243E-3</v>
      </c>
      <c r="D16" s="3">
        <f t="shared" si="0"/>
        <v>4.1249486619061538E-3</v>
      </c>
      <c r="E16" s="3">
        <f t="shared" si="1"/>
        <v>242.42725957658254</v>
      </c>
      <c r="F16" s="32">
        <f t="shared" si="6"/>
        <v>2.5638313230097525E-3</v>
      </c>
      <c r="G16" s="8">
        <f>1-GEVCUM(KVD!$D$99,KVD!$E$99,KVD!$F$99,$A16)</f>
        <v>2.7961177699166839E-2</v>
      </c>
      <c r="H16" s="3">
        <f t="shared" si="2"/>
        <v>2.8359534680586804E-2</v>
      </c>
      <c r="I16" s="3">
        <f t="shared" si="3"/>
        <v>35.261509445165139</v>
      </c>
      <c r="J16" s="13">
        <f t="shared" si="7"/>
        <v>1.5570091536559499E-2</v>
      </c>
      <c r="K16" s="8">
        <f>1-GEVCUM(KVD!$D$100,KVD!$E$100,KVD!$F$100,$A16)</f>
        <v>0.16536555143234632</v>
      </c>
      <c r="L16" s="3">
        <f t="shared" si="8"/>
        <v>0.18076143613413656</v>
      </c>
      <c r="M16" s="3">
        <f t="shared" si="9"/>
        <v>5.5321534359681452</v>
      </c>
      <c r="N16" s="13">
        <f t="shared" si="10"/>
        <v>8.1749086987441405E-2</v>
      </c>
      <c r="O16" s="8">
        <f>1-GEVCUM(KVD!$D$101,KVD!$E$101,KVD!$F$101,$A16)</f>
        <v>0.6145943515618143</v>
      </c>
      <c r="P16" s="3">
        <f t="shared" si="11"/>
        <v>0.95345886706831051</v>
      </c>
      <c r="Q16" s="3">
        <f t="shared" si="12"/>
        <v>1.0488129425811454</v>
      </c>
      <c r="R16" s="13">
        <f t="shared" si="15"/>
        <v>0.30217685074197731</v>
      </c>
      <c r="S16" s="8">
        <f>1-GEVCUM(KVD!$D$102,KVD!$E$102,KVD!$F$102,$A16)</f>
        <v>0.70376477438150764</v>
      </c>
      <c r="T16" s="3">
        <f t="shared" si="13"/>
        <v>1.2166014591063958</v>
      </c>
      <c r="U16" s="9">
        <f t="shared" si="14"/>
        <v>0.82196186147475814</v>
      </c>
      <c r="V16" s="32">
        <f t="shared" si="16"/>
        <v>0.35397389816213098</v>
      </c>
    </row>
    <row r="17" spans="1:22" x14ac:dyDescent="0.25">
      <c r="A17" s="23">
        <f t="shared" si="4"/>
        <v>82.5</v>
      </c>
      <c r="B17" s="13">
        <f t="shared" si="5"/>
        <v>80</v>
      </c>
      <c r="C17" s="8">
        <f>1-GEVCUM(KVD!$D$98,KVD!$E$98,KVD!$F$98,$A17)</f>
        <v>2.5827633023465246E-3</v>
      </c>
      <c r="D17" s="3">
        <f t="shared" si="0"/>
        <v>2.5861043895493339E-3</v>
      </c>
      <c r="E17" s="3">
        <f t="shared" si="1"/>
        <v>386.68199320997422</v>
      </c>
      <c r="F17" s="32">
        <f t="shared" si="6"/>
        <v>1.53884427235682E-3</v>
      </c>
      <c r="G17" s="8">
        <f>1-GEVCUM(KVD!$D$99,KVD!$E$99,KVD!$F$99,$A17)</f>
        <v>1.8330574946620048E-2</v>
      </c>
      <c r="H17" s="3">
        <f t="shared" si="2"/>
        <v>1.8500661666931928E-2</v>
      </c>
      <c r="I17" s="3">
        <f t="shared" si="3"/>
        <v>54.052120837786006</v>
      </c>
      <c r="J17" s="13">
        <f t="shared" si="7"/>
        <v>9.8588730136548799E-3</v>
      </c>
      <c r="K17" s="8">
        <f>1-GEVCUM(KVD!$D$100,KVD!$E$100,KVD!$F$100,$A17)</f>
        <v>0.11736959422355941</v>
      </c>
      <c r="L17" s="3">
        <f t="shared" si="8"/>
        <v>0.12484873250618539</v>
      </c>
      <c r="M17" s="3">
        <f t="shared" si="9"/>
        <v>8.0096928493083173</v>
      </c>
      <c r="N17" s="13">
        <f t="shared" si="10"/>
        <v>5.5912703627951171E-2</v>
      </c>
      <c r="O17" s="8">
        <f>1-GEVCUM(KVD!$D$101,KVD!$E$101,KVD!$F$101,$A17)</f>
        <v>0.51395340511171461</v>
      </c>
      <c r="P17" s="3">
        <f t="shared" si="11"/>
        <v>0.72145078542155472</v>
      </c>
      <c r="Q17" s="3">
        <f t="shared" si="12"/>
        <v>1.3860959336480376</v>
      </c>
      <c r="R17" s="13">
        <f t="shared" si="15"/>
        <v>0.2320080816467559</v>
      </c>
      <c r="S17" s="8">
        <f>1-GEVCUM(KVD!$D$102,KVD!$E$102,KVD!$F$102,$A17)</f>
        <v>0.60877729003956849</v>
      </c>
      <c r="T17" s="3">
        <f t="shared" si="13"/>
        <v>0.93847829046033682</v>
      </c>
      <c r="U17" s="9">
        <f t="shared" si="14"/>
        <v>1.0655547498168401</v>
      </c>
      <c r="V17" s="32">
        <f t="shared" si="16"/>
        <v>0.27812316864605902</v>
      </c>
    </row>
    <row r="18" spans="1:22" x14ac:dyDescent="0.25">
      <c r="A18" s="23">
        <f t="shared" si="4"/>
        <v>87.5</v>
      </c>
      <c r="B18" s="13">
        <f t="shared" si="5"/>
        <v>85</v>
      </c>
      <c r="C18" s="8">
        <f>1-GEVCUM(KVD!$D$98,KVD!$E$98,KVD!$F$98,$A18)</f>
        <v>1.6451296628434697E-3</v>
      </c>
      <c r="D18" s="3">
        <f t="shared" si="0"/>
        <v>1.6464843746354938E-3</v>
      </c>
      <c r="E18" s="3">
        <f t="shared" si="1"/>
        <v>607.35468578095958</v>
      </c>
      <c r="F18" s="32">
        <f t="shared" si="6"/>
        <v>9.396200149138403E-4</v>
      </c>
      <c r="G18" s="8">
        <f>1-GEVCUM(KVD!$D$99,KVD!$E$99,KVD!$F$99,$A18)</f>
        <v>1.2116164591136069E-2</v>
      </c>
      <c r="H18" s="3">
        <f t="shared" si="2"/>
        <v>1.2190163643911118E-2</v>
      </c>
      <c r="I18" s="3">
        <f t="shared" si="3"/>
        <v>82.033353219133488</v>
      </c>
      <c r="J18" s="13">
        <f t="shared" si="7"/>
        <v>6.3104980230208121E-3</v>
      </c>
      <c r="K18" s="8">
        <f>1-GEVCUM(KVD!$D$100,KVD!$E$100,KVD!$F$100,$A18)</f>
        <v>8.2854288910117369E-2</v>
      </c>
      <c r="L18" s="3">
        <f t="shared" si="8"/>
        <v>8.6488919578039211E-2</v>
      </c>
      <c r="M18" s="3">
        <f t="shared" si="9"/>
        <v>11.562174725719599</v>
      </c>
      <c r="N18" s="13">
        <f t="shared" si="10"/>
        <v>3.8359812928146178E-2</v>
      </c>
      <c r="O18" s="8">
        <f>1-GEVCUM(KVD!$D$101,KVD!$E$101,KVD!$F$101,$A18)</f>
        <v>0.41953384975976193</v>
      </c>
      <c r="P18" s="3">
        <f t="shared" si="11"/>
        <v>0.54392379093069132</v>
      </c>
      <c r="Q18" s="3">
        <f t="shared" si="12"/>
        <v>1.8384928489502741</v>
      </c>
      <c r="R18" s="13">
        <f t="shared" si="15"/>
        <v>0.1775269944908634</v>
      </c>
      <c r="S18" s="8">
        <f>1-GEVCUM(KVD!$D$102,KVD!$E$102,KVD!$F$102,$A18)</f>
        <v>0.51364618531825657</v>
      </c>
      <c r="T18" s="3">
        <f t="shared" si="13"/>
        <v>0.72081890620666245</v>
      </c>
      <c r="U18" s="9">
        <f t="shared" si="14"/>
        <v>1.3873110033455407</v>
      </c>
      <c r="V18" s="32">
        <f t="shared" si="16"/>
        <v>0.21765938425367437</v>
      </c>
    </row>
    <row r="19" spans="1:22" x14ac:dyDescent="0.25">
      <c r="A19" s="23">
        <f t="shared" si="4"/>
        <v>92.5</v>
      </c>
      <c r="B19" s="13">
        <f t="shared" si="5"/>
        <v>90</v>
      </c>
      <c r="C19" s="8">
        <f>1-GEVCUM(KVD!$D$98,KVD!$E$98,KVD!$F$98,$A19)</f>
        <v>1.0629080405707425E-3</v>
      </c>
      <c r="D19" s="3">
        <f t="shared" si="0"/>
        <v>1.0634733279232462E-3</v>
      </c>
      <c r="E19" s="3">
        <f t="shared" si="1"/>
        <v>940.31507301908823</v>
      </c>
      <c r="F19" s="32">
        <f t="shared" si="6"/>
        <v>5.8301104671224738E-4</v>
      </c>
      <c r="G19" s="8">
        <f>1-GEVCUM(KVD!$D$99,KVD!$E$99,KVD!$F$99,$A19)</f>
        <v>8.0762241463493423E-3</v>
      </c>
      <c r="H19" s="3">
        <f t="shared" si="2"/>
        <v>8.1090135067274794E-3</v>
      </c>
      <c r="I19" s="3">
        <f t="shared" si="3"/>
        <v>123.31956275203761</v>
      </c>
      <c r="J19" s="13">
        <f t="shared" si="7"/>
        <v>4.0811501371836364E-3</v>
      </c>
      <c r="K19" s="8">
        <f>1-GEVCUM(KVD!$D$100,KVD!$E$100,KVD!$F$100,$A19)</f>
        <v>5.8321756922246615E-2</v>
      </c>
      <c r="L19" s="3">
        <f t="shared" si="8"/>
        <v>6.0091630611372897E-2</v>
      </c>
      <c r="M19" s="3">
        <f t="shared" si="9"/>
        <v>16.641252530942982</v>
      </c>
      <c r="N19" s="13">
        <f t="shared" si="10"/>
        <v>2.6397288966666314E-2</v>
      </c>
      <c r="O19" s="8">
        <f>1-GEVCUM(KVD!$D$101,KVD!$E$101,KVD!$F$101,$A19)</f>
        <v>0.33539260789533487</v>
      </c>
      <c r="P19" s="3">
        <f t="shared" si="11"/>
        <v>0.40855880048632631</v>
      </c>
      <c r="Q19" s="3">
        <f t="shared" si="12"/>
        <v>2.4476280985984245</v>
      </c>
      <c r="R19" s="13">
        <f t="shared" si="15"/>
        <v>0.13536499044436495</v>
      </c>
      <c r="S19" s="8">
        <f>1-GEVCUM(KVD!$D$102,KVD!$E$102,KVD!$F$102,$A19)</f>
        <v>0.42372864095881735</v>
      </c>
      <c r="T19" s="3">
        <f t="shared" si="13"/>
        <v>0.55117661977696242</v>
      </c>
      <c r="U19" s="9">
        <f t="shared" si="14"/>
        <v>1.8143004694296669</v>
      </c>
      <c r="V19" s="32">
        <f t="shared" si="16"/>
        <v>0.16964228642970003</v>
      </c>
    </row>
    <row r="20" spans="1:22" x14ac:dyDescent="0.25">
      <c r="A20" s="23">
        <f t="shared" si="4"/>
        <v>97.5</v>
      </c>
      <c r="B20" s="13">
        <f t="shared" si="5"/>
        <v>95</v>
      </c>
      <c r="C20" s="8">
        <f>1-GEVCUM(KVD!$D$98,KVD!$E$98,KVD!$F$98,$A20)</f>
        <v>6.9600889805199184E-4</v>
      </c>
      <c r="D20" s="3">
        <f t="shared" si="0"/>
        <v>6.9625122469259846E-4</v>
      </c>
      <c r="E20" s="3">
        <f t="shared" si="1"/>
        <v>1436.2631827922594</v>
      </c>
      <c r="F20" s="32">
        <f t="shared" si="6"/>
        <v>1.0634733279232462E-3</v>
      </c>
      <c r="G20" s="8">
        <f>1-GEVCUM(KVD!$D$99,KVD!$E$99,KVD!$F$99,$A20)</f>
        <v>5.4287091235953877E-3</v>
      </c>
      <c r="H20" s="3">
        <f t="shared" si="2"/>
        <v>5.443498112666899E-3</v>
      </c>
      <c r="I20" s="3">
        <f t="shared" si="3"/>
        <v>183.70540033310974</v>
      </c>
      <c r="J20" s="13">
        <f t="shared" si="7"/>
        <v>2.6655153940605804E-3</v>
      </c>
      <c r="K20" s="8">
        <f>1-GEVCUM(KVD!$D$100,KVD!$E$100,KVD!$F$100,$A20)</f>
        <v>4.1007539321982978E-2</v>
      </c>
      <c r="L20" s="3">
        <f t="shared" si="8"/>
        <v>4.187206577921905E-2</v>
      </c>
      <c r="M20" s="3">
        <f t="shared" si="9"/>
        <v>23.882270468162481</v>
      </c>
      <c r="N20" s="13">
        <f t="shared" si="10"/>
        <v>1.8219564832153846E-2</v>
      </c>
      <c r="O20" s="8">
        <f>1-GEVCUM(KVD!$D$101,KVD!$E$101,KVD!$F$101,$A20)</f>
        <v>0.26340162582323334</v>
      </c>
      <c r="P20" s="3">
        <f t="shared" si="11"/>
        <v>0.30571248217321884</v>
      </c>
      <c r="Q20" s="3">
        <f t="shared" si="12"/>
        <v>3.2710473347090647</v>
      </c>
      <c r="R20" s="13">
        <f t="shared" si="15"/>
        <v>0.10284631831310753</v>
      </c>
      <c r="S20" s="8">
        <f>1-GEVCUM(KVD!$D$102,KVD!$E$102,KVD!$F$102,$A20)</f>
        <v>0.34263694999850991</v>
      </c>
      <c r="T20" s="3">
        <f t="shared" si="13"/>
        <v>0.41951882559649556</v>
      </c>
      <c r="U20" s="9">
        <f t="shared" si="14"/>
        <v>2.3836832556397045</v>
      </c>
      <c r="V20" s="32">
        <f t="shared" si="16"/>
        <v>0.13165779418046686</v>
      </c>
    </row>
    <row r="21" spans="1:22" x14ac:dyDescent="0.25">
      <c r="A21" s="23">
        <f t="shared" si="4"/>
        <v>102.5</v>
      </c>
      <c r="B21" s="13">
        <f t="shared" si="5"/>
        <v>100</v>
      </c>
      <c r="C21" s="8"/>
      <c r="D21" s="3"/>
      <c r="E21" s="3"/>
      <c r="F21" s="32"/>
      <c r="G21" s="8">
        <f>1-GEVCUM(KVD!$D$99,KVD!$E$99,KVD!$F$99,$A21)</f>
        <v>3.6793149098457434E-3</v>
      </c>
      <c r="H21" s="3">
        <f t="shared" si="2"/>
        <v>3.6861002376335646E-3</v>
      </c>
      <c r="I21" s="3">
        <f t="shared" si="3"/>
        <v>271.28942121280699</v>
      </c>
      <c r="J21" s="13">
        <f t="shared" si="7"/>
        <v>1.7573978750333344E-3</v>
      </c>
      <c r="K21" s="8">
        <f>1-GEVCUM(KVD!$D$100,KVD!$E$100,KVD!$F$100,$A21)</f>
        <v>2.883590904794997E-2</v>
      </c>
      <c r="L21" s="3">
        <f t="shared" si="8"/>
        <v>2.9259833256613944E-2</v>
      </c>
      <c r="M21" s="3">
        <f t="shared" si="9"/>
        <v>34.176544727026368</v>
      </c>
      <c r="N21" s="13">
        <f t="shared" si="10"/>
        <v>1.2612232522605106E-2</v>
      </c>
      <c r="O21" s="8">
        <f>1-GEVCUM(KVD!$D$101,KVD!$E$101,KVD!$F$101,$A21)</f>
        <v>0.20376466569196128</v>
      </c>
      <c r="P21" s="3">
        <f t="shared" si="11"/>
        <v>0.22786049071682846</v>
      </c>
      <c r="Q21" s="3">
        <f t="shared" si="12"/>
        <v>4.388650251976947</v>
      </c>
      <c r="R21" s="13">
        <f t="shared" si="15"/>
        <v>7.7851991456390379E-2</v>
      </c>
      <c r="S21" s="8">
        <f>1-GEVCUM(KVD!$D$102,KVD!$E$102,KVD!$F$102,$A21)</f>
        <v>0.27224323583661925</v>
      </c>
      <c r="T21" s="3">
        <f t="shared" si="13"/>
        <v>0.31778840177454837</v>
      </c>
      <c r="U21" s="9">
        <f t="shared" si="14"/>
        <v>3.1467479442797268</v>
      </c>
      <c r="V21" s="32">
        <f t="shared" si="16"/>
        <v>0.10173042382194719</v>
      </c>
    </row>
    <row r="22" spans="1:22" x14ac:dyDescent="0.25">
      <c r="A22" s="23">
        <f t="shared" si="4"/>
        <v>107.5</v>
      </c>
      <c r="B22" s="13">
        <f t="shared" si="5"/>
        <v>105</v>
      </c>
      <c r="C22" s="8"/>
      <c r="D22" s="3"/>
      <c r="E22" s="3"/>
      <c r="F22" s="32"/>
      <c r="G22" s="8">
        <f>1-GEVCUM(KVD!$D$99,KVD!$E$99,KVD!$F$99,$A22)</f>
        <v>2.5137801446768471E-3</v>
      </c>
      <c r="H22" s="3">
        <f t="shared" si="2"/>
        <v>2.516944994922418E-3</v>
      </c>
      <c r="I22" s="3">
        <f t="shared" si="3"/>
        <v>397.30705359765875</v>
      </c>
      <c r="J22" s="13">
        <f t="shared" si="7"/>
        <v>3.6861002376335646E-3</v>
      </c>
      <c r="K22" s="8">
        <f>1-GEVCUM(KVD!$D$100,KVD!$E$100,KVD!$F$100,$A22)</f>
        <v>2.0295149179375804E-2</v>
      </c>
      <c r="L22" s="3">
        <f t="shared" si="8"/>
        <v>2.0503925311120719E-2</v>
      </c>
      <c r="M22" s="3">
        <f t="shared" si="9"/>
        <v>48.771149173940358</v>
      </c>
      <c r="N22" s="13">
        <f t="shared" si="10"/>
        <v>8.7559079454932257E-3</v>
      </c>
      <c r="O22" s="8">
        <f>1-GEVCUM(KVD!$D$101,KVD!$E$101,KVD!$F$101,$A22)</f>
        <v>0.15561890283806024</v>
      </c>
      <c r="P22" s="3">
        <f t="shared" si="11"/>
        <v>0.16915134937656931</v>
      </c>
      <c r="Q22" s="3">
        <f t="shared" si="12"/>
        <v>5.9118653424027556</v>
      </c>
      <c r="R22" s="13">
        <f t="shared" si="15"/>
        <v>5.8709141340259147E-2</v>
      </c>
      <c r="S22" s="8">
        <f>1-GEVCUM(KVD!$D$102,KVD!$E$102,KVD!$F$102,$A22)</f>
        <v>0.21300961349810377</v>
      </c>
      <c r="T22" s="3">
        <f t="shared" si="13"/>
        <v>0.23953924601177382</v>
      </c>
      <c r="U22" s="9">
        <f t="shared" si="14"/>
        <v>4.1746812543229268</v>
      </c>
      <c r="V22" s="32">
        <f t="shared" si="16"/>
        <v>7.8249155762774553E-2</v>
      </c>
    </row>
    <row r="23" spans="1:22" x14ac:dyDescent="0.25">
      <c r="A23" s="23">
        <f t="shared" si="4"/>
        <v>112.5</v>
      </c>
      <c r="B23" s="13">
        <f t="shared" si="5"/>
        <v>110</v>
      </c>
      <c r="C23" s="8"/>
      <c r="D23" s="3"/>
      <c r="E23" s="3"/>
      <c r="F23" s="32"/>
      <c r="G23" s="8"/>
      <c r="H23" s="3"/>
      <c r="I23" s="3"/>
      <c r="J23" s="13"/>
      <c r="K23" s="8">
        <f>1-GEVCUM(KVD!$D$100,KVD!$E$100,KVD!$F$100,$A23)</f>
        <v>1.4304612385017901E-2</v>
      </c>
      <c r="L23" s="3">
        <f t="shared" si="8"/>
        <v>1.4407909620685225E-2</v>
      </c>
      <c r="M23" s="3">
        <f t="shared" si="9"/>
        <v>69.406320994984213</v>
      </c>
      <c r="N23" s="13">
        <f t="shared" si="10"/>
        <v>6.0960156904354933E-3</v>
      </c>
      <c r="O23" s="8">
        <f>1-GEVCUM(KVD!$D$101,KVD!$E$101,KVD!$F$101,$A23)</f>
        <v>0.11754726432315088</v>
      </c>
      <c r="P23" s="3">
        <f t="shared" si="11"/>
        <v>0.12505004891561552</v>
      </c>
      <c r="Q23" s="3">
        <f t="shared" si="12"/>
        <v>7.996798151393012</v>
      </c>
      <c r="R23" s="13">
        <f t="shared" si="15"/>
        <v>4.4101300460953785E-2</v>
      </c>
      <c r="S23" s="8">
        <f>1-GEVCUM(KVD!$D$102,KVD!$E$102,KVD!$F$102,$A23)</f>
        <v>0.16442434392591254</v>
      </c>
      <c r="T23" s="3">
        <f t="shared" si="13"/>
        <v>0.17963438319217598</v>
      </c>
      <c r="U23" s="9">
        <f t="shared" si="14"/>
        <v>5.5668629926498125</v>
      </c>
      <c r="V23" s="32">
        <f t="shared" si="16"/>
        <v>5.9904862819597837E-2</v>
      </c>
    </row>
    <row r="24" spans="1:22" x14ac:dyDescent="0.25">
      <c r="A24" s="23">
        <f t="shared" si="4"/>
        <v>117.5</v>
      </c>
      <c r="B24" s="13">
        <f t="shared" si="5"/>
        <v>115</v>
      </c>
      <c r="C24" s="8"/>
      <c r="D24" s="3"/>
      <c r="E24" s="3"/>
      <c r="F24" s="32"/>
      <c r="G24" s="8"/>
      <c r="H24" s="3"/>
      <c r="I24" s="3"/>
      <c r="J24" s="13"/>
      <c r="K24" s="8">
        <f>1-GEVCUM(KVD!$D$100,KVD!$E$100,KVD!$F$100,$A24)</f>
        <v>1.0100495747355498E-2</v>
      </c>
      <c r="L24" s="3">
        <f t="shared" si="8"/>
        <v>1.0151851861991718E-2</v>
      </c>
      <c r="M24" s="3">
        <f t="shared" si="9"/>
        <v>98.504195450681792</v>
      </c>
      <c r="N24" s="13">
        <f t="shared" si="10"/>
        <v>4.2560577586935079E-3</v>
      </c>
      <c r="O24" s="8">
        <f>1-GEVCUM(KVD!$D$101,KVD!$E$101,KVD!$F$101,$A24)</f>
        <v>8.7944274079430285E-2</v>
      </c>
      <c r="P24" s="3">
        <f t="shared" si="11"/>
        <v>9.2054187791436065E-2</v>
      </c>
      <c r="Q24" s="3">
        <f t="shared" si="12"/>
        <v>10.863166836751249</v>
      </c>
      <c r="R24" s="13">
        <f t="shared" si="15"/>
        <v>3.299586112417946E-2</v>
      </c>
      <c r="S24" s="8">
        <f>1-GEVCUM(KVD!$D$102,KVD!$E$102,KVD!$F$102,$A24)</f>
        <v>0.12540707565183151</v>
      </c>
      <c r="T24" s="3">
        <f t="shared" si="13"/>
        <v>0.13399673019363612</v>
      </c>
      <c r="U24" s="9">
        <f t="shared" si="14"/>
        <v>7.4628686726528262</v>
      </c>
      <c r="V24" s="32">
        <f t="shared" si="16"/>
        <v>4.5637652998539863E-2</v>
      </c>
    </row>
    <row r="25" spans="1:22" x14ac:dyDescent="0.25">
      <c r="A25" s="23">
        <f t="shared" si="4"/>
        <v>122.5</v>
      </c>
      <c r="B25" s="13">
        <f t="shared" si="5"/>
        <v>120</v>
      </c>
      <c r="C25" s="8"/>
      <c r="D25" s="3"/>
      <c r="E25" s="3"/>
      <c r="F25" s="32"/>
      <c r="G25" s="8"/>
      <c r="H25" s="3"/>
      <c r="I25" s="3"/>
      <c r="J25" s="13"/>
      <c r="K25" s="8">
        <f>1-GEVCUM(KVD!$D$100,KVD!$E$100,KVD!$F$100,$A25)</f>
        <v>7.1465323631254574E-3</v>
      </c>
      <c r="L25" s="3">
        <f t="shared" si="8"/>
        <v>7.1721911461656036E-3</v>
      </c>
      <c r="M25" s="3">
        <f t="shared" si="9"/>
        <v>139.42740504547484</v>
      </c>
      <c r="N25" s="13">
        <f t="shared" si="10"/>
        <v>1.0151851861991718E-2</v>
      </c>
      <c r="O25" s="8">
        <f>1-GEVCUM(KVD!$D$101,KVD!$E$101,KVD!$F$101,$A25)</f>
        <v>6.5242924569060556E-2</v>
      </c>
      <c r="P25" s="3">
        <f t="shared" si="11"/>
        <v>6.7468595823858654E-2</v>
      </c>
      <c r="Q25" s="3">
        <f t="shared" si="12"/>
        <v>14.821710571992872</v>
      </c>
      <c r="R25" s="13">
        <f t="shared" si="15"/>
        <v>2.4585591967577411E-2</v>
      </c>
      <c r="S25" s="8">
        <f>1-GEVCUM(KVD!$D$102,KVD!$E$102,KVD!$F$102,$A25)</f>
        <v>9.4623173292041396E-2</v>
      </c>
      <c r="T25" s="3">
        <f t="shared" si="13"/>
        <v>9.9404038842882403E-2</v>
      </c>
      <c r="U25" s="9">
        <f t="shared" si="14"/>
        <v>10.059953414776192</v>
      </c>
      <c r="V25" s="32">
        <f t="shared" si="16"/>
        <v>3.4592691350753726E-2</v>
      </c>
    </row>
    <row r="26" spans="1:22" x14ac:dyDescent="0.25">
      <c r="A26" s="23">
        <f t="shared" si="4"/>
        <v>127.5</v>
      </c>
      <c r="B26" s="13">
        <f t="shared" si="5"/>
        <v>125</v>
      </c>
      <c r="C26" s="8"/>
      <c r="D26" s="3"/>
      <c r="E26" s="3"/>
      <c r="F26" s="32"/>
      <c r="G26" s="8"/>
      <c r="H26" s="3"/>
      <c r="I26" s="3"/>
      <c r="J26" s="13"/>
      <c r="K26" s="8"/>
      <c r="L26" s="3"/>
      <c r="M26" s="3"/>
      <c r="N26" s="13"/>
      <c r="O26" s="8">
        <f>1-GEVCUM(KVD!$D$101,KVD!$E$101,KVD!$F$101,$A26)</f>
        <v>4.803495977256278E-2</v>
      </c>
      <c r="P26" s="3">
        <f t="shared" si="11"/>
        <v>4.9226967315228409E-2</v>
      </c>
      <c r="Q26" s="3">
        <f t="shared" si="12"/>
        <v>20.314068782592852</v>
      </c>
      <c r="R26" s="13">
        <f t="shared" si="15"/>
        <v>1.8241628508630252E-2</v>
      </c>
      <c r="S26" s="8">
        <f>1-GEVCUM(KVD!$D$102,KVD!$E$102,KVD!$F$102,$A26)</f>
        <v>7.0697324905075298E-2</v>
      </c>
      <c r="T26" s="3">
        <f t="shared" si="13"/>
        <v>7.3320785810133182E-2</v>
      </c>
      <c r="U26" s="9">
        <f t="shared" si="14"/>
        <v>13.638697252775442</v>
      </c>
      <c r="V26" s="32">
        <f t="shared" si="16"/>
        <v>2.6083253032749207E-2</v>
      </c>
    </row>
    <row r="27" spans="1:22" x14ac:dyDescent="0.25">
      <c r="A27" s="23">
        <f t="shared" si="4"/>
        <v>132.5</v>
      </c>
      <c r="B27" s="13">
        <f t="shared" si="5"/>
        <v>130</v>
      </c>
      <c r="C27" s="8"/>
      <c r="D27" s="3"/>
      <c r="E27" s="3"/>
      <c r="F27" s="32"/>
      <c r="G27" s="8"/>
      <c r="H27" s="3"/>
      <c r="I27" s="3"/>
      <c r="J27" s="13"/>
      <c r="K27" s="8"/>
      <c r="L27" s="3"/>
      <c r="M27" s="3"/>
      <c r="N27" s="13"/>
      <c r="O27" s="8">
        <f>1-GEVCUM(KVD!$D$101,KVD!$E$101,KVD!$F$101,$A27)</f>
        <v>3.5119640323774792E-2</v>
      </c>
      <c r="P27" s="3">
        <f t="shared" si="11"/>
        <v>3.5751164939387597E-2</v>
      </c>
      <c r="Q27" s="3">
        <f t="shared" si="12"/>
        <v>27.971116513137307</v>
      </c>
      <c r="R27" s="13">
        <f t="shared" si="15"/>
        <v>1.3475802375840805E-2</v>
      </c>
      <c r="S27" s="8">
        <f>1-GEVCUM(KVD!$D$102,KVD!$E$102,KVD!$F$102,$A27)</f>
        <v>5.2341297814920362E-2</v>
      </c>
      <c r="T27" s="3">
        <f t="shared" si="13"/>
        <v>5.376086034154931E-2</v>
      </c>
      <c r="U27" s="9">
        <f t="shared" si="14"/>
        <v>18.600892799089856</v>
      </c>
      <c r="V27" s="32">
        <f t="shared" si="16"/>
        <v>1.9559925468583872E-2</v>
      </c>
    </row>
    <row r="28" spans="1:22" x14ac:dyDescent="0.25">
      <c r="A28" s="23">
        <f t="shared" si="4"/>
        <v>137.5</v>
      </c>
      <c r="B28" s="13">
        <f t="shared" si="5"/>
        <v>135</v>
      </c>
      <c r="C28" s="8"/>
      <c r="D28" s="3"/>
      <c r="E28" s="3"/>
      <c r="F28" s="32"/>
      <c r="G28" s="8"/>
      <c r="H28" s="3"/>
      <c r="I28" s="3"/>
      <c r="J28" s="13"/>
      <c r="K28" s="8"/>
      <c r="L28" s="3"/>
      <c r="M28" s="3"/>
      <c r="N28" s="13"/>
      <c r="O28" s="8">
        <f>1-GEVCUM(KVD!$D$101,KVD!$E$101,KVD!$F$101,$A28)</f>
        <v>2.5509604372178307E-2</v>
      </c>
      <c r="P28" s="3">
        <f t="shared" si="11"/>
        <v>2.5840615775421998E-2</v>
      </c>
      <c r="Q28" s="3">
        <f t="shared" si="12"/>
        <v>38.698768198517094</v>
      </c>
      <c r="R28" s="13">
        <f t="shared" si="15"/>
        <v>9.9105491639655992E-3</v>
      </c>
      <c r="S28" s="8">
        <f>1-GEVCUM(KVD!$D$102,KVD!$E$102,KVD!$F$102,$A28)</f>
        <v>3.8418386985860753E-2</v>
      </c>
      <c r="T28" s="3">
        <f t="shared" si="13"/>
        <v>3.9175836625542915E-2</v>
      </c>
      <c r="U28" s="9">
        <f t="shared" si="14"/>
        <v>25.52593859215742</v>
      </c>
      <c r="V28" s="32">
        <f t="shared" si="16"/>
        <v>1.4585023716006396E-2</v>
      </c>
    </row>
    <row r="29" spans="1:22" x14ac:dyDescent="0.25">
      <c r="A29" s="23">
        <f t="shared" si="4"/>
        <v>142.5</v>
      </c>
      <c r="B29" s="13">
        <f t="shared" si="5"/>
        <v>140</v>
      </c>
      <c r="C29" s="8"/>
      <c r="D29" s="3"/>
      <c r="E29" s="3"/>
      <c r="F29" s="32"/>
      <c r="G29" s="8"/>
      <c r="H29" s="3"/>
      <c r="I29" s="3"/>
      <c r="J29" s="13"/>
      <c r="K29" s="8"/>
      <c r="L29" s="3"/>
      <c r="M29" s="3"/>
      <c r="N29" s="13"/>
      <c r="O29" s="8">
        <f>1-GEVCUM(KVD!$D$101,KVD!$E$101,KVD!$F$101,$A29)</f>
        <v>1.8414019130536197E-2</v>
      </c>
      <c r="P29" s="3">
        <f t="shared" si="11"/>
        <v>1.8585667605247092E-2</v>
      </c>
      <c r="Q29" s="3">
        <f t="shared" si="12"/>
        <v>53.804900703038548</v>
      </c>
      <c r="R29" s="13">
        <f t="shared" si="15"/>
        <v>7.2549481701749061E-3</v>
      </c>
      <c r="S29" s="8">
        <f>1-GEVCUM(KVD!$D$102,KVD!$E$102,KVD!$F$102,$A29)</f>
        <v>2.7965931107895359E-2</v>
      </c>
      <c r="T29" s="3">
        <f t="shared" si="13"/>
        <v>2.8364424835426227E-2</v>
      </c>
      <c r="U29" s="9">
        <f t="shared" si="14"/>
        <v>35.255430201815095</v>
      </c>
      <c r="V29" s="32">
        <f t="shared" si="16"/>
        <v>1.0811411790116687E-2</v>
      </c>
    </row>
    <row r="30" spans="1:22" x14ac:dyDescent="0.25">
      <c r="A30" s="23">
        <f t="shared" si="4"/>
        <v>147.5</v>
      </c>
      <c r="B30" s="13">
        <f t="shared" si="5"/>
        <v>145</v>
      </c>
      <c r="C30" s="8"/>
      <c r="D30" s="3"/>
      <c r="E30" s="3"/>
      <c r="F30" s="32"/>
      <c r="G30" s="8"/>
      <c r="H30" s="3"/>
      <c r="I30" s="3"/>
      <c r="J30" s="13"/>
      <c r="K30" s="8"/>
      <c r="L30" s="3"/>
      <c r="M30" s="3"/>
      <c r="N30" s="13"/>
      <c r="O30" s="8">
        <f>1-GEVCUM(KVD!$D$101,KVD!$E$101,KVD!$F$101,$A30)</f>
        <v>1.3211905774129784E-2</v>
      </c>
      <c r="P30" s="3">
        <f t="shared" si="11"/>
        <v>1.329995943227808E-2</v>
      </c>
      <c r="Q30" s="3">
        <f t="shared" si="12"/>
        <v>75.188199264207483</v>
      </c>
      <c r="R30" s="13">
        <f t="shared" si="15"/>
        <v>5.2857081729690142E-3</v>
      </c>
      <c r="S30" s="8">
        <f>1-GEVCUM(KVD!$D$102,KVD!$E$102,KVD!$F$102,$A30)</f>
        <v>2.0192729296698575E-2</v>
      </c>
      <c r="T30" s="3">
        <f t="shared" si="13"/>
        <v>2.0399389205785639E-2</v>
      </c>
      <c r="U30" s="9">
        <f t="shared" si="14"/>
        <v>49.021075577909059</v>
      </c>
      <c r="V30" s="32">
        <f t="shared" si="16"/>
        <v>7.9650356296405884E-3</v>
      </c>
    </row>
    <row r="31" spans="1:22" x14ac:dyDescent="0.25">
      <c r="A31" s="23">
        <f t="shared" si="4"/>
        <v>152.5</v>
      </c>
      <c r="B31" s="13">
        <f t="shared" si="5"/>
        <v>150</v>
      </c>
      <c r="C31" s="8"/>
      <c r="D31" s="3"/>
      <c r="E31" s="3"/>
      <c r="F31" s="32"/>
      <c r="G31" s="8"/>
      <c r="H31" s="3"/>
      <c r="I31" s="3"/>
      <c r="J31" s="13"/>
      <c r="K31" s="8"/>
      <c r="L31" s="3"/>
      <c r="M31" s="3"/>
      <c r="N31" s="13"/>
      <c r="O31" s="8">
        <f>1-GEVCUM(KVD!$D$101,KVD!$E$101,KVD!$F$101,$A31)</f>
        <v>9.4231505522116565E-3</v>
      </c>
      <c r="P31" s="3">
        <f t="shared" si="11"/>
        <v>9.467829333484043E-3</v>
      </c>
      <c r="Q31" s="3">
        <f t="shared" si="12"/>
        <v>105.62083079205786</v>
      </c>
      <c r="R31" s="13">
        <f t="shared" si="15"/>
        <v>3.832130098794035E-3</v>
      </c>
      <c r="S31" s="8">
        <f>1-GEVCUM(KVD!$D$102,KVD!$E$102,KVD!$F$102,$A31)</f>
        <v>1.4463205219255815E-2</v>
      </c>
      <c r="T31" s="3">
        <f t="shared" si="13"/>
        <v>1.4568816931347482E-2</v>
      </c>
      <c r="U31" s="9">
        <f t="shared" si="14"/>
        <v>68.639753297216373</v>
      </c>
      <c r="V31" s="32">
        <f t="shared" si="16"/>
        <v>5.8305722744381571E-3</v>
      </c>
    </row>
    <row r="32" spans="1:22" x14ac:dyDescent="0.25">
      <c r="A32" s="23">
        <f t="shared" si="4"/>
        <v>157.5</v>
      </c>
      <c r="B32" s="13">
        <f t="shared" si="5"/>
        <v>155</v>
      </c>
      <c r="C32" s="8"/>
      <c r="D32" s="3"/>
      <c r="E32" s="3"/>
      <c r="F32" s="32"/>
      <c r="G32" s="8"/>
      <c r="H32" s="3"/>
      <c r="I32" s="3"/>
      <c r="J32" s="13"/>
      <c r="K32" s="8"/>
      <c r="L32" s="3"/>
      <c r="M32" s="3"/>
      <c r="N32" s="13"/>
      <c r="O32" s="8">
        <f>1-GEVCUM(KVD!$D$101,KVD!$E$101,KVD!$F$101,$A32)</f>
        <v>6.6811536299797858E-3</v>
      </c>
      <c r="P32" s="3">
        <f t="shared" si="11"/>
        <v>6.703572448401778E-3</v>
      </c>
      <c r="Q32" s="3">
        <f t="shared" si="12"/>
        <v>149.17419147732392</v>
      </c>
      <c r="R32" s="13">
        <f t="shared" si="15"/>
        <v>9.467829333484043E-3</v>
      </c>
      <c r="S32" s="8">
        <f>1-GEVCUM(KVD!$D$102,KVD!$E$102,KVD!$F$102,$A32)</f>
        <v>1.0275968477990172E-2</v>
      </c>
      <c r="T32" s="3">
        <f t="shared" si="13"/>
        <v>1.0329130751561565E-2</v>
      </c>
      <c r="U32" s="9">
        <f t="shared" si="14"/>
        <v>96.81356776791884</v>
      </c>
      <c r="V32" s="32">
        <f t="shared" si="16"/>
        <v>4.2396861797859165E-3</v>
      </c>
    </row>
    <row r="33" spans="1:22" x14ac:dyDescent="0.25">
      <c r="A33" s="23">
        <f t="shared" si="4"/>
        <v>162.5</v>
      </c>
      <c r="B33" s="13">
        <f t="shared" si="5"/>
        <v>160</v>
      </c>
      <c r="C33" s="8"/>
      <c r="D33" s="3"/>
      <c r="E33" s="3"/>
      <c r="F33" s="32"/>
      <c r="G33" s="8"/>
      <c r="H33" s="3"/>
      <c r="I33" s="3"/>
      <c r="J33" s="13"/>
      <c r="K33" s="8"/>
      <c r="L33" s="3"/>
      <c r="M33" s="3"/>
      <c r="N33" s="13"/>
      <c r="O33" s="8"/>
      <c r="P33" s="3"/>
      <c r="Q33" s="3"/>
      <c r="R33" s="13"/>
      <c r="S33" s="8">
        <f>1-GEVCUM(KVD!$D$102,KVD!$E$102,KVD!$F$102,$A33)</f>
        <v>7.2413262808521672E-3</v>
      </c>
      <c r="T33" s="3">
        <f t="shared" si="13"/>
        <v>7.2676719460905972E-3</v>
      </c>
      <c r="U33" s="9">
        <f t="shared" si="14"/>
        <v>137.59564375190556</v>
      </c>
      <c r="V33" s="32">
        <f t="shared" si="16"/>
        <v>1.0329130751561565E-2</v>
      </c>
    </row>
    <row r="34" spans="1:22" x14ac:dyDescent="0.25">
      <c r="A34" s="23">
        <f t="shared" si="4"/>
        <v>167.5</v>
      </c>
      <c r="B34" s="13">
        <f t="shared" si="5"/>
        <v>165</v>
      </c>
      <c r="C34" s="8"/>
      <c r="D34" s="3"/>
      <c r="E34" s="3"/>
      <c r="F34" s="32"/>
      <c r="G34" s="8"/>
      <c r="H34" s="3"/>
      <c r="I34" s="3"/>
      <c r="J34" s="13"/>
      <c r="K34" s="8"/>
      <c r="L34" s="3"/>
      <c r="M34" s="3"/>
      <c r="N34" s="13"/>
      <c r="O34" s="8"/>
      <c r="P34" s="3"/>
      <c r="Q34" s="3"/>
      <c r="R34" s="13"/>
      <c r="S34" s="8"/>
      <c r="T34" s="3"/>
      <c r="U34" s="9"/>
      <c r="V34" s="32"/>
    </row>
    <row r="35" spans="1:22" x14ac:dyDescent="0.25">
      <c r="A35" s="23">
        <f t="shared" si="4"/>
        <v>172.5</v>
      </c>
      <c r="B35" s="13">
        <f t="shared" si="5"/>
        <v>170</v>
      </c>
      <c r="C35" s="8"/>
      <c r="D35" s="3"/>
      <c r="E35" s="3"/>
      <c r="F35" s="32"/>
      <c r="G35" s="8"/>
      <c r="H35" s="3"/>
      <c r="I35" s="3"/>
      <c r="J35" s="13"/>
      <c r="K35" s="8"/>
      <c r="L35" s="3"/>
      <c r="M35" s="3"/>
      <c r="N35" s="13"/>
      <c r="O35" s="8"/>
      <c r="P35" s="3"/>
      <c r="Q35" s="3"/>
      <c r="R35" s="13"/>
      <c r="S35" s="8"/>
      <c r="T35" s="3"/>
      <c r="U35" s="9"/>
      <c r="V35" s="32"/>
    </row>
    <row r="36" spans="1:22" x14ac:dyDescent="0.25">
      <c r="A36" s="23">
        <f t="shared" si="4"/>
        <v>177.5</v>
      </c>
      <c r="B36" s="13">
        <f t="shared" si="5"/>
        <v>175</v>
      </c>
      <c r="C36" s="8"/>
      <c r="D36" s="3"/>
      <c r="E36" s="3"/>
      <c r="F36" s="32"/>
      <c r="G36" s="8"/>
      <c r="H36" s="3"/>
      <c r="I36" s="3"/>
      <c r="J36" s="13"/>
      <c r="K36" s="8"/>
      <c r="L36" s="3"/>
      <c r="M36" s="3"/>
      <c r="N36" s="13"/>
      <c r="O36" s="8"/>
      <c r="P36" s="3"/>
      <c r="Q36" s="3"/>
      <c r="R36" s="13"/>
      <c r="S36" s="8"/>
      <c r="T36" s="3"/>
      <c r="U36" s="9"/>
      <c r="V36" s="32"/>
    </row>
    <row r="37" spans="1:22" x14ac:dyDescent="0.25">
      <c r="A37" s="14">
        <f t="shared" si="4"/>
        <v>182.5</v>
      </c>
      <c r="B37" s="15">
        <f t="shared" si="5"/>
        <v>180</v>
      </c>
      <c r="C37" s="10"/>
      <c r="D37" s="4"/>
      <c r="E37" s="4"/>
      <c r="F37" s="33"/>
      <c r="G37" s="10"/>
      <c r="H37" s="4"/>
      <c r="I37" s="4"/>
      <c r="J37" s="15"/>
      <c r="K37" s="10"/>
      <c r="L37" s="4"/>
      <c r="M37" s="4"/>
      <c r="N37" s="15"/>
      <c r="O37" s="8"/>
      <c r="P37" s="3"/>
      <c r="Q37" s="3"/>
      <c r="R37" s="13"/>
      <c r="S37" s="8"/>
      <c r="T37" s="3"/>
      <c r="U37" s="9"/>
      <c r="V37" s="32"/>
    </row>
    <row r="38" spans="1:22" x14ac:dyDescent="0.25">
      <c r="A38" s="14">
        <f t="shared" si="4"/>
        <v>187.5</v>
      </c>
      <c r="B38" s="15">
        <f t="shared" si="5"/>
        <v>185</v>
      </c>
      <c r="O38" s="8"/>
      <c r="P38" s="3"/>
      <c r="Q38" s="3"/>
      <c r="R38" s="13"/>
      <c r="S38" s="8"/>
      <c r="T38" s="3"/>
      <c r="U38" s="9"/>
      <c r="V38" s="32"/>
    </row>
    <row r="39" spans="1:22" x14ac:dyDescent="0.25">
      <c r="A39" s="14">
        <f t="shared" si="4"/>
        <v>192.5</v>
      </c>
      <c r="B39" s="15">
        <f t="shared" si="5"/>
        <v>190</v>
      </c>
      <c r="O39" s="8"/>
      <c r="P39" s="3"/>
      <c r="Q39" s="3"/>
      <c r="R39" s="13"/>
      <c r="S39" s="8"/>
      <c r="T39" s="3"/>
      <c r="U39" s="9"/>
      <c r="V39" s="32"/>
    </row>
    <row r="40" spans="1:22" x14ac:dyDescent="0.25">
      <c r="A40" s="14">
        <f t="shared" si="4"/>
        <v>197.5</v>
      </c>
      <c r="B40" s="15">
        <f t="shared" si="5"/>
        <v>195</v>
      </c>
      <c r="S40" s="8"/>
      <c r="T40" s="3"/>
      <c r="U40" s="9"/>
      <c r="V40" s="32"/>
    </row>
  </sheetData>
  <mergeCells count="11">
    <mergeCell ref="S2:U2"/>
    <mergeCell ref="A1:B2"/>
    <mergeCell ref="C1:F1"/>
    <mergeCell ref="G1:J1"/>
    <mergeCell ref="K1:N1"/>
    <mergeCell ref="O1:R1"/>
    <mergeCell ref="S1:V1"/>
    <mergeCell ref="C2:E2"/>
    <mergeCell ref="G2:I2"/>
    <mergeCell ref="K2:M2"/>
    <mergeCell ref="O2:Q2"/>
  </mergeCells>
  <pageMargins left="0.7" right="0.7" top="0.75" bottom="0.75" header="0.3" footer="0.3"/>
  <pageSetup paperSize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24</vt:i4>
      </vt:variant>
    </vt:vector>
  </HeadingPairs>
  <TitlesOfParts>
    <vt:vector size="24" baseType="lpstr">
      <vt:lpstr>KVD</vt:lpstr>
      <vt:lpstr>Naar_Stochastentool</vt:lpstr>
      <vt:lpstr>STOWA2015_HUIDIG_Z</vt:lpstr>
      <vt:lpstr>STOWA2015_HUIDIG_W</vt:lpstr>
      <vt:lpstr>STOWA2015_2030_Z</vt:lpstr>
      <vt:lpstr>STOWA2015_2030_W</vt:lpstr>
      <vt:lpstr>STOWA2015_2050GL_W</vt:lpstr>
      <vt:lpstr>STOWA2015_2050GH_Z</vt:lpstr>
      <vt:lpstr>STOWA2015_2050GH_W</vt:lpstr>
      <vt:lpstr>STOWA2015_2050WL_Z</vt:lpstr>
      <vt:lpstr>STOWA2015_2050GL_Z</vt:lpstr>
      <vt:lpstr>STOWA2019_HUIDIG_Z</vt:lpstr>
      <vt:lpstr>STOWA2019_HUIDIG_W</vt:lpstr>
      <vt:lpstr>2050WL_W</vt:lpstr>
      <vt:lpstr>2050WH_Z</vt:lpstr>
      <vt:lpstr>2050WH_W</vt:lpstr>
      <vt:lpstr>2085GL_Z</vt:lpstr>
      <vt:lpstr>2085GL_W</vt:lpstr>
      <vt:lpstr>2085GH_Z</vt:lpstr>
      <vt:lpstr>2085GH_W</vt:lpstr>
      <vt:lpstr>2085WL_Z</vt:lpstr>
      <vt:lpstr>2085WL_W</vt:lpstr>
      <vt:lpstr>2085WH_Z</vt:lpstr>
      <vt:lpstr>2085WH_W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Siebe Bosch</dc:creator>
  <cp:lastModifiedBy>Siebe Bosch</cp:lastModifiedBy>
  <dcterms:created xsi:type="dcterms:W3CDTF">2014-10-25T18:04:14Z</dcterms:created>
  <dcterms:modified xsi:type="dcterms:W3CDTF">2024-04-29T08:42:20Z</dcterms:modified>
</cp:coreProperties>
</file>